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/>
  <workbookPr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6A64D301-ECC1-4790-8662-300B359A5733}" xr6:coauthVersionLast="47" xr6:coauthVersionMax="47" xr10:uidLastSave="{00000000-0000-0000-0000-000000000000}"/>
  <bookViews>
    <workbookView xWindow="-120" yWindow="-120" windowWidth="29040" windowHeight="15720" tabRatio="723" activeTab="3" xr2:uid="{00000000-000D-0000-FFFF-FFFF00000000}"/>
  </bookViews>
  <sheets>
    <sheet name="用户信息" sheetId="7" r:id="rId1"/>
    <sheet name="住户仪表信息导出" sheetId="3" r:id="rId2"/>
    <sheet name="用户信息function" sheetId="8" r:id="rId3"/>
    <sheet name="住户仪表信息导出 (function)" sheetId="6" r:id="rId4"/>
    <sheet name="数据库" sheetId="4" r:id="rId5"/>
  </sheets>
  <definedNames>
    <definedName name="_xlnm._FilterDatabase" localSheetId="0" hidden="1">用户信息!$U$1:$U$343</definedName>
    <definedName name="_xlnm._FilterDatabase" localSheetId="1" hidden="1">住户仪表信息导出!$Q$1:$Q$320</definedName>
    <definedName name="_xlnm._FilterDatabase" localSheetId="3" hidden="1">'住户仪表信息导出 (function)'!$A$1:$AG$151</definedName>
  </definedNames>
  <calcPr calcId="191029"/>
</workbook>
</file>

<file path=xl/calcChain.xml><?xml version="1.0" encoding="utf-8"?>
<calcChain xmlns="http://schemas.openxmlformats.org/spreadsheetml/2006/main">
  <c r="E142" i="4" l="1"/>
  <c r="F142" i="4"/>
  <c r="E143" i="4"/>
  <c r="F143" i="4"/>
  <c r="E144" i="4"/>
  <c r="Q144" i="6" s="1"/>
  <c r="F144" i="4"/>
  <c r="M144" i="6" s="1"/>
  <c r="E145" i="4"/>
  <c r="M147" i="8" s="1"/>
  <c r="F145" i="4"/>
  <c r="M145" i="6" s="1"/>
  <c r="E146" i="4"/>
  <c r="Q146" i="6" s="1"/>
  <c r="F146" i="4"/>
  <c r="M146" i="6" s="1"/>
  <c r="E147" i="4"/>
  <c r="M149" i="8" s="1"/>
  <c r="F147" i="4"/>
  <c r="M147" i="6" s="1"/>
  <c r="E148" i="4"/>
  <c r="F148" i="4"/>
  <c r="E149" i="4"/>
  <c r="F149" i="4"/>
  <c r="E150" i="4"/>
  <c r="M152" i="8" s="1"/>
  <c r="F150" i="4"/>
  <c r="M150" i="6" s="1"/>
  <c r="E151" i="4"/>
  <c r="F151" i="4"/>
  <c r="M151" i="6" s="1"/>
  <c r="F141" i="4"/>
  <c r="E141" i="4"/>
  <c r="M143" i="8" s="1"/>
  <c r="E22" i="4"/>
  <c r="M24" i="8" s="1"/>
  <c r="F22" i="4"/>
  <c r="M22" i="6" s="1"/>
  <c r="E23" i="4"/>
  <c r="M25" i="8" s="1"/>
  <c r="F23" i="4"/>
  <c r="E24" i="4"/>
  <c r="M26" i="8" s="1"/>
  <c r="F24" i="4"/>
  <c r="M24" i="6" s="1"/>
  <c r="E25" i="4"/>
  <c r="Q25" i="6" s="1"/>
  <c r="F25" i="4"/>
  <c r="M25" i="6" s="1"/>
  <c r="E26" i="4"/>
  <c r="M28" i="8" s="1"/>
  <c r="F26" i="4"/>
  <c r="M26" i="6" s="1"/>
  <c r="E27" i="4"/>
  <c r="Q27" i="6" s="1"/>
  <c r="F27" i="4"/>
  <c r="M27" i="6" s="1"/>
  <c r="E28" i="4"/>
  <c r="M30" i="8" s="1"/>
  <c r="F28" i="4"/>
  <c r="M28" i="6" s="1"/>
  <c r="E29" i="4"/>
  <c r="F29" i="4"/>
  <c r="E30" i="4"/>
  <c r="M32" i="8" s="1"/>
  <c r="F30" i="4"/>
  <c r="M30" i="6" s="1"/>
  <c r="E31" i="4"/>
  <c r="Q31" i="6" s="1"/>
  <c r="F31" i="4"/>
  <c r="M31" i="6" s="1"/>
  <c r="E32" i="4"/>
  <c r="M34" i="8" s="1"/>
  <c r="F32" i="4"/>
  <c r="M32" i="6" s="1"/>
  <c r="E33" i="4"/>
  <c r="Q33" i="6" s="1"/>
  <c r="F33" i="4"/>
  <c r="M33" i="6" s="1"/>
  <c r="E34" i="4"/>
  <c r="M36" i="8" s="1"/>
  <c r="F34" i="4"/>
  <c r="M34" i="6" s="1"/>
  <c r="E35" i="4"/>
  <c r="F35" i="4"/>
  <c r="M35" i="6" s="1"/>
  <c r="E36" i="4"/>
  <c r="M38" i="8" s="1"/>
  <c r="F36" i="4"/>
  <c r="E37" i="4"/>
  <c r="Q37" i="6" s="1"/>
  <c r="F37" i="4"/>
  <c r="M37" i="6" s="1"/>
  <c r="E38" i="4"/>
  <c r="Q38" i="6" s="1"/>
  <c r="F38" i="4"/>
  <c r="M38" i="6" s="1"/>
  <c r="E39" i="4"/>
  <c r="M41" i="8" s="1"/>
  <c r="F39" i="4"/>
  <c r="M39" i="6" s="1"/>
  <c r="E40" i="4"/>
  <c r="M42" i="8" s="1"/>
  <c r="F40" i="4"/>
  <c r="M40" i="6" s="1"/>
  <c r="E41" i="4"/>
  <c r="F41" i="4"/>
  <c r="M41" i="6" s="1"/>
  <c r="E42" i="4"/>
  <c r="Q42" i="6" s="1"/>
  <c r="F42" i="4"/>
  <c r="M42" i="6" s="1"/>
  <c r="E43" i="4"/>
  <c r="M45" i="8" s="1"/>
  <c r="F43" i="4"/>
  <c r="M43" i="6" s="1"/>
  <c r="E44" i="4"/>
  <c r="M46" i="8" s="1"/>
  <c r="F44" i="4"/>
  <c r="M44" i="6" s="1"/>
  <c r="E45" i="4"/>
  <c r="M47" i="8" s="1"/>
  <c r="F45" i="4"/>
  <c r="M45" i="6" s="1"/>
  <c r="E46" i="4"/>
  <c r="M48" i="8" s="1"/>
  <c r="F46" i="4"/>
  <c r="M46" i="6" s="1"/>
  <c r="E47" i="4"/>
  <c r="F47" i="4"/>
  <c r="E48" i="4"/>
  <c r="M50" i="8" s="1"/>
  <c r="F48" i="4"/>
  <c r="M48" i="6" s="1"/>
  <c r="E49" i="4"/>
  <c r="Q49" i="6" s="1"/>
  <c r="F49" i="4"/>
  <c r="M49" i="6" s="1"/>
  <c r="E50" i="4"/>
  <c r="M52" i="8" s="1"/>
  <c r="F50" i="4"/>
  <c r="M50" i="6" s="1"/>
  <c r="E51" i="4"/>
  <c r="Q51" i="6" s="1"/>
  <c r="F51" i="4"/>
  <c r="M51" i="6" s="1"/>
  <c r="E52" i="4"/>
  <c r="M54" i="8" s="1"/>
  <c r="F52" i="4"/>
  <c r="M52" i="6" s="1"/>
  <c r="E53" i="4"/>
  <c r="F53" i="4"/>
  <c r="E54" i="4"/>
  <c r="M56" i="8" s="1"/>
  <c r="F54" i="4"/>
  <c r="M54" i="6" s="1"/>
  <c r="E55" i="4"/>
  <c r="M57" i="8" s="1"/>
  <c r="F55" i="4"/>
  <c r="M55" i="6" s="1"/>
  <c r="E56" i="4"/>
  <c r="Q56" i="6" s="1"/>
  <c r="F56" i="4"/>
  <c r="M56" i="6" s="1"/>
  <c r="E57" i="4"/>
  <c r="M59" i="8" s="1"/>
  <c r="F57" i="4"/>
  <c r="M57" i="6" s="1"/>
  <c r="E58" i="4"/>
  <c r="M60" i="8" s="1"/>
  <c r="F58" i="4"/>
  <c r="M58" i="6" s="1"/>
  <c r="E59" i="4"/>
  <c r="F59" i="4"/>
  <c r="E60" i="4"/>
  <c r="Q60" i="6" s="1"/>
  <c r="F60" i="4"/>
  <c r="M60" i="6" s="1"/>
  <c r="E61" i="4"/>
  <c r="M63" i="8" s="1"/>
  <c r="F61" i="4"/>
  <c r="M61" i="6" s="1"/>
  <c r="E62" i="4"/>
  <c r="Q62" i="6" s="1"/>
  <c r="F62" i="4"/>
  <c r="M62" i="6" s="1"/>
  <c r="E63" i="4"/>
  <c r="M65" i="8" s="1"/>
  <c r="F63" i="4"/>
  <c r="M63" i="6" s="1"/>
  <c r="E64" i="4"/>
  <c r="F64" i="4"/>
  <c r="M64" i="6" s="1"/>
  <c r="E65" i="4"/>
  <c r="F65" i="4"/>
  <c r="E66" i="4"/>
  <c r="M68" i="8" s="1"/>
  <c r="F66" i="4"/>
  <c r="E67" i="4"/>
  <c r="Q67" i="6" s="1"/>
  <c r="F67" i="4"/>
  <c r="M67" i="6" s="1"/>
  <c r="E68" i="4"/>
  <c r="Q68" i="6" s="1"/>
  <c r="F68" i="4"/>
  <c r="M68" i="6" s="1"/>
  <c r="E69" i="4"/>
  <c r="Q69" i="6" s="1"/>
  <c r="F69" i="4"/>
  <c r="M69" i="6" s="1"/>
  <c r="E70" i="4"/>
  <c r="M72" i="8" s="1"/>
  <c r="F70" i="4"/>
  <c r="M70" i="6" s="1"/>
  <c r="E71" i="4"/>
  <c r="F71" i="4"/>
  <c r="E72" i="4"/>
  <c r="F72" i="4"/>
  <c r="M72" i="6" s="1"/>
  <c r="E73" i="4"/>
  <c r="M75" i="8" s="1"/>
  <c r="F73" i="4"/>
  <c r="M73" i="6" s="1"/>
  <c r="E74" i="4"/>
  <c r="Q74" i="6" s="1"/>
  <c r="F74" i="4"/>
  <c r="M74" i="6" s="1"/>
  <c r="E75" i="4"/>
  <c r="M77" i="8" s="1"/>
  <c r="F75" i="4"/>
  <c r="M75" i="6" s="1"/>
  <c r="E76" i="4"/>
  <c r="M78" i="8" s="1"/>
  <c r="F76" i="4"/>
  <c r="M76" i="6" s="1"/>
  <c r="E77" i="4"/>
  <c r="F77" i="4"/>
  <c r="E78" i="4"/>
  <c r="M80" i="8" s="1"/>
  <c r="F78" i="4"/>
  <c r="M78" i="6" s="1"/>
  <c r="E79" i="4"/>
  <c r="Q79" i="6" s="1"/>
  <c r="F79" i="4"/>
  <c r="M79" i="6" s="1"/>
  <c r="E80" i="4"/>
  <c r="M82" i="8" s="1"/>
  <c r="F80" i="4"/>
  <c r="M80" i="6" s="1"/>
  <c r="E81" i="4"/>
  <c r="Q81" i="6" s="1"/>
  <c r="F81" i="4"/>
  <c r="M81" i="6" s="1"/>
  <c r="E82" i="4"/>
  <c r="M84" i="8" s="1"/>
  <c r="F82" i="4"/>
  <c r="M82" i="6" s="1"/>
  <c r="E83" i="4"/>
  <c r="F83" i="4"/>
  <c r="E84" i="4"/>
  <c r="M86" i="8" s="1"/>
  <c r="F84" i="4"/>
  <c r="E85" i="4"/>
  <c r="Q85" i="6" s="1"/>
  <c r="F85" i="4"/>
  <c r="M85" i="6" s="1"/>
  <c r="E86" i="4"/>
  <c r="Q86" i="6" s="1"/>
  <c r="F86" i="4"/>
  <c r="M86" i="6" s="1"/>
  <c r="E87" i="4"/>
  <c r="M89" i="8" s="1"/>
  <c r="F87" i="4"/>
  <c r="M87" i="6" s="1"/>
  <c r="E88" i="4"/>
  <c r="F88" i="4"/>
  <c r="M88" i="6" s="1"/>
  <c r="E89" i="4"/>
  <c r="F89" i="4"/>
  <c r="E90" i="4"/>
  <c r="Q90" i="6" s="1"/>
  <c r="F90" i="4"/>
  <c r="M90" i="6" s="1"/>
  <c r="E91" i="4"/>
  <c r="M93" i="8" s="1"/>
  <c r="F91" i="4"/>
  <c r="M91" i="6" s="1"/>
  <c r="E92" i="4"/>
  <c r="M94" i="8" s="1"/>
  <c r="F92" i="4"/>
  <c r="M92" i="6" s="1"/>
  <c r="E93" i="4"/>
  <c r="Q93" i="6" s="1"/>
  <c r="F93" i="4"/>
  <c r="M93" i="6" s="1"/>
  <c r="E94" i="4"/>
  <c r="F94" i="4"/>
  <c r="E95" i="4"/>
  <c r="F95" i="4"/>
  <c r="E96" i="4"/>
  <c r="M98" i="8" s="1"/>
  <c r="F96" i="4"/>
  <c r="M96" i="6" s="1"/>
  <c r="E97" i="4"/>
  <c r="Q97" i="6" s="1"/>
  <c r="F97" i="4"/>
  <c r="M97" i="6" s="1"/>
  <c r="E98" i="4"/>
  <c r="M100" i="8" s="1"/>
  <c r="F98" i="4"/>
  <c r="M98" i="6" s="1"/>
  <c r="E99" i="4"/>
  <c r="Q99" i="6" s="1"/>
  <c r="F99" i="4"/>
  <c r="M99" i="6" s="1"/>
  <c r="E100" i="4"/>
  <c r="M102" i="8" s="1"/>
  <c r="F100" i="4"/>
  <c r="M100" i="6" s="1"/>
  <c r="E101" i="4"/>
  <c r="F101" i="4"/>
  <c r="E102" i="4"/>
  <c r="M104" i="8" s="1"/>
  <c r="F102" i="4"/>
  <c r="M102" i="6" s="1"/>
  <c r="E103" i="4"/>
  <c r="M105" i="8" s="1"/>
  <c r="F103" i="4"/>
  <c r="M103" i="6" s="1"/>
  <c r="E104" i="4"/>
  <c r="Q104" i="6" s="1"/>
  <c r="F104" i="4"/>
  <c r="M104" i="6" s="1"/>
  <c r="E105" i="4"/>
  <c r="M107" i="8" s="1"/>
  <c r="F105" i="4"/>
  <c r="M105" i="6" s="1"/>
  <c r="E106" i="4"/>
  <c r="M108" i="8" s="1"/>
  <c r="F106" i="4"/>
  <c r="E107" i="4"/>
  <c r="M109" i="8" s="1"/>
  <c r="F107" i="4"/>
  <c r="M107" i="6" s="1"/>
  <c r="E108" i="4"/>
  <c r="Q108" i="6" s="1"/>
  <c r="F108" i="4"/>
  <c r="M108" i="6" s="1"/>
  <c r="E109" i="4"/>
  <c r="M111" i="8" s="1"/>
  <c r="F109" i="4"/>
  <c r="M109" i="6" s="1"/>
  <c r="E110" i="4"/>
  <c r="Q110" i="6" s="1"/>
  <c r="F110" i="4"/>
  <c r="M110" i="6" s="1"/>
  <c r="E111" i="4"/>
  <c r="Q111" i="6" s="1"/>
  <c r="F111" i="4"/>
  <c r="M111" i="6" s="1"/>
  <c r="E112" i="4"/>
  <c r="M114" i="8" s="1"/>
  <c r="F112" i="4"/>
  <c r="M112" i="6" s="1"/>
  <c r="E113" i="4"/>
  <c r="F113" i="4"/>
  <c r="M113" i="6" s="1"/>
  <c r="E114" i="4"/>
  <c r="M116" i="8" s="1"/>
  <c r="F114" i="4"/>
  <c r="E115" i="4"/>
  <c r="Q115" i="6" s="1"/>
  <c r="F115" i="4"/>
  <c r="M115" i="6" s="1"/>
  <c r="E116" i="4"/>
  <c r="M118" i="8" s="1"/>
  <c r="F116" i="4"/>
  <c r="M116" i="6" s="1"/>
  <c r="E117" i="4"/>
  <c r="Q117" i="6" s="1"/>
  <c r="F117" i="4"/>
  <c r="M117" i="6" s="1"/>
  <c r="E118" i="4"/>
  <c r="M120" i="8" s="1"/>
  <c r="F118" i="4"/>
  <c r="M118" i="6" s="1"/>
  <c r="E119" i="4"/>
  <c r="F119" i="4"/>
  <c r="E120" i="4"/>
  <c r="M122" i="8" s="1"/>
  <c r="F120" i="4"/>
  <c r="M120" i="6" s="1"/>
  <c r="E121" i="4"/>
  <c r="M123" i="8" s="1"/>
  <c r="F121" i="4"/>
  <c r="M121" i="6" s="1"/>
  <c r="E122" i="4"/>
  <c r="Q122" i="6" s="1"/>
  <c r="F122" i="4"/>
  <c r="M122" i="6" s="1"/>
  <c r="E123" i="4"/>
  <c r="M125" i="8" s="1"/>
  <c r="F123" i="4"/>
  <c r="M123" i="6" s="1"/>
  <c r="E124" i="4"/>
  <c r="M126" i="8" s="1"/>
  <c r="F124" i="4"/>
  <c r="M124" i="6" s="1"/>
  <c r="E125" i="4"/>
  <c r="F125" i="4"/>
  <c r="E126" i="4"/>
  <c r="M128" i="8" s="1"/>
  <c r="F126" i="4"/>
  <c r="M126" i="6" s="1"/>
  <c r="E127" i="4"/>
  <c r="Q127" i="6" s="1"/>
  <c r="F127" i="4"/>
  <c r="M127" i="6" s="1"/>
  <c r="E128" i="4"/>
  <c r="M130" i="8" s="1"/>
  <c r="F128" i="4"/>
  <c r="M128" i="6" s="1"/>
  <c r="E129" i="4"/>
  <c r="Q129" i="6" s="1"/>
  <c r="F129" i="4"/>
  <c r="M129" i="6" s="1"/>
  <c r="E130" i="4"/>
  <c r="F130" i="4"/>
  <c r="M130" i="6" s="1"/>
  <c r="E131" i="4"/>
  <c r="F131" i="4"/>
  <c r="E132" i="4"/>
  <c r="M134" i="8" s="1"/>
  <c r="F132" i="4"/>
  <c r="E133" i="4"/>
  <c r="Q133" i="6" s="1"/>
  <c r="F133" i="4"/>
  <c r="M133" i="6" s="1"/>
  <c r="E134" i="4"/>
  <c r="Q134" i="6" s="1"/>
  <c r="F134" i="4"/>
  <c r="M134" i="6" s="1"/>
  <c r="E135" i="4"/>
  <c r="M137" i="8" s="1"/>
  <c r="F135" i="4"/>
  <c r="M135" i="6" s="1"/>
  <c r="E136" i="4"/>
  <c r="F136" i="4"/>
  <c r="M136" i="6" s="1"/>
  <c r="E137" i="4"/>
  <c r="F137" i="4"/>
  <c r="E138" i="4"/>
  <c r="Q138" i="6" s="1"/>
  <c r="F138" i="4"/>
  <c r="M138" i="6" s="1"/>
  <c r="E139" i="4"/>
  <c r="M141" i="8" s="1"/>
  <c r="F139" i="4"/>
  <c r="M139" i="6" s="1"/>
  <c r="E140" i="4"/>
  <c r="M142" i="8" s="1"/>
  <c r="F140" i="4"/>
  <c r="M140" i="6" s="1"/>
  <c r="M29" i="6"/>
  <c r="F18" i="4"/>
  <c r="M18" i="6" s="1"/>
  <c r="F19" i="4"/>
  <c r="M19" i="6" s="1"/>
  <c r="F20" i="4"/>
  <c r="F21" i="4"/>
  <c r="E21" i="4"/>
  <c r="E20" i="4"/>
  <c r="E19" i="4"/>
  <c r="E18" i="4"/>
  <c r="M20" i="8" s="1"/>
  <c r="E17" i="4"/>
  <c r="M19" i="8" s="1"/>
  <c r="E16" i="4"/>
  <c r="M18" i="8" s="1"/>
  <c r="E15" i="4"/>
  <c r="M17" i="8" s="1"/>
  <c r="E14" i="4"/>
  <c r="Q14" i="6" s="1"/>
  <c r="F17" i="4"/>
  <c r="M17" i="6" s="1"/>
  <c r="F16" i="4"/>
  <c r="F15" i="4"/>
  <c r="M15" i="6" s="1"/>
  <c r="F14" i="4"/>
  <c r="F3" i="4"/>
  <c r="F4" i="4"/>
  <c r="F5" i="4"/>
  <c r="F6" i="4"/>
  <c r="M6" i="6" s="1"/>
  <c r="F7" i="4"/>
  <c r="M7" i="6" s="1"/>
  <c r="F8" i="4"/>
  <c r="M8" i="6" s="1"/>
  <c r="F9" i="4"/>
  <c r="M9" i="6" s="1"/>
  <c r="F10" i="4"/>
  <c r="F11" i="4"/>
  <c r="M11" i="6" s="1"/>
  <c r="F12" i="4"/>
  <c r="M12" i="6" s="1"/>
  <c r="F13" i="4"/>
  <c r="M13" i="6" s="1"/>
  <c r="E3" i="4"/>
  <c r="E4" i="4"/>
  <c r="E5" i="4"/>
  <c r="M7" i="8" s="1"/>
  <c r="E6" i="4"/>
  <c r="E7" i="4"/>
  <c r="M9" i="8" s="1"/>
  <c r="E8" i="4"/>
  <c r="M10" i="8" s="1"/>
  <c r="E9" i="4"/>
  <c r="M11" i="8" s="1"/>
  <c r="E10" i="4"/>
  <c r="Q10" i="6" s="1"/>
  <c r="E11" i="4"/>
  <c r="M13" i="8" s="1"/>
  <c r="E12" i="4"/>
  <c r="Q12" i="6" s="1"/>
  <c r="E13" i="4"/>
  <c r="M15" i="8" s="1"/>
  <c r="E2" i="4"/>
  <c r="M4" i="8" s="1"/>
  <c r="B5" i="8"/>
  <c r="C5" i="8"/>
  <c r="D5" i="8"/>
  <c r="E5" i="8" s="1"/>
  <c r="M5" i="8"/>
  <c r="U5" i="8"/>
  <c r="B6" i="8"/>
  <c r="C6" i="8"/>
  <c r="D6" i="8"/>
  <c r="E6" i="8" s="1"/>
  <c r="M6" i="8"/>
  <c r="U6" i="8"/>
  <c r="B7" i="8"/>
  <c r="C7" i="8"/>
  <c r="D7" i="8"/>
  <c r="E7" i="8" s="1"/>
  <c r="U7" i="8"/>
  <c r="B8" i="8"/>
  <c r="C8" i="8"/>
  <c r="D8" i="8"/>
  <c r="E8" i="8" s="1"/>
  <c r="M8" i="8"/>
  <c r="U8" i="8"/>
  <c r="B9" i="8"/>
  <c r="C9" i="8"/>
  <c r="D9" i="8"/>
  <c r="E9" i="8" s="1"/>
  <c r="U9" i="8"/>
  <c r="B10" i="8"/>
  <c r="C10" i="8"/>
  <c r="D10" i="8"/>
  <c r="E10" i="8" s="1"/>
  <c r="U10" i="8"/>
  <c r="B11" i="8"/>
  <c r="C11" i="8"/>
  <c r="D11" i="8"/>
  <c r="E11" i="8" s="1"/>
  <c r="U11" i="8"/>
  <c r="B12" i="8"/>
  <c r="C12" i="8"/>
  <c r="D12" i="8"/>
  <c r="E12" i="8" s="1"/>
  <c r="U12" i="8"/>
  <c r="B13" i="8"/>
  <c r="C13" i="8"/>
  <c r="D13" i="8"/>
  <c r="E13" i="8" s="1"/>
  <c r="U13" i="8"/>
  <c r="B14" i="8"/>
  <c r="C14" i="8"/>
  <c r="D14" i="8"/>
  <c r="E14" i="8" s="1"/>
  <c r="U14" i="8"/>
  <c r="B15" i="8"/>
  <c r="C15" i="8"/>
  <c r="D15" i="8"/>
  <c r="E15" i="8" s="1"/>
  <c r="U15" i="8"/>
  <c r="B16" i="8"/>
  <c r="C16" i="8"/>
  <c r="D16" i="8"/>
  <c r="E16" i="8" s="1"/>
  <c r="U16" i="8"/>
  <c r="B17" i="8"/>
  <c r="C17" i="8"/>
  <c r="D17" i="8"/>
  <c r="E17" i="8" s="1"/>
  <c r="U17" i="8"/>
  <c r="B18" i="8"/>
  <c r="C18" i="8"/>
  <c r="D18" i="8"/>
  <c r="E18" i="8" s="1"/>
  <c r="U18" i="8"/>
  <c r="B19" i="8"/>
  <c r="C19" i="8"/>
  <c r="D19" i="8"/>
  <c r="E19" i="8" s="1"/>
  <c r="U19" i="8"/>
  <c r="B20" i="8"/>
  <c r="C20" i="8"/>
  <c r="D20" i="8"/>
  <c r="E20" i="8" s="1"/>
  <c r="U20" i="8"/>
  <c r="B21" i="8"/>
  <c r="C21" i="8"/>
  <c r="D21" i="8"/>
  <c r="E21" i="8" s="1"/>
  <c r="M21" i="8"/>
  <c r="U21" i="8"/>
  <c r="B22" i="8"/>
  <c r="C22" i="8"/>
  <c r="D22" i="8"/>
  <c r="E22" i="8" s="1"/>
  <c r="M22" i="8"/>
  <c r="U22" i="8"/>
  <c r="B23" i="8"/>
  <c r="C23" i="8"/>
  <c r="D23" i="8"/>
  <c r="E23" i="8" s="1"/>
  <c r="M23" i="8"/>
  <c r="U23" i="8"/>
  <c r="B24" i="8"/>
  <c r="C24" i="8"/>
  <c r="D24" i="8"/>
  <c r="E24" i="8" s="1"/>
  <c r="U24" i="8"/>
  <c r="B25" i="8"/>
  <c r="C25" i="8"/>
  <c r="D25" i="8"/>
  <c r="E25" i="8" s="1"/>
  <c r="U25" i="8"/>
  <c r="B26" i="8"/>
  <c r="C26" i="8"/>
  <c r="D26" i="8"/>
  <c r="E26" i="8" s="1"/>
  <c r="U26" i="8"/>
  <c r="B27" i="8"/>
  <c r="C27" i="8"/>
  <c r="D27" i="8"/>
  <c r="E27" i="8" s="1"/>
  <c r="U27" i="8"/>
  <c r="B28" i="8"/>
  <c r="C28" i="8"/>
  <c r="D28" i="8"/>
  <c r="E28" i="8" s="1"/>
  <c r="U28" i="8"/>
  <c r="B29" i="8"/>
  <c r="C29" i="8"/>
  <c r="D29" i="8"/>
  <c r="E29" i="8" s="1"/>
  <c r="U29" i="8"/>
  <c r="B30" i="8"/>
  <c r="C30" i="8"/>
  <c r="D30" i="8"/>
  <c r="E30" i="8" s="1"/>
  <c r="U30" i="8"/>
  <c r="B31" i="8"/>
  <c r="C31" i="8"/>
  <c r="D31" i="8"/>
  <c r="E31" i="8" s="1"/>
  <c r="M31" i="8"/>
  <c r="U31" i="8"/>
  <c r="B32" i="8"/>
  <c r="C32" i="8"/>
  <c r="D32" i="8"/>
  <c r="E32" i="8" s="1"/>
  <c r="U32" i="8"/>
  <c r="B33" i="8"/>
  <c r="C33" i="8"/>
  <c r="D33" i="8"/>
  <c r="E33" i="8" s="1"/>
  <c r="U33" i="8"/>
  <c r="B34" i="8"/>
  <c r="C34" i="8"/>
  <c r="D34" i="8"/>
  <c r="E34" i="8" s="1"/>
  <c r="U34" i="8"/>
  <c r="B35" i="8"/>
  <c r="C35" i="8"/>
  <c r="D35" i="8"/>
  <c r="E35" i="8" s="1"/>
  <c r="U35" i="8"/>
  <c r="B36" i="8"/>
  <c r="C36" i="8"/>
  <c r="D36" i="8"/>
  <c r="E36" i="8" s="1"/>
  <c r="U36" i="8"/>
  <c r="B37" i="8"/>
  <c r="C37" i="8"/>
  <c r="D37" i="8"/>
  <c r="E37" i="8" s="1"/>
  <c r="M37" i="8"/>
  <c r="U37" i="8"/>
  <c r="B38" i="8"/>
  <c r="C38" i="8"/>
  <c r="D38" i="8"/>
  <c r="E38" i="8" s="1"/>
  <c r="U38" i="8"/>
  <c r="B39" i="8"/>
  <c r="C39" i="8"/>
  <c r="D39" i="8"/>
  <c r="E39" i="8" s="1"/>
  <c r="U39" i="8"/>
  <c r="B40" i="8"/>
  <c r="C40" i="8"/>
  <c r="D40" i="8"/>
  <c r="E40" i="8" s="1"/>
  <c r="U40" i="8"/>
  <c r="B41" i="8"/>
  <c r="C41" i="8"/>
  <c r="D41" i="8"/>
  <c r="E41" i="8" s="1"/>
  <c r="U41" i="8"/>
  <c r="B42" i="8"/>
  <c r="C42" i="8"/>
  <c r="D42" i="8"/>
  <c r="E42" i="8" s="1"/>
  <c r="U42" i="8"/>
  <c r="B43" i="8"/>
  <c r="C43" i="8"/>
  <c r="D43" i="8"/>
  <c r="E43" i="8" s="1"/>
  <c r="M43" i="8"/>
  <c r="U43" i="8"/>
  <c r="B44" i="8"/>
  <c r="C44" i="8"/>
  <c r="D44" i="8"/>
  <c r="E44" i="8" s="1"/>
  <c r="U44" i="8"/>
  <c r="B45" i="8"/>
  <c r="C45" i="8"/>
  <c r="D45" i="8"/>
  <c r="E45" i="8" s="1"/>
  <c r="U45" i="8"/>
  <c r="B46" i="8"/>
  <c r="C46" i="8"/>
  <c r="D46" i="8"/>
  <c r="E46" i="8" s="1"/>
  <c r="U46" i="8"/>
  <c r="B47" i="8"/>
  <c r="C47" i="8"/>
  <c r="D47" i="8"/>
  <c r="E47" i="8" s="1"/>
  <c r="U47" i="8"/>
  <c r="B48" i="8"/>
  <c r="C48" i="8"/>
  <c r="D48" i="8"/>
  <c r="E48" i="8" s="1"/>
  <c r="U48" i="8"/>
  <c r="B49" i="8"/>
  <c r="C49" i="8"/>
  <c r="D49" i="8"/>
  <c r="E49" i="8" s="1"/>
  <c r="M49" i="8"/>
  <c r="U49" i="8"/>
  <c r="B50" i="8"/>
  <c r="C50" i="8"/>
  <c r="D50" i="8"/>
  <c r="E50" i="8" s="1"/>
  <c r="U50" i="8"/>
  <c r="B51" i="8"/>
  <c r="C51" i="8"/>
  <c r="D51" i="8"/>
  <c r="E51" i="8" s="1"/>
  <c r="U51" i="8"/>
  <c r="B52" i="8"/>
  <c r="C52" i="8"/>
  <c r="D52" i="8"/>
  <c r="E52" i="8" s="1"/>
  <c r="U52" i="8"/>
  <c r="B53" i="8"/>
  <c r="C53" i="8"/>
  <c r="D53" i="8"/>
  <c r="E53" i="8" s="1"/>
  <c r="U53" i="8"/>
  <c r="B54" i="8"/>
  <c r="C54" i="8"/>
  <c r="D54" i="8"/>
  <c r="E54" i="8" s="1"/>
  <c r="U54" i="8"/>
  <c r="B55" i="8"/>
  <c r="C55" i="8"/>
  <c r="D55" i="8"/>
  <c r="E55" i="8" s="1"/>
  <c r="M55" i="8"/>
  <c r="U55" i="8"/>
  <c r="B56" i="8"/>
  <c r="C56" i="8"/>
  <c r="D56" i="8"/>
  <c r="E56" i="8" s="1"/>
  <c r="U56" i="8"/>
  <c r="B57" i="8"/>
  <c r="C57" i="8"/>
  <c r="D57" i="8"/>
  <c r="E57" i="8" s="1"/>
  <c r="U57" i="8"/>
  <c r="B58" i="8"/>
  <c r="C58" i="8"/>
  <c r="D58" i="8"/>
  <c r="E58" i="8" s="1"/>
  <c r="U58" i="8"/>
  <c r="B59" i="8"/>
  <c r="C59" i="8"/>
  <c r="D59" i="8"/>
  <c r="E59" i="8" s="1"/>
  <c r="U59" i="8"/>
  <c r="B60" i="8"/>
  <c r="C60" i="8"/>
  <c r="D60" i="8"/>
  <c r="E60" i="8" s="1"/>
  <c r="U60" i="8"/>
  <c r="B61" i="8"/>
  <c r="C61" i="8"/>
  <c r="D61" i="8"/>
  <c r="E61" i="8" s="1"/>
  <c r="M61" i="8"/>
  <c r="U61" i="8"/>
  <c r="B62" i="8"/>
  <c r="C62" i="8"/>
  <c r="D62" i="8"/>
  <c r="E62" i="8" s="1"/>
  <c r="U62" i="8"/>
  <c r="B63" i="8"/>
  <c r="C63" i="8"/>
  <c r="D63" i="8"/>
  <c r="E63" i="8" s="1"/>
  <c r="U63" i="8"/>
  <c r="B64" i="8"/>
  <c r="C64" i="8"/>
  <c r="D64" i="8"/>
  <c r="E64" i="8" s="1"/>
  <c r="U64" i="8"/>
  <c r="B65" i="8"/>
  <c r="C65" i="8"/>
  <c r="D65" i="8"/>
  <c r="E65" i="8" s="1"/>
  <c r="U65" i="8"/>
  <c r="B66" i="8"/>
  <c r="C66" i="8"/>
  <c r="D66" i="8"/>
  <c r="E66" i="8" s="1"/>
  <c r="M66" i="8"/>
  <c r="U66" i="8"/>
  <c r="B67" i="8"/>
  <c r="C67" i="8"/>
  <c r="D67" i="8"/>
  <c r="E67" i="8" s="1"/>
  <c r="M67" i="8"/>
  <c r="U67" i="8"/>
  <c r="B68" i="8"/>
  <c r="C68" i="8"/>
  <c r="D68" i="8"/>
  <c r="E68" i="8" s="1"/>
  <c r="U68" i="8"/>
  <c r="B69" i="8"/>
  <c r="C69" i="8"/>
  <c r="D69" i="8"/>
  <c r="E69" i="8" s="1"/>
  <c r="U69" i="8"/>
  <c r="B70" i="8"/>
  <c r="C70" i="8"/>
  <c r="D70" i="8"/>
  <c r="E70" i="8" s="1"/>
  <c r="U70" i="8"/>
  <c r="B71" i="8"/>
  <c r="C71" i="8"/>
  <c r="D71" i="8"/>
  <c r="E71" i="8" s="1"/>
  <c r="U71" i="8"/>
  <c r="B72" i="8"/>
  <c r="C72" i="8"/>
  <c r="D72" i="8"/>
  <c r="E72" i="8" s="1"/>
  <c r="U72" i="8"/>
  <c r="B73" i="8"/>
  <c r="C73" i="8"/>
  <c r="D73" i="8"/>
  <c r="E73" i="8" s="1"/>
  <c r="M73" i="8"/>
  <c r="U73" i="8"/>
  <c r="B74" i="8"/>
  <c r="C74" i="8"/>
  <c r="D74" i="8"/>
  <c r="E74" i="8" s="1"/>
  <c r="M74" i="8"/>
  <c r="U74" i="8"/>
  <c r="B75" i="8"/>
  <c r="C75" i="8"/>
  <c r="D75" i="8"/>
  <c r="E75" i="8" s="1"/>
  <c r="U75" i="8"/>
  <c r="B76" i="8"/>
  <c r="C76" i="8"/>
  <c r="D76" i="8"/>
  <c r="E76" i="8" s="1"/>
  <c r="U76" i="8"/>
  <c r="B77" i="8"/>
  <c r="C77" i="8"/>
  <c r="D77" i="8"/>
  <c r="E77" i="8" s="1"/>
  <c r="U77" i="8"/>
  <c r="B78" i="8"/>
  <c r="C78" i="8"/>
  <c r="D78" i="8"/>
  <c r="E78" i="8" s="1"/>
  <c r="U78" i="8"/>
  <c r="B79" i="8"/>
  <c r="C79" i="8"/>
  <c r="D79" i="8"/>
  <c r="E79" i="8" s="1"/>
  <c r="M79" i="8"/>
  <c r="U79" i="8"/>
  <c r="B80" i="8"/>
  <c r="C80" i="8"/>
  <c r="D80" i="8"/>
  <c r="E80" i="8" s="1"/>
  <c r="U80" i="8"/>
  <c r="B81" i="8"/>
  <c r="C81" i="8"/>
  <c r="D81" i="8"/>
  <c r="E81" i="8" s="1"/>
  <c r="U81" i="8"/>
  <c r="B82" i="8"/>
  <c r="C82" i="8"/>
  <c r="D82" i="8"/>
  <c r="E82" i="8" s="1"/>
  <c r="U82" i="8"/>
  <c r="B83" i="8"/>
  <c r="C83" i="8"/>
  <c r="D83" i="8"/>
  <c r="E83" i="8" s="1"/>
  <c r="U83" i="8"/>
  <c r="B84" i="8"/>
  <c r="C84" i="8"/>
  <c r="D84" i="8"/>
  <c r="E84" i="8" s="1"/>
  <c r="U84" i="8"/>
  <c r="B85" i="8"/>
  <c r="C85" i="8"/>
  <c r="D85" i="8"/>
  <c r="E85" i="8" s="1"/>
  <c r="M85" i="8"/>
  <c r="U85" i="8"/>
  <c r="B86" i="8"/>
  <c r="C86" i="8"/>
  <c r="D86" i="8"/>
  <c r="E86" i="8" s="1"/>
  <c r="U86" i="8"/>
  <c r="B87" i="8"/>
  <c r="C87" i="8"/>
  <c r="D87" i="8"/>
  <c r="E87" i="8" s="1"/>
  <c r="U87" i="8"/>
  <c r="B88" i="8"/>
  <c r="C88" i="8"/>
  <c r="D88" i="8"/>
  <c r="E88" i="8" s="1"/>
  <c r="U88" i="8"/>
  <c r="B89" i="8"/>
  <c r="C89" i="8"/>
  <c r="D89" i="8"/>
  <c r="E89" i="8" s="1"/>
  <c r="U89" i="8"/>
  <c r="B90" i="8"/>
  <c r="C90" i="8"/>
  <c r="D90" i="8"/>
  <c r="E90" i="8" s="1"/>
  <c r="M90" i="8"/>
  <c r="U90" i="8"/>
  <c r="B91" i="8"/>
  <c r="C91" i="8"/>
  <c r="D91" i="8"/>
  <c r="E91" i="8" s="1"/>
  <c r="M91" i="8"/>
  <c r="U91" i="8"/>
  <c r="B92" i="8"/>
  <c r="C92" i="8"/>
  <c r="D92" i="8"/>
  <c r="E92" i="8" s="1"/>
  <c r="M92" i="8"/>
  <c r="U92" i="8"/>
  <c r="B93" i="8"/>
  <c r="C93" i="8"/>
  <c r="D93" i="8"/>
  <c r="E93" i="8" s="1"/>
  <c r="U93" i="8"/>
  <c r="B94" i="8"/>
  <c r="C94" i="8"/>
  <c r="D94" i="8"/>
  <c r="E94" i="8" s="1"/>
  <c r="U94" i="8"/>
  <c r="B95" i="8"/>
  <c r="C95" i="8"/>
  <c r="D95" i="8"/>
  <c r="E95" i="8" s="1"/>
  <c r="U95" i="8"/>
  <c r="B96" i="8"/>
  <c r="C96" i="8"/>
  <c r="D96" i="8"/>
  <c r="E96" i="8" s="1"/>
  <c r="M96" i="8"/>
  <c r="U96" i="8"/>
  <c r="B97" i="8"/>
  <c r="C97" i="8"/>
  <c r="D97" i="8"/>
  <c r="E97" i="8" s="1"/>
  <c r="M97" i="8"/>
  <c r="U97" i="8"/>
  <c r="B98" i="8"/>
  <c r="C98" i="8"/>
  <c r="D98" i="8"/>
  <c r="E98" i="8" s="1"/>
  <c r="U98" i="8"/>
  <c r="B99" i="8"/>
  <c r="C99" i="8"/>
  <c r="D99" i="8"/>
  <c r="E99" i="8" s="1"/>
  <c r="U99" i="8"/>
  <c r="B100" i="8"/>
  <c r="C100" i="8"/>
  <c r="D100" i="8"/>
  <c r="E100" i="8" s="1"/>
  <c r="U100" i="8"/>
  <c r="B101" i="8"/>
  <c r="C101" i="8"/>
  <c r="D101" i="8"/>
  <c r="E101" i="8" s="1"/>
  <c r="U101" i="8"/>
  <c r="B102" i="8"/>
  <c r="C102" i="8"/>
  <c r="D102" i="8"/>
  <c r="E102" i="8" s="1"/>
  <c r="U102" i="8"/>
  <c r="B103" i="8"/>
  <c r="C103" i="8"/>
  <c r="D103" i="8"/>
  <c r="E103" i="8" s="1"/>
  <c r="M103" i="8"/>
  <c r="U103" i="8"/>
  <c r="B104" i="8"/>
  <c r="C104" i="8"/>
  <c r="D104" i="8"/>
  <c r="E104" i="8" s="1"/>
  <c r="U104" i="8"/>
  <c r="B105" i="8"/>
  <c r="C105" i="8"/>
  <c r="D105" i="8"/>
  <c r="E105" i="8" s="1"/>
  <c r="U105" i="8"/>
  <c r="B106" i="8"/>
  <c r="C106" i="8"/>
  <c r="D106" i="8"/>
  <c r="E106" i="8" s="1"/>
  <c r="U106" i="8"/>
  <c r="B107" i="8"/>
  <c r="C107" i="8"/>
  <c r="D107" i="8"/>
  <c r="E107" i="8" s="1"/>
  <c r="U107" i="8"/>
  <c r="B108" i="8"/>
  <c r="C108" i="8"/>
  <c r="D108" i="8"/>
  <c r="E108" i="8" s="1"/>
  <c r="U108" i="8"/>
  <c r="B109" i="8"/>
  <c r="C109" i="8"/>
  <c r="D109" i="8"/>
  <c r="E109" i="8" s="1"/>
  <c r="U109" i="8"/>
  <c r="B110" i="8"/>
  <c r="C110" i="8"/>
  <c r="D110" i="8"/>
  <c r="E110" i="8" s="1"/>
  <c r="M110" i="8"/>
  <c r="U110" i="8"/>
  <c r="B111" i="8"/>
  <c r="C111" i="8"/>
  <c r="D111" i="8"/>
  <c r="E111" i="8" s="1"/>
  <c r="U111" i="8"/>
  <c r="B112" i="8"/>
  <c r="C112" i="8"/>
  <c r="D112" i="8"/>
  <c r="E112" i="8" s="1"/>
  <c r="U112" i="8"/>
  <c r="B113" i="8"/>
  <c r="C113" i="8"/>
  <c r="D113" i="8"/>
  <c r="E113" i="8" s="1"/>
  <c r="U113" i="8"/>
  <c r="B114" i="8"/>
  <c r="C114" i="8"/>
  <c r="D114" i="8"/>
  <c r="E114" i="8" s="1"/>
  <c r="U114" i="8"/>
  <c r="B115" i="8"/>
  <c r="C115" i="8"/>
  <c r="D115" i="8"/>
  <c r="E115" i="8" s="1"/>
  <c r="M115" i="8"/>
  <c r="U115" i="8"/>
  <c r="B116" i="8"/>
  <c r="C116" i="8"/>
  <c r="D116" i="8"/>
  <c r="E116" i="8" s="1"/>
  <c r="U116" i="8"/>
  <c r="B117" i="8"/>
  <c r="C117" i="8"/>
  <c r="D117" i="8"/>
  <c r="E117" i="8" s="1"/>
  <c r="U117" i="8"/>
  <c r="B118" i="8"/>
  <c r="C118" i="8"/>
  <c r="D118" i="8"/>
  <c r="E118" i="8" s="1"/>
  <c r="U118" i="8"/>
  <c r="B119" i="8"/>
  <c r="C119" i="8"/>
  <c r="D119" i="8"/>
  <c r="E119" i="8" s="1"/>
  <c r="U119" i="8"/>
  <c r="B120" i="8"/>
  <c r="C120" i="8"/>
  <c r="D120" i="8"/>
  <c r="E120" i="8" s="1"/>
  <c r="U120" i="8"/>
  <c r="B121" i="8"/>
  <c r="C121" i="8"/>
  <c r="D121" i="8"/>
  <c r="E121" i="8" s="1"/>
  <c r="M121" i="8"/>
  <c r="U121" i="8"/>
  <c r="B122" i="8"/>
  <c r="C122" i="8"/>
  <c r="D122" i="8"/>
  <c r="E122" i="8" s="1"/>
  <c r="U122" i="8"/>
  <c r="B123" i="8"/>
  <c r="C123" i="8"/>
  <c r="D123" i="8"/>
  <c r="E123" i="8" s="1"/>
  <c r="U123" i="8"/>
  <c r="B124" i="8"/>
  <c r="C124" i="8"/>
  <c r="D124" i="8"/>
  <c r="E124" i="8" s="1"/>
  <c r="U124" i="8"/>
  <c r="B125" i="8"/>
  <c r="C125" i="8"/>
  <c r="D125" i="8"/>
  <c r="E125" i="8" s="1"/>
  <c r="U125" i="8"/>
  <c r="B126" i="8"/>
  <c r="C126" i="8"/>
  <c r="D126" i="8"/>
  <c r="E126" i="8" s="1"/>
  <c r="U126" i="8"/>
  <c r="B127" i="8"/>
  <c r="C127" i="8"/>
  <c r="D127" i="8"/>
  <c r="E127" i="8" s="1"/>
  <c r="M127" i="8"/>
  <c r="U127" i="8"/>
  <c r="B128" i="8"/>
  <c r="C128" i="8"/>
  <c r="D128" i="8"/>
  <c r="E128" i="8" s="1"/>
  <c r="U128" i="8"/>
  <c r="B129" i="8"/>
  <c r="C129" i="8"/>
  <c r="D129" i="8"/>
  <c r="E129" i="8" s="1"/>
  <c r="U129" i="8"/>
  <c r="B130" i="8"/>
  <c r="C130" i="8"/>
  <c r="D130" i="8"/>
  <c r="E130" i="8" s="1"/>
  <c r="U130" i="8"/>
  <c r="B131" i="8"/>
  <c r="C131" i="8"/>
  <c r="D131" i="8"/>
  <c r="E131" i="8" s="1"/>
  <c r="U131" i="8"/>
  <c r="B132" i="8"/>
  <c r="C132" i="8"/>
  <c r="D132" i="8"/>
  <c r="E132" i="8" s="1"/>
  <c r="M132" i="8"/>
  <c r="U132" i="8"/>
  <c r="B133" i="8"/>
  <c r="C133" i="8"/>
  <c r="D133" i="8"/>
  <c r="E133" i="8" s="1"/>
  <c r="M133" i="8"/>
  <c r="U133" i="8"/>
  <c r="B134" i="8"/>
  <c r="C134" i="8"/>
  <c r="D134" i="8"/>
  <c r="E134" i="8" s="1"/>
  <c r="U134" i="8"/>
  <c r="B135" i="8"/>
  <c r="C135" i="8"/>
  <c r="D135" i="8"/>
  <c r="E135" i="8" s="1"/>
  <c r="U135" i="8"/>
  <c r="B136" i="8"/>
  <c r="C136" i="8"/>
  <c r="D136" i="8"/>
  <c r="E136" i="8" s="1"/>
  <c r="U136" i="8"/>
  <c r="B137" i="8"/>
  <c r="C137" i="8"/>
  <c r="D137" i="8"/>
  <c r="E137" i="8"/>
  <c r="U137" i="8"/>
  <c r="B138" i="8"/>
  <c r="C138" i="8"/>
  <c r="D138" i="8"/>
  <c r="E138" i="8" s="1"/>
  <c r="M138" i="8"/>
  <c r="U138" i="8"/>
  <c r="B139" i="8"/>
  <c r="C139" i="8"/>
  <c r="D139" i="8"/>
  <c r="E139" i="8" s="1"/>
  <c r="M139" i="8"/>
  <c r="U139" i="8"/>
  <c r="B140" i="8"/>
  <c r="C140" i="8"/>
  <c r="D140" i="8"/>
  <c r="E140" i="8" s="1"/>
  <c r="U140" i="8"/>
  <c r="B141" i="8"/>
  <c r="C141" i="8"/>
  <c r="D141" i="8"/>
  <c r="E141" i="8" s="1"/>
  <c r="U141" i="8"/>
  <c r="B142" i="8"/>
  <c r="C142" i="8"/>
  <c r="D142" i="8"/>
  <c r="E142" i="8" s="1"/>
  <c r="U142" i="8"/>
  <c r="B143" i="8"/>
  <c r="C143" i="8"/>
  <c r="D143" i="8"/>
  <c r="E143" i="8" s="1"/>
  <c r="U143" i="8"/>
  <c r="B144" i="8"/>
  <c r="C144" i="8"/>
  <c r="D144" i="8"/>
  <c r="E144" i="8" s="1"/>
  <c r="M144" i="8"/>
  <c r="U144" i="8"/>
  <c r="B145" i="8"/>
  <c r="C145" i="8"/>
  <c r="D145" i="8"/>
  <c r="E145" i="8" s="1"/>
  <c r="M145" i="8"/>
  <c r="U145" i="8"/>
  <c r="B146" i="8"/>
  <c r="C146" i="8"/>
  <c r="D146" i="8"/>
  <c r="E146" i="8" s="1"/>
  <c r="U146" i="8"/>
  <c r="B147" i="8"/>
  <c r="C147" i="8"/>
  <c r="D147" i="8"/>
  <c r="E147" i="8" s="1"/>
  <c r="U147" i="8"/>
  <c r="B148" i="8"/>
  <c r="C148" i="8"/>
  <c r="D148" i="8"/>
  <c r="E148" i="8" s="1"/>
  <c r="U148" i="8"/>
  <c r="B149" i="8"/>
  <c r="C149" i="8"/>
  <c r="D149" i="8"/>
  <c r="E149" i="8" s="1"/>
  <c r="U149" i="8"/>
  <c r="B150" i="8"/>
  <c r="C150" i="8"/>
  <c r="D150" i="8"/>
  <c r="E150" i="8" s="1"/>
  <c r="M150" i="8"/>
  <c r="U150" i="8"/>
  <c r="B151" i="8"/>
  <c r="C151" i="8"/>
  <c r="D151" i="8"/>
  <c r="E151" i="8" s="1"/>
  <c r="M151" i="8"/>
  <c r="U151" i="8"/>
  <c r="B152" i="8"/>
  <c r="C152" i="8"/>
  <c r="D152" i="8"/>
  <c r="E152" i="8" s="1"/>
  <c r="U152" i="8"/>
  <c r="B153" i="8"/>
  <c r="C153" i="8"/>
  <c r="D153" i="8"/>
  <c r="E153" i="8" s="1"/>
  <c r="M153" i="8"/>
  <c r="U153" i="8"/>
  <c r="U4" i="8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2" i="6"/>
  <c r="D4" i="8"/>
  <c r="E4" i="8" s="1"/>
  <c r="C4" i="8"/>
  <c r="B4" i="8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2" i="3"/>
  <c r="C3" i="6"/>
  <c r="D3" i="6"/>
  <c r="E3" i="6"/>
  <c r="G3" i="6" s="1"/>
  <c r="M3" i="6"/>
  <c r="Q3" i="6"/>
  <c r="C4" i="6"/>
  <c r="D4" i="6"/>
  <c r="E4" i="6"/>
  <c r="G4" i="6" s="1"/>
  <c r="M4" i="6"/>
  <c r="Q4" i="6"/>
  <c r="C5" i="6"/>
  <c r="D5" i="6"/>
  <c r="E5" i="6"/>
  <c r="G5" i="6" s="1"/>
  <c r="M5" i="6"/>
  <c r="Q5" i="6"/>
  <c r="C6" i="6"/>
  <c r="D6" i="6"/>
  <c r="E6" i="6"/>
  <c r="G6" i="6" s="1"/>
  <c r="Q6" i="6"/>
  <c r="C7" i="6"/>
  <c r="D7" i="6"/>
  <c r="E7" i="6"/>
  <c r="G7" i="6" s="1"/>
  <c r="C8" i="6"/>
  <c r="D8" i="6"/>
  <c r="E8" i="6"/>
  <c r="G8" i="6" s="1"/>
  <c r="C9" i="6"/>
  <c r="D9" i="6"/>
  <c r="E9" i="6"/>
  <c r="G9" i="6" s="1"/>
  <c r="C10" i="6"/>
  <c r="D10" i="6"/>
  <c r="E10" i="6"/>
  <c r="G10" i="6" s="1"/>
  <c r="M10" i="6"/>
  <c r="C11" i="6"/>
  <c r="D11" i="6"/>
  <c r="E11" i="6"/>
  <c r="G11" i="6" s="1"/>
  <c r="C12" i="6"/>
  <c r="D12" i="6"/>
  <c r="E12" i="6"/>
  <c r="G12" i="6" s="1"/>
  <c r="C13" i="6"/>
  <c r="D13" i="6"/>
  <c r="E13" i="6"/>
  <c r="G13" i="6" s="1"/>
  <c r="Q13" i="6"/>
  <c r="C14" i="6"/>
  <c r="D14" i="6"/>
  <c r="E14" i="6"/>
  <c r="G14" i="6" s="1"/>
  <c r="M14" i="6"/>
  <c r="C15" i="6"/>
  <c r="D15" i="6"/>
  <c r="E15" i="6"/>
  <c r="G15" i="6" s="1"/>
  <c r="C16" i="6"/>
  <c r="D16" i="6"/>
  <c r="E16" i="6"/>
  <c r="G16" i="6" s="1"/>
  <c r="M16" i="6"/>
  <c r="Q16" i="6"/>
  <c r="C17" i="6"/>
  <c r="D17" i="6"/>
  <c r="E17" i="6"/>
  <c r="G17" i="6" s="1"/>
  <c r="C18" i="6"/>
  <c r="D18" i="6"/>
  <c r="E18" i="6"/>
  <c r="G18" i="6" s="1"/>
  <c r="C19" i="6"/>
  <c r="D19" i="6"/>
  <c r="E19" i="6"/>
  <c r="G19" i="6" s="1"/>
  <c r="Q19" i="6"/>
  <c r="C20" i="6"/>
  <c r="D20" i="6"/>
  <c r="E20" i="6"/>
  <c r="G20" i="6" s="1"/>
  <c r="M20" i="6"/>
  <c r="Q20" i="6"/>
  <c r="C21" i="6"/>
  <c r="D21" i="6"/>
  <c r="E21" i="6"/>
  <c r="G21" i="6" s="1"/>
  <c r="M21" i="6"/>
  <c r="Q21" i="6"/>
  <c r="C22" i="6"/>
  <c r="D22" i="6"/>
  <c r="E22" i="6"/>
  <c r="G22" i="6" s="1"/>
  <c r="Q22" i="6"/>
  <c r="C23" i="6"/>
  <c r="D23" i="6"/>
  <c r="E23" i="6"/>
  <c r="G23" i="6" s="1"/>
  <c r="M23" i="6"/>
  <c r="Q23" i="6"/>
  <c r="C24" i="6"/>
  <c r="D24" i="6"/>
  <c r="E24" i="6"/>
  <c r="G24" i="6" s="1"/>
  <c r="C25" i="6"/>
  <c r="D25" i="6"/>
  <c r="E25" i="6"/>
  <c r="G25" i="6" s="1"/>
  <c r="C26" i="6"/>
  <c r="D26" i="6"/>
  <c r="E26" i="6"/>
  <c r="G26" i="6" s="1"/>
  <c r="C27" i="6"/>
  <c r="D27" i="6"/>
  <c r="E27" i="6"/>
  <c r="G27" i="6" s="1"/>
  <c r="C28" i="6"/>
  <c r="D28" i="6"/>
  <c r="E28" i="6"/>
  <c r="G28" i="6" s="1"/>
  <c r="Q28" i="6"/>
  <c r="C29" i="6"/>
  <c r="D29" i="6"/>
  <c r="E29" i="6"/>
  <c r="G29" i="6" s="1"/>
  <c r="Q29" i="6"/>
  <c r="C30" i="6"/>
  <c r="D30" i="6"/>
  <c r="E30" i="6"/>
  <c r="G30" i="6" s="1"/>
  <c r="Q30" i="6"/>
  <c r="C31" i="6"/>
  <c r="D31" i="6"/>
  <c r="E31" i="6"/>
  <c r="G31" i="6" s="1"/>
  <c r="C32" i="6"/>
  <c r="D32" i="6"/>
  <c r="E32" i="6"/>
  <c r="G32" i="6" s="1"/>
  <c r="C33" i="6"/>
  <c r="D33" i="6"/>
  <c r="E33" i="6"/>
  <c r="G33" i="6" s="1"/>
  <c r="C34" i="6"/>
  <c r="D34" i="6"/>
  <c r="E34" i="6"/>
  <c r="G34" i="6" s="1"/>
  <c r="Q34" i="6"/>
  <c r="C35" i="6"/>
  <c r="D35" i="6"/>
  <c r="E35" i="6"/>
  <c r="G35" i="6" s="1"/>
  <c r="Q35" i="6"/>
  <c r="C36" i="6"/>
  <c r="D36" i="6"/>
  <c r="E36" i="6"/>
  <c r="G36" i="6" s="1"/>
  <c r="M36" i="6"/>
  <c r="Q36" i="6"/>
  <c r="C37" i="6"/>
  <c r="D37" i="6"/>
  <c r="E37" i="6"/>
  <c r="G37" i="6" s="1"/>
  <c r="C38" i="6"/>
  <c r="D38" i="6"/>
  <c r="E38" i="6"/>
  <c r="G38" i="6" s="1"/>
  <c r="C39" i="6"/>
  <c r="D39" i="6"/>
  <c r="E39" i="6"/>
  <c r="G39" i="6" s="1"/>
  <c r="C40" i="6"/>
  <c r="D40" i="6"/>
  <c r="E40" i="6"/>
  <c r="G40" i="6" s="1"/>
  <c r="Q40" i="6"/>
  <c r="C41" i="6"/>
  <c r="D41" i="6"/>
  <c r="E41" i="6"/>
  <c r="G41" i="6" s="1"/>
  <c r="Q41" i="6"/>
  <c r="C42" i="6"/>
  <c r="D42" i="6"/>
  <c r="E42" i="6"/>
  <c r="G42" i="6" s="1"/>
  <c r="C43" i="6"/>
  <c r="D43" i="6"/>
  <c r="E43" i="6"/>
  <c r="G43" i="6" s="1"/>
  <c r="C44" i="6"/>
  <c r="D44" i="6"/>
  <c r="E44" i="6"/>
  <c r="G44" i="6" s="1"/>
  <c r="C45" i="6"/>
  <c r="D45" i="6"/>
  <c r="E45" i="6"/>
  <c r="G45" i="6" s="1"/>
  <c r="C46" i="6"/>
  <c r="D46" i="6"/>
  <c r="E46" i="6"/>
  <c r="G46" i="6" s="1"/>
  <c r="Q46" i="6"/>
  <c r="C47" i="6"/>
  <c r="D47" i="6"/>
  <c r="E47" i="6"/>
  <c r="G47" i="6" s="1"/>
  <c r="M47" i="6"/>
  <c r="Q47" i="6"/>
  <c r="C48" i="6"/>
  <c r="D48" i="6"/>
  <c r="E48" i="6"/>
  <c r="G48" i="6" s="1"/>
  <c r="C49" i="6"/>
  <c r="D49" i="6"/>
  <c r="E49" i="6"/>
  <c r="G49" i="6" s="1"/>
  <c r="C50" i="6"/>
  <c r="D50" i="6"/>
  <c r="E50" i="6"/>
  <c r="G50" i="6" s="1"/>
  <c r="C51" i="6"/>
  <c r="D51" i="6"/>
  <c r="E51" i="6"/>
  <c r="G51" i="6" s="1"/>
  <c r="C52" i="6"/>
  <c r="D52" i="6"/>
  <c r="E52" i="6"/>
  <c r="G52" i="6" s="1"/>
  <c r="Q52" i="6"/>
  <c r="C53" i="6"/>
  <c r="D53" i="6"/>
  <c r="E53" i="6"/>
  <c r="G53" i="6" s="1"/>
  <c r="M53" i="6"/>
  <c r="Q53" i="6"/>
  <c r="C54" i="6"/>
  <c r="D54" i="6"/>
  <c r="E54" i="6"/>
  <c r="G54" i="6" s="1"/>
  <c r="Q54" i="6"/>
  <c r="C55" i="6"/>
  <c r="D55" i="6"/>
  <c r="E55" i="6"/>
  <c r="G55" i="6" s="1"/>
  <c r="C56" i="6"/>
  <c r="D56" i="6"/>
  <c r="E56" i="6"/>
  <c r="G56" i="6" s="1"/>
  <c r="C57" i="6"/>
  <c r="D57" i="6"/>
  <c r="E57" i="6"/>
  <c r="G57" i="6" s="1"/>
  <c r="C58" i="6"/>
  <c r="D58" i="6"/>
  <c r="E58" i="6"/>
  <c r="G58" i="6" s="1"/>
  <c r="Q58" i="6"/>
  <c r="C59" i="6"/>
  <c r="D59" i="6"/>
  <c r="E59" i="6"/>
  <c r="G59" i="6" s="1"/>
  <c r="M59" i="6"/>
  <c r="Q59" i="6"/>
  <c r="C60" i="6"/>
  <c r="D60" i="6"/>
  <c r="E60" i="6"/>
  <c r="G60" i="6" s="1"/>
  <c r="C61" i="6"/>
  <c r="D61" i="6"/>
  <c r="E61" i="6"/>
  <c r="G61" i="6" s="1"/>
  <c r="C62" i="6"/>
  <c r="D62" i="6"/>
  <c r="E62" i="6"/>
  <c r="G62" i="6" s="1"/>
  <c r="C63" i="6"/>
  <c r="D63" i="6"/>
  <c r="E63" i="6"/>
  <c r="G63" i="6" s="1"/>
  <c r="Q63" i="6"/>
  <c r="C64" i="6"/>
  <c r="D64" i="6"/>
  <c r="E64" i="6"/>
  <c r="G64" i="6" s="1"/>
  <c r="Q64" i="6"/>
  <c r="C65" i="6"/>
  <c r="D65" i="6"/>
  <c r="E65" i="6"/>
  <c r="G65" i="6" s="1"/>
  <c r="M65" i="6"/>
  <c r="Q65" i="6"/>
  <c r="C66" i="6"/>
  <c r="D66" i="6"/>
  <c r="E66" i="6"/>
  <c r="G66" i="6" s="1"/>
  <c r="M66" i="6"/>
  <c r="C67" i="6"/>
  <c r="D67" i="6"/>
  <c r="E67" i="6"/>
  <c r="G67" i="6" s="1"/>
  <c r="C68" i="6"/>
  <c r="D68" i="6"/>
  <c r="E68" i="6"/>
  <c r="G68" i="6" s="1"/>
  <c r="C69" i="6"/>
  <c r="D69" i="6"/>
  <c r="E69" i="6"/>
  <c r="G69" i="6" s="1"/>
  <c r="C70" i="6"/>
  <c r="D70" i="6"/>
  <c r="E70" i="6"/>
  <c r="G70" i="6" s="1"/>
  <c r="Q70" i="6"/>
  <c r="C71" i="6"/>
  <c r="D71" i="6"/>
  <c r="E71" i="6"/>
  <c r="G71" i="6" s="1"/>
  <c r="M71" i="6"/>
  <c r="Q71" i="6"/>
  <c r="C72" i="6"/>
  <c r="D72" i="6"/>
  <c r="E72" i="6"/>
  <c r="G72" i="6" s="1"/>
  <c r="Q72" i="6"/>
  <c r="C73" i="6"/>
  <c r="D73" i="6"/>
  <c r="E73" i="6"/>
  <c r="G73" i="6" s="1"/>
  <c r="C74" i="6"/>
  <c r="D74" i="6"/>
  <c r="E74" i="6"/>
  <c r="G74" i="6" s="1"/>
  <c r="C75" i="6"/>
  <c r="D75" i="6"/>
  <c r="E75" i="6"/>
  <c r="G75" i="6" s="1"/>
  <c r="C76" i="6"/>
  <c r="D76" i="6"/>
  <c r="E76" i="6"/>
  <c r="G76" i="6" s="1"/>
  <c r="Q76" i="6"/>
  <c r="C77" i="6"/>
  <c r="D77" i="6"/>
  <c r="E77" i="6"/>
  <c r="G77" i="6" s="1"/>
  <c r="M77" i="6"/>
  <c r="Q77" i="6"/>
  <c r="C78" i="6"/>
  <c r="D78" i="6"/>
  <c r="E78" i="6"/>
  <c r="G78" i="6" s="1"/>
  <c r="Q78" i="6"/>
  <c r="C79" i="6"/>
  <c r="D79" i="6"/>
  <c r="E79" i="6"/>
  <c r="G79" i="6" s="1"/>
  <c r="C80" i="6"/>
  <c r="D80" i="6"/>
  <c r="E80" i="6"/>
  <c r="G80" i="6" s="1"/>
  <c r="C81" i="6"/>
  <c r="D81" i="6"/>
  <c r="E81" i="6"/>
  <c r="G81" i="6" s="1"/>
  <c r="C82" i="6"/>
  <c r="D82" i="6"/>
  <c r="E82" i="6"/>
  <c r="G82" i="6" s="1"/>
  <c r="Q82" i="6"/>
  <c r="C83" i="6"/>
  <c r="D83" i="6"/>
  <c r="E83" i="6"/>
  <c r="G83" i="6" s="1"/>
  <c r="M83" i="6"/>
  <c r="Q83" i="6"/>
  <c r="C84" i="6"/>
  <c r="D84" i="6"/>
  <c r="E84" i="6"/>
  <c r="G84" i="6" s="1"/>
  <c r="M84" i="6"/>
  <c r="Q84" i="6"/>
  <c r="C85" i="6"/>
  <c r="D85" i="6"/>
  <c r="E85" i="6"/>
  <c r="G85" i="6" s="1"/>
  <c r="C86" i="6"/>
  <c r="D86" i="6"/>
  <c r="E86" i="6"/>
  <c r="G86" i="6" s="1"/>
  <c r="C87" i="6"/>
  <c r="D87" i="6"/>
  <c r="E87" i="6"/>
  <c r="G87" i="6" s="1"/>
  <c r="C88" i="6"/>
  <c r="D88" i="6"/>
  <c r="E88" i="6"/>
  <c r="G88" i="6" s="1"/>
  <c r="Q88" i="6"/>
  <c r="C89" i="6"/>
  <c r="D89" i="6"/>
  <c r="E89" i="6"/>
  <c r="G89" i="6" s="1"/>
  <c r="M89" i="6"/>
  <c r="Q89" i="6"/>
  <c r="C90" i="6"/>
  <c r="D90" i="6"/>
  <c r="E90" i="6"/>
  <c r="G90" i="6" s="1"/>
  <c r="C91" i="6"/>
  <c r="D91" i="6"/>
  <c r="E91" i="6"/>
  <c r="G91" i="6" s="1"/>
  <c r="C92" i="6"/>
  <c r="D92" i="6"/>
  <c r="E92" i="6"/>
  <c r="G92" i="6" s="1"/>
  <c r="C93" i="6"/>
  <c r="D93" i="6"/>
  <c r="E93" i="6"/>
  <c r="G93" i="6" s="1"/>
  <c r="C94" i="6"/>
  <c r="D94" i="6"/>
  <c r="E94" i="6"/>
  <c r="G94" i="6" s="1"/>
  <c r="M94" i="6"/>
  <c r="Q94" i="6"/>
  <c r="C95" i="6"/>
  <c r="D95" i="6"/>
  <c r="E95" i="6"/>
  <c r="G95" i="6" s="1"/>
  <c r="M95" i="6"/>
  <c r="Q95" i="6"/>
  <c r="C96" i="6"/>
  <c r="D96" i="6"/>
  <c r="E96" i="6"/>
  <c r="G96" i="6" s="1"/>
  <c r="C97" i="6"/>
  <c r="D97" i="6"/>
  <c r="E97" i="6"/>
  <c r="G97" i="6" s="1"/>
  <c r="C98" i="6"/>
  <c r="D98" i="6"/>
  <c r="E98" i="6"/>
  <c r="G98" i="6" s="1"/>
  <c r="C99" i="6"/>
  <c r="D99" i="6"/>
  <c r="E99" i="6"/>
  <c r="G99" i="6" s="1"/>
  <c r="C100" i="6"/>
  <c r="D100" i="6"/>
  <c r="E100" i="6"/>
  <c r="G100" i="6" s="1"/>
  <c r="Q100" i="6"/>
  <c r="C101" i="6"/>
  <c r="D101" i="6"/>
  <c r="E101" i="6"/>
  <c r="G101" i="6" s="1"/>
  <c r="M101" i="6"/>
  <c r="Q101" i="6"/>
  <c r="C102" i="6"/>
  <c r="D102" i="6"/>
  <c r="E102" i="6"/>
  <c r="G102" i="6" s="1"/>
  <c r="Q102" i="6"/>
  <c r="C103" i="6"/>
  <c r="D103" i="6"/>
  <c r="E103" i="6"/>
  <c r="G103" i="6" s="1"/>
  <c r="C104" i="6"/>
  <c r="D104" i="6"/>
  <c r="E104" i="6"/>
  <c r="G104" i="6" s="1"/>
  <c r="C105" i="6"/>
  <c r="D105" i="6"/>
  <c r="E105" i="6"/>
  <c r="G105" i="6" s="1"/>
  <c r="C106" i="6"/>
  <c r="D106" i="6"/>
  <c r="E106" i="6"/>
  <c r="G106" i="6" s="1"/>
  <c r="M106" i="6"/>
  <c r="Q106" i="6"/>
  <c r="C107" i="6"/>
  <c r="D107" i="6"/>
  <c r="E107" i="6"/>
  <c r="G107" i="6" s="1"/>
  <c r="Q107" i="6"/>
  <c r="C108" i="6"/>
  <c r="D108" i="6"/>
  <c r="E108" i="6"/>
  <c r="G108" i="6" s="1"/>
  <c r="C109" i="6"/>
  <c r="D109" i="6"/>
  <c r="E109" i="6"/>
  <c r="G109" i="6" s="1"/>
  <c r="C110" i="6"/>
  <c r="D110" i="6"/>
  <c r="E110" i="6"/>
  <c r="G110" i="6" s="1"/>
  <c r="C111" i="6"/>
  <c r="D111" i="6"/>
  <c r="E111" i="6"/>
  <c r="G111" i="6" s="1"/>
  <c r="C112" i="6"/>
  <c r="D112" i="6"/>
  <c r="E112" i="6"/>
  <c r="G112" i="6" s="1"/>
  <c r="Q112" i="6"/>
  <c r="C113" i="6"/>
  <c r="D113" i="6"/>
  <c r="E113" i="6"/>
  <c r="G113" i="6" s="1"/>
  <c r="Q113" i="6"/>
  <c r="C114" i="6"/>
  <c r="D114" i="6"/>
  <c r="E114" i="6"/>
  <c r="G114" i="6" s="1"/>
  <c r="M114" i="6"/>
  <c r="C115" i="6"/>
  <c r="D115" i="6"/>
  <c r="E115" i="6"/>
  <c r="G115" i="6" s="1"/>
  <c r="C116" i="6"/>
  <c r="D116" i="6"/>
  <c r="E116" i="6"/>
  <c r="G116" i="6" s="1"/>
  <c r="C117" i="6"/>
  <c r="D117" i="6"/>
  <c r="E117" i="6"/>
  <c r="G117" i="6" s="1"/>
  <c r="C118" i="6"/>
  <c r="D118" i="6"/>
  <c r="E118" i="6"/>
  <c r="G118" i="6" s="1"/>
  <c r="Q118" i="6"/>
  <c r="C119" i="6"/>
  <c r="D119" i="6"/>
  <c r="E119" i="6"/>
  <c r="G119" i="6" s="1"/>
  <c r="M119" i="6"/>
  <c r="Q119" i="6"/>
  <c r="C120" i="6"/>
  <c r="D120" i="6"/>
  <c r="E120" i="6"/>
  <c r="G120" i="6" s="1"/>
  <c r="Q120" i="6"/>
  <c r="C121" i="6"/>
  <c r="D121" i="6"/>
  <c r="E121" i="6"/>
  <c r="G121" i="6" s="1"/>
  <c r="C122" i="6"/>
  <c r="D122" i="6"/>
  <c r="E122" i="6"/>
  <c r="G122" i="6" s="1"/>
  <c r="C123" i="6"/>
  <c r="D123" i="6"/>
  <c r="E123" i="6"/>
  <c r="G123" i="6" s="1"/>
  <c r="C124" i="6"/>
  <c r="D124" i="6"/>
  <c r="E124" i="6"/>
  <c r="G124" i="6" s="1"/>
  <c r="Q124" i="6"/>
  <c r="C125" i="6"/>
  <c r="D125" i="6"/>
  <c r="E125" i="6"/>
  <c r="G125" i="6" s="1"/>
  <c r="M125" i="6"/>
  <c r="Q125" i="6"/>
  <c r="C126" i="6"/>
  <c r="D126" i="6"/>
  <c r="E126" i="6"/>
  <c r="G126" i="6" s="1"/>
  <c r="Q126" i="6"/>
  <c r="C127" i="6"/>
  <c r="D127" i="6"/>
  <c r="E127" i="6"/>
  <c r="G127" i="6" s="1"/>
  <c r="C128" i="6"/>
  <c r="D128" i="6"/>
  <c r="E128" i="6"/>
  <c r="G128" i="6" s="1"/>
  <c r="C129" i="6"/>
  <c r="D129" i="6"/>
  <c r="E129" i="6"/>
  <c r="G129" i="6" s="1"/>
  <c r="C130" i="6"/>
  <c r="D130" i="6"/>
  <c r="E130" i="6"/>
  <c r="G130" i="6" s="1"/>
  <c r="Q130" i="6"/>
  <c r="C131" i="6"/>
  <c r="D131" i="6"/>
  <c r="E131" i="6"/>
  <c r="G131" i="6" s="1"/>
  <c r="M131" i="6"/>
  <c r="Q131" i="6"/>
  <c r="C132" i="6"/>
  <c r="D132" i="6"/>
  <c r="E132" i="6"/>
  <c r="G132" i="6" s="1"/>
  <c r="M132" i="6"/>
  <c r="Q132" i="6"/>
  <c r="C133" i="6"/>
  <c r="D133" i="6"/>
  <c r="E133" i="6"/>
  <c r="G133" i="6" s="1"/>
  <c r="C134" i="6"/>
  <c r="D134" i="6"/>
  <c r="E134" i="6"/>
  <c r="G134" i="6" s="1"/>
  <c r="C135" i="6"/>
  <c r="D135" i="6"/>
  <c r="E135" i="6"/>
  <c r="G135" i="6" s="1"/>
  <c r="C136" i="6"/>
  <c r="D136" i="6"/>
  <c r="E136" i="6"/>
  <c r="G136" i="6" s="1"/>
  <c r="Q136" i="6"/>
  <c r="C137" i="6"/>
  <c r="D137" i="6"/>
  <c r="E137" i="6"/>
  <c r="G137" i="6" s="1"/>
  <c r="M137" i="6"/>
  <c r="Q137" i="6"/>
  <c r="C138" i="6"/>
  <c r="D138" i="6"/>
  <c r="E138" i="6"/>
  <c r="G138" i="6" s="1"/>
  <c r="C139" i="6"/>
  <c r="D139" i="6"/>
  <c r="E139" i="6"/>
  <c r="G139" i="6" s="1"/>
  <c r="C140" i="6"/>
  <c r="D140" i="6"/>
  <c r="E140" i="6"/>
  <c r="G140" i="6" s="1"/>
  <c r="C141" i="6"/>
  <c r="D141" i="6"/>
  <c r="E141" i="6"/>
  <c r="G141" i="6" s="1"/>
  <c r="M141" i="6"/>
  <c r="C142" i="6"/>
  <c r="D142" i="6"/>
  <c r="E142" i="6"/>
  <c r="G142" i="6" s="1"/>
  <c r="M142" i="6"/>
  <c r="Q142" i="6"/>
  <c r="C143" i="6"/>
  <c r="D143" i="6"/>
  <c r="E143" i="6"/>
  <c r="G143" i="6" s="1"/>
  <c r="M143" i="6"/>
  <c r="Q143" i="6"/>
  <c r="C144" i="6"/>
  <c r="D144" i="6"/>
  <c r="E144" i="6"/>
  <c r="G144" i="6" s="1"/>
  <c r="C145" i="6"/>
  <c r="D145" i="6"/>
  <c r="E145" i="6"/>
  <c r="G145" i="6" s="1"/>
  <c r="C146" i="6"/>
  <c r="D146" i="6"/>
  <c r="E146" i="6"/>
  <c r="G146" i="6" s="1"/>
  <c r="C147" i="6"/>
  <c r="D147" i="6"/>
  <c r="E147" i="6"/>
  <c r="G147" i="6" s="1"/>
  <c r="C148" i="6"/>
  <c r="D148" i="6"/>
  <c r="E148" i="6"/>
  <c r="G148" i="6" s="1"/>
  <c r="M148" i="6"/>
  <c r="Q148" i="6"/>
  <c r="C149" i="6"/>
  <c r="D149" i="6"/>
  <c r="E149" i="6"/>
  <c r="G149" i="6" s="1"/>
  <c r="M149" i="6"/>
  <c r="Q149" i="6"/>
  <c r="C150" i="6"/>
  <c r="D150" i="6"/>
  <c r="E150" i="6"/>
  <c r="G150" i="6" s="1"/>
  <c r="C151" i="6"/>
  <c r="D151" i="6"/>
  <c r="E151" i="6"/>
  <c r="G151" i="6" s="1"/>
  <c r="Q151" i="6"/>
  <c r="D2" i="6"/>
  <c r="F2" i="4"/>
  <c r="M2" i="6" s="1"/>
  <c r="Q2" i="6"/>
  <c r="E2" i="6"/>
  <c r="G2" i="6" s="1"/>
  <c r="C2" i="6"/>
  <c r="Q7" i="6" l="1"/>
  <c r="M33" i="8"/>
  <c r="M146" i="8"/>
  <c r="Q141" i="6"/>
  <c r="Q18" i="6"/>
  <c r="Q15" i="6"/>
  <c r="Q17" i="6"/>
  <c r="Q8" i="6"/>
  <c r="M16" i="8"/>
  <c r="Q45" i="6"/>
  <c r="M119" i="8"/>
  <c r="M51" i="8"/>
  <c r="M35" i="8"/>
  <c r="M12" i="8"/>
  <c r="M53" i="8"/>
  <c r="Q11" i="6"/>
  <c r="M69" i="8"/>
  <c r="Q145" i="6"/>
  <c r="Q150" i="6"/>
  <c r="Q147" i="6"/>
  <c r="M148" i="8"/>
  <c r="Q139" i="6"/>
  <c r="M140" i="8"/>
  <c r="Q135" i="6"/>
  <c r="M135" i="8"/>
  <c r="M131" i="8"/>
  <c r="M124" i="8"/>
  <c r="Q123" i="6"/>
  <c r="M117" i="8"/>
  <c r="Q114" i="6"/>
  <c r="M113" i="8"/>
  <c r="Q105" i="6"/>
  <c r="Q98" i="6"/>
  <c r="Q109" i="6"/>
  <c r="Q103" i="6"/>
  <c r="M101" i="8"/>
  <c r="Q91" i="6"/>
  <c r="Q96" i="6"/>
  <c r="M95" i="8"/>
  <c r="Q87" i="6"/>
  <c r="M83" i="8"/>
  <c r="Q75" i="6"/>
  <c r="Q57" i="6"/>
  <c r="Q66" i="6"/>
  <c r="Q61" i="6"/>
  <c r="M62" i="8"/>
  <c r="Q55" i="6"/>
  <c r="Q50" i="6"/>
  <c r="Q48" i="6"/>
  <c r="Q43" i="6"/>
  <c r="M44" i="8"/>
  <c r="Q39" i="6"/>
  <c r="M29" i="8"/>
  <c r="Q24" i="6"/>
  <c r="Q116" i="6"/>
  <c r="M76" i="8"/>
  <c r="M58" i="8"/>
  <c r="M136" i="8"/>
  <c r="M70" i="8"/>
  <c r="M27" i="8"/>
  <c r="Q128" i="6"/>
  <c r="Q80" i="6"/>
  <c r="Q32" i="6"/>
  <c r="M129" i="8"/>
  <c r="M88" i="8"/>
  <c r="Q121" i="6"/>
  <c r="Q73" i="6"/>
  <c r="M106" i="8"/>
  <c r="M99" i="8"/>
  <c r="M81" i="8"/>
  <c r="M40" i="8"/>
  <c r="Q26" i="6"/>
  <c r="M64" i="8"/>
  <c r="M39" i="8"/>
  <c r="M87" i="8"/>
  <c r="M71" i="8"/>
  <c r="Q140" i="6"/>
  <c r="Q92" i="6"/>
  <c r="Q44" i="6"/>
  <c r="M112" i="8"/>
  <c r="M14" i="8"/>
  <c r="Q9" i="6"/>
</calcChain>
</file>

<file path=xl/sharedStrings.xml><?xml version="1.0" encoding="utf-8"?>
<sst xmlns="http://schemas.openxmlformats.org/spreadsheetml/2006/main" count="6612" uniqueCount="999">
  <si>
    <t>序号</t>
  </si>
  <si>
    <t>管辖小区</t>
  </si>
  <si>
    <t>楼栋</t>
  </si>
  <si>
    <t>单元</t>
  </si>
  <si>
    <t>门牌</t>
  </si>
  <si>
    <t>系统编码</t>
  </si>
  <si>
    <t>住户名称</t>
  </si>
  <si>
    <t>易投诉客户标签</t>
  </si>
  <si>
    <t>身份证编码</t>
  </si>
  <si>
    <t>住户联系方式</t>
  </si>
  <si>
    <t>建筑面积</t>
  </si>
  <si>
    <t>供热状态</t>
  </si>
  <si>
    <t>供热压区</t>
  </si>
  <si>
    <t>供热管网</t>
  </si>
  <si>
    <t>供热设备</t>
  </si>
  <si>
    <t>备注</t>
  </si>
  <si>
    <t>仪表编码</t>
  </si>
  <si>
    <t>仪表类型</t>
  </si>
  <si>
    <t>仪表口径</t>
  </si>
  <si>
    <t>安装方式</t>
  </si>
  <si>
    <t>是否为边顶</t>
  </si>
  <si>
    <t>是否为计量仪器</t>
  </si>
  <si>
    <t>是否为控制仪器</t>
  </si>
  <si>
    <t>是否为温控仪器</t>
  </si>
  <si>
    <t>仪表故障标志</t>
  </si>
  <si>
    <t>仪表疑问重点关注</t>
  </si>
  <si>
    <t>网关编码</t>
  </si>
  <si>
    <t>IOT网关编码</t>
  </si>
  <si>
    <t>住户备注</t>
  </si>
  <si>
    <t>仪表备注</t>
  </si>
  <si>
    <t>辅助排序</t>
  </si>
  <si>
    <t>创建员</t>
  </si>
  <si>
    <t>创建时间</t>
  </si>
  <si>
    <t>公交大厦</t>
  </si>
  <si>
    <t>序号</t>
    <phoneticPr fontId="6" type="noConversion"/>
  </si>
  <si>
    <t>30834490</t>
  </si>
  <si>
    <t>编码前段</t>
    <phoneticPr fontId="6" type="noConversion"/>
  </si>
  <si>
    <t>编码后段</t>
    <phoneticPr fontId="6" type="noConversion"/>
  </si>
  <si>
    <t>1号楼</t>
  </si>
  <si>
    <t>53号楼</t>
  </si>
  <si>
    <t>52号楼</t>
  </si>
  <si>
    <t>51号楼</t>
  </si>
  <si>
    <t>6号楼</t>
  </si>
  <si>
    <t>3号楼</t>
  </si>
  <si>
    <t>10号楼</t>
  </si>
  <si>
    <t>9号楼</t>
  </si>
  <si>
    <t>低压区</t>
  </si>
  <si>
    <t>30834494</t>
  </si>
  <si>
    <t>30834439</t>
  </si>
  <si>
    <t>30834493</t>
  </si>
  <si>
    <t>30834294</t>
  </si>
  <si>
    <t>30834967</t>
  </si>
  <si>
    <t>30834290</t>
  </si>
  <si>
    <t>30834293</t>
  </si>
  <si>
    <t>30834968</t>
  </si>
  <si>
    <t>30833387</t>
  </si>
  <si>
    <t>30833383</t>
  </si>
  <si>
    <t>30833388</t>
  </si>
  <si>
    <t>30833385</t>
  </si>
  <si>
    <t>30834298</t>
  </si>
  <si>
    <t>30834299</t>
  </si>
  <si>
    <t>30833390</t>
  </si>
  <si>
    <t>30834492</t>
  </si>
  <si>
    <t>30834416</t>
  </si>
  <si>
    <t>30834491</t>
  </si>
  <si>
    <t>30790958</t>
  </si>
  <si>
    <t>30834319</t>
  </si>
  <si>
    <t>30834321</t>
  </si>
  <si>
    <t>30834326</t>
  </si>
  <si>
    <t>30834320</t>
  </si>
  <si>
    <t>30834377</t>
  </si>
  <si>
    <t>30790767</t>
  </si>
  <si>
    <t>30790764</t>
  </si>
  <si>
    <t>30834369</t>
  </si>
  <si>
    <t>30834367</t>
  </si>
  <si>
    <t>30834368</t>
  </si>
  <si>
    <t>30834379</t>
  </si>
  <si>
    <t>30834374</t>
  </si>
  <si>
    <t>30834372</t>
  </si>
  <si>
    <t>30834357</t>
  </si>
  <si>
    <t>30834364</t>
  </si>
  <si>
    <t>30834358</t>
  </si>
  <si>
    <t>30833462</t>
  </si>
  <si>
    <t>30833409</t>
  </si>
  <si>
    <t>30833425</t>
  </si>
  <si>
    <t>30833421</t>
  </si>
  <si>
    <t>30833463</t>
  </si>
  <si>
    <t>30833457</t>
  </si>
  <si>
    <t>30834443</t>
  </si>
  <si>
    <t>30833461</t>
  </si>
  <si>
    <t>30834438</t>
  </si>
  <si>
    <t>30833464</t>
  </si>
  <si>
    <t>30834436</t>
  </si>
  <si>
    <t>30834435</t>
  </si>
  <si>
    <t>30833407</t>
  </si>
  <si>
    <t>30834418</t>
  </si>
  <si>
    <t>30834417</t>
  </si>
  <si>
    <t>30833403</t>
  </si>
  <si>
    <t>30834419</t>
  </si>
  <si>
    <t>30833406</t>
  </si>
  <si>
    <t>30833402</t>
  </si>
  <si>
    <t>30834954</t>
  </si>
  <si>
    <t>30834952</t>
  </si>
  <si>
    <t>30834953</t>
  </si>
  <si>
    <t>30834951</t>
  </si>
  <si>
    <t>30790964</t>
  </si>
  <si>
    <t>30790965</t>
  </si>
  <si>
    <t>30834288</t>
  </si>
  <si>
    <t>30790963</t>
  </si>
  <si>
    <t>30834948</t>
  </si>
  <si>
    <t>30834955</t>
  </si>
  <si>
    <t>30834525</t>
  </si>
  <si>
    <t>30834956</t>
  </si>
  <si>
    <t>30834287</t>
  </si>
  <si>
    <t>30834283</t>
  </si>
  <si>
    <t>30834949</t>
  </si>
  <si>
    <t>30790961</t>
  </si>
  <si>
    <t>30834304</t>
  </si>
  <si>
    <t>30834330</t>
  </si>
  <si>
    <t>30834327</t>
  </si>
  <si>
    <t>30834338</t>
  </si>
  <si>
    <t>30834445</t>
  </si>
  <si>
    <t>30834447</t>
  </si>
  <si>
    <t>30834446</t>
  </si>
  <si>
    <t>30834403</t>
  </si>
  <si>
    <t>30834397</t>
  </si>
  <si>
    <t>30834398</t>
  </si>
  <si>
    <t>30834451</t>
  </si>
  <si>
    <t>30834448</t>
  </si>
  <si>
    <t>30835164</t>
  </si>
  <si>
    <t>30833427</t>
  </si>
  <si>
    <t>30834318</t>
  </si>
  <si>
    <t>30834322</t>
  </si>
  <si>
    <t>30834496</t>
  </si>
  <si>
    <t>30834489</t>
  </si>
  <si>
    <t>30834458</t>
  </si>
  <si>
    <t>30834495</t>
  </si>
  <si>
    <t>30834970</t>
  </si>
  <si>
    <t>30834969</t>
  </si>
  <si>
    <t>30834971</t>
  </si>
  <si>
    <t>30834515</t>
  </si>
  <si>
    <t>30834512</t>
  </si>
  <si>
    <t>30834514</t>
  </si>
  <si>
    <t>30834513</t>
  </si>
  <si>
    <t>30834966</t>
  </si>
  <si>
    <t>30834331</t>
  </si>
  <si>
    <t>30790769</t>
  </si>
  <si>
    <t>30790774</t>
  </si>
  <si>
    <t>30834323</t>
  </si>
  <si>
    <t>30834391</t>
  </si>
  <si>
    <t>30834396</t>
  </si>
  <si>
    <t>30834286</t>
  </si>
  <si>
    <t>30834333</t>
  </si>
  <si>
    <t>30944129</t>
  </si>
  <si>
    <t>30834313</t>
  </si>
  <si>
    <t>30944112</t>
  </si>
  <si>
    <t>30944106</t>
  </si>
  <si>
    <t>30944110</t>
  </si>
  <si>
    <t>30944105</t>
  </si>
  <si>
    <t>30834316</t>
  </si>
  <si>
    <t>30944107</t>
  </si>
  <si>
    <t>30834332</t>
  </si>
  <si>
    <t>30834311</t>
  </si>
  <si>
    <t>30834317</t>
  </si>
  <si>
    <t>30834285</t>
  </si>
  <si>
    <t>30834310</t>
  </si>
  <si>
    <t>30834334</t>
  </si>
  <si>
    <t>30834312</t>
  </si>
  <si>
    <t>30834530</t>
  </si>
  <si>
    <t>30834284</t>
  </si>
  <si>
    <t>30834531</t>
  </si>
  <si>
    <t>30834931</t>
  </si>
  <si>
    <t>30834526</t>
  </si>
  <si>
    <t>30834557</t>
  </si>
  <si>
    <t>30834532</t>
  </si>
  <si>
    <t>30834533</t>
  </si>
  <si>
    <t>30834936</t>
  </si>
  <si>
    <t>30834527</t>
  </si>
  <si>
    <t>30834342</t>
  </si>
  <si>
    <t>30834343</t>
  </si>
  <si>
    <t>30834556</t>
  </si>
  <si>
    <t>30834552</t>
  </si>
  <si>
    <t>30834341</t>
  </si>
  <si>
    <t>30834938</t>
  </si>
  <si>
    <t>30834558</t>
  </si>
  <si>
    <t>30834553</t>
  </si>
  <si>
    <t>30834554</t>
  </si>
  <si>
    <t>30834466</t>
  </si>
  <si>
    <t>30834465</t>
  </si>
  <si>
    <t>30834464</t>
  </si>
  <si>
    <t>30834973</t>
  </si>
  <si>
    <t>30834350</t>
  </si>
  <si>
    <t>30834972</t>
  </si>
  <si>
    <t>30834486</t>
  </si>
  <si>
    <t>30834488</t>
  </si>
  <si>
    <t>30834483</t>
  </si>
  <si>
    <t>30834481</t>
  </si>
  <si>
    <t>30834974</t>
  </si>
  <si>
    <t>30944114</t>
  </si>
  <si>
    <t>30944116</t>
  </si>
  <si>
    <t>30944115</t>
  </si>
  <si>
    <t>30834344</t>
  </si>
  <si>
    <t>30834482</t>
  </si>
  <si>
    <t>30834945</t>
  </si>
  <si>
    <t>30833458</t>
  </si>
  <si>
    <t>30833456</t>
  </si>
  <si>
    <t>30834487</t>
  </si>
  <si>
    <t>30834976</t>
  </si>
  <si>
    <t>30834983</t>
  </si>
  <si>
    <t>30834979</t>
  </si>
  <si>
    <t>30834977</t>
  </si>
  <si>
    <t>30834980</t>
  </si>
  <si>
    <t>30834978</t>
  </si>
  <si>
    <t>30834485</t>
  </si>
  <si>
    <t>30944108</t>
  </si>
  <si>
    <t>30834981</t>
  </si>
  <si>
    <t>30790775</t>
  </si>
  <si>
    <t>30790772</t>
  </si>
  <si>
    <t>30790773</t>
  </si>
  <si>
    <t>30790776</t>
  </si>
  <si>
    <t>30790768</t>
  </si>
  <si>
    <t>30790770</t>
  </si>
  <si>
    <t>30834325</t>
  </si>
  <si>
    <t>30834324</t>
  </si>
  <si>
    <t>30790771</t>
  </si>
  <si>
    <t>30834409</t>
  </si>
  <si>
    <t>30834408</t>
  </si>
  <si>
    <t>30834297</t>
  </si>
  <si>
    <t>30834940</t>
  </si>
  <si>
    <t>30834410</t>
  </si>
  <si>
    <t>30834413</t>
  </si>
  <si>
    <t>30834414</t>
  </si>
  <si>
    <t>30834412</t>
  </si>
  <si>
    <t>30834411</t>
  </si>
  <si>
    <t>30834469</t>
  </si>
  <si>
    <t>30834509</t>
  </si>
  <si>
    <t>30834511</t>
  </si>
  <si>
    <t>30834510</t>
  </si>
  <si>
    <t>30834468</t>
  </si>
  <si>
    <t>30834982</t>
  </si>
  <si>
    <t>30834467</t>
  </si>
  <si>
    <t>30834476</t>
  </si>
  <si>
    <t>30834507</t>
  </si>
  <si>
    <t>30834431</t>
  </si>
  <si>
    <t>30834429</t>
  </si>
  <si>
    <t>30834508</t>
  </si>
  <si>
    <t>30834432</t>
  </si>
  <si>
    <t>30833460</t>
  </si>
  <si>
    <t>30833459</t>
  </si>
  <si>
    <t>30834434</t>
  </si>
  <si>
    <t>30834433</t>
  </si>
  <si>
    <t>30834430</t>
  </si>
  <si>
    <t>30834426</t>
  </si>
  <si>
    <t>30834404</t>
  </si>
  <si>
    <t>30834427</t>
  </si>
  <si>
    <t>30834450</t>
  </si>
  <si>
    <t>30834444</t>
  </si>
  <si>
    <t>30834452</t>
  </si>
  <si>
    <t>30834395</t>
  </si>
  <si>
    <t>30834401</t>
  </si>
  <si>
    <t>30944118</t>
  </si>
  <si>
    <t>30944144</t>
  </si>
  <si>
    <t>30834449</t>
  </si>
  <si>
    <t>30834428</t>
  </si>
  <si>
    <t>30944142</t>
  </si>
  <si>
    <t>30944143</t>
  </si>
  <si>
    <t>30944119</t>
  </si>
  <si>
    <t>30944140</t>
  </si>
  <si>
    <t>30944179</t>
  </si>
  <si>
    <t>30944184</t>
  </si>
  <si>
    <t>30944210</t>
  </si>
  <si>
    <t>30944120</t>
  </si>
  <si>
    <t>30835073</t>
  </si>
  <si>
    <t>30835231</t>
  </si>
  <si>
    <t>30835250</t>
  </si>
  <si>
    <t>30835232</t>
  </si>
  <si>
    <t>30835235</t>
  </si>
  <si>
    <t>30835227</t>
  </si>
  <si>
    <t>30835233</t>
  </si>
  <si>
    <t>30835061</t>
  </si>
  <si>
    <t>30835037</t>
  </si>
  <si>
    <t>30835136</t>
  </si>
  <si>
    <t>30835130</t>
  </si>
  <si>
    <t>30835133</t>
  </si>
  <si>
    <t>30835051</t>
  </si>
  <si>
    <t>30835029</t>
  </si>
  <si>
    <t>30833600</t>
  </si>
  <si>
    <t>30835038</t>
  </si>
  <si>
    <t>30833597</t>
  </si>
  <si>
    <t>30835034</t>
  </si>
  <si>
    <t>30835030</t>
  </si>
  <si>
    <t>30835035</t>
  </si>
  <si>
    <t>30834933</t>
  </si>
  <si>
    <t>30834934</t>
  </si>
  <si>
    <t>30834337</t>
  </si>
  <si>
    <t>30834340</t>
  </si>
  <si>
    <t>30834339</t>
  </si>
  <si>
    <t>30834937</t>
  </si>
  <si>
    <t>30834935</t>
  </si>
  <si>
    <t>30944128</t>
  </si>
  <si>
    <t>30834930</t>
  </si>
  <si>
    <t>30834932</t>
  </si>
  <si>
    <t>30944125</t>
  </si>
  <si>
    <t>30944130</t>
  </si>
  <si>
    <t>30944123</t>
  </si>
  <si>
    <t>30944124</t>
  </si>
  <si>
    <t>30944146</t>
  </si>
  <si>
    <t>30944147</t>
  </si>
  <si>
    <t>30944145</t>
  </si>
  <si>
    <t>30944126</t>
  </si>
  <si>
    <t>30944148</t>
  </si>
  <si>
    <t>30835026</t>
  </si>
  <si>
    <t>30835246</t>
  </si>
  <si>
    <t>30835239</t>
  </si>
  <si>
    <t>30835216</t>
  </si>
  <si>
    <t>30835215</t>
  </si>
  <si>
    <t>30835240</t>
  </si>
  <si>
    <t>30835156</t>
  </si>
  <si>
    <t>30835157</t>
  </si>
  <si>
    <t>30835151</t>
  </si>
  <si>
    <t>30833958</t>
  </si>
  <si>
    <t>30835077</t>
  </si>
  <si>
    <t>30835082</t>
  </si>
  <si>
    <t>30835149</t>
  </si>
  <si>
    <t>30835079</t>
  </si>
  <si>
    <t>30835076</t>
  </si>
  <si>
    <t>30835152</t>
  </si>
  <si>
    <t>30833928</t>
  </si>
  <si>
    <t>30833954</t>
  </si>
  <si>
    <t>30835158</t>
  </si>
  <si>
    <t>30835207</t>
  </si>
  <si>
    <t>30835021</t>
  </si>
  <si>
    <t>30835208</t>
  </si>
  <si>
    <t>30835163</t>
  </si>
  <si>
    <t>30835203</t>
  </si>
  <si>
    <t>30835206</t>
  </si>
  <si>
    <t>30835155</t>
  </si>
  <si>
    <t>30835202</t>
  </si>
  <si>
    <t>30835159</t>
  </si>
  <si>
    <t>30833967</t>
  </si>
  <si>
    <t>30833968</t>
  </si>
  <si>
    <t>30835205</t>
  </si>
  <si>
    <t>30835121</t>
  </si>
  <si>
    <t>30835204</t>
  </si>
  <si>
    <t>30833969</t>
  </si>
  <si>
    <t>30833945</t>
  </si>
  <si>
    <t>30833950</t>
  </si>
  <si>
    <t>30833951</t>
  </si>
  <si>
    <t>30833946</t>
  </si>
  <si>
    <t>30834392</t>
  </si>
  <si>
    <t>30834307</t>
  </si>
  <si>
    <t>30790960</t>
  </si>
  <si>
    <t>30790762</t>
  </si>
  <si>
    <t>30790763</t>
  </si>
  <si>
    <t>30790765</t>
  </si>
  <si>
    <t>30830760</t>
  </si>
  <si>
    <t>30840761</t>
  </si>
  <si>
    <t>30850766</t>
  </si>
  <si>
    <t>30834309</t>
  </si>
  <si>
    <t>30834315</t>
  </si>
  <si>
    <t>30834314</t>
  </si>
  <si>
    <t>30890759</t>
  </si>
  <si>
    <t>30834303</t>
  </si>
  <si>
    <t>30833398</t>
  </si>
  <si>
    <t>30834308</t>
  </si>
  <si>
    <t>30790962</t>
  </si>
  <si>
    <t>30834301</t>
  </si>
  <si>
    <t>30834302</t>
  </si>
  <si>
    <t>30834306</t>
  </si>
  <si>
    <t>30834300</t>
  </si>
  <si>
    <t>30834518</t>
  </si>
  <si>
    <t>30834517</t>
  </si>
  <si>
    <t>30834462</t>
  </si>
  <si>
    <t>30834537</t>
  </si>
  <si>
    <t>30834570</t>
  </si>
  <si>
    <t>30834516</t>
  </si>
  <si>
    <t>30834519</t>
  </si>
  <si>
    <t>30834571</t>
  </si>
  <si>
    <t>30834523</t>
  </si>
  <si>
    <t>30834463</t>
  </si>
  <si>
    <t>30834520</t>
  </si>
  <si>
    <t>30834578</t>
  </si>
  <si>
    <t>30834577</t>
  </si>
  <si>
    <t>30834576</t>
  </si>
  <si>
    <t>30834575</t>
  </si>
  <si>
    <t>30834572</t>
  </si>
  <si>
    <t>30834524</t>
  </si>
  <si>
    <t>30834521</t>
  </si>
  <si>
    <t>30834522</t>
  </si>
  <si>
    <t>30834574</t>
  </si>
  <si>
    <t>30830959</t>
  </si>
  <si>
    <t>30834950</t>
  </si>
  <si>
    <t>30834282</t>
  </si>
  <si>
    <t>99999999</t>
  </si>
  <si>
    <t>30834473</t>
  </si>
  <si>
    <t>30834477</t>
  </si>
  <si>
    <t>30834475</t>
  </si>
  <si>
    <t>30834472</t>
  </si>
  <si>
    <t>30834471</t>
  </si>
  <si>
    <t>30834366</t>
  </si>
  <si>
    <t>30834365</t>
  </si>
  <si>
    <t>30834422</t>
  </si>
  <si>
    <t>30834474</t>
  </si>
  <si>
    <t>30834371</t>
  </si>
  <si>
    <t>30834424</t>
  </si>
  <si>
    <t>30834375</t>
  </si>
  <si>
    <t>30834376</t>
  </si>
  <si>
    <t>30834370</t>
  </si>
  <si>
    <t>30834373</t>
  </si>
  <si>
    <t>30834363</t>
  </si>
  <si>
    <t>30834380</t>
  </si>
  <si>
    <t>30834378</t>
  </si>
  <si>
    <t>30834423</t>
  </si>
  <si>
    <t>30834915</t>
  </si>
  <si>
    <t>30834393</t>
  </si>
  <si>
    <t>30834440</t>
  </si>
  <si>
    <t>30834441</t>
  </si>
  <si>
    <t>30834346</t>
  </si>
  <si>
    <t>30790777</t>
  </si>
  <si>
    <t>30834442</t>
  </si>
  <si>
    <t>30834348</t>
  </si>
  <si>
    <t>30834352</t>
  </si>
  <si>
    <t>30834555</t>
  </si>
  <si>
    <t>30834347</t>
  </si>
  <si>
    <t>30834353</t>
  </si>
  <si>
    <t>30834121</t>
  </si>
  <si>
    <t>30834109</t>
  </si>
  <si>
    <t>30834345</t>
  </si>
  <si>
    <t>30834349</t>
  </si>
  <si>
    <t>30834281</t>
  </si>
  <si>
    <t>30834390</t>
  </si>
  <si>
    <t>30834394</t>
  </si>
  <si>
    <t>30790783</t>
  </si>
  <si>
    <t>30780785</t>
  </si>
  <si>
    <t>30834415</t>
  </si>
  <si>
    <t>30790782</t>
  </si>
  <si>
    <t>30790780</t>
  </si>
  <si>
    <t>30834406</t>
  </si>
  <si>
    <t>30834405</t>
  </si>
  <si>
    <t>30790779</t>
  </si>
  <si>
    <t>30790778</t>
  </si>
  <si>
    <t>30834407</t>
  </si>
  <si>
    <t>30834455</t>
  </si>
  <si>
    <t>30834459</t>
  </si>
  <si>
    <t>30834460</t>
  </si>
  <si>
    <t>30834461</t>
  </si>
  <si>
    <t>30834456</t>
  </si>
  <si>
    <t>30834457</t>
  </si>
  <si>
    <t>30834479</t>
  </si>
  <si>
    <t>30834454</t>
  </si>
  <si>
    <t>30834478</t>
  </si>
  <si>
    <t>30834453</t>
  </si>
  <si>
    <t>30833395</t>
  </si>
  <si>
    <t>30833397</t>
  </si>
  <si>
    <t>30834420</t>
  </si>
  <si>
    <t>30834289</t>
  </si>
  <si>
    <t>30833392</t>
  </si>
  <si>
    <t>30834389</t>
  </si>
  <si>
    <t>30833376</t>
  </si>
  <si>
    <t>30833972</t>
  </si>
  <si>
    <t>30835183</t>
  </si>
  <si>
    <t>30835106</t>
  </si>
  <si>
    <t>30834400</t>
  </si>
  <si>
    <t>30834399</t>
  </si>
  <si>
    <t>30833879</t>
  </si>
  <si>
    <t>30790781</t>
  </si>
  <si>
    <t>30834016</t>
  </si>
  <si>
    <t>30944172</t>
  </si>
  <si>
    <t>30944176</t>
  </si>
  <si>
    <t>30944213</t>
  </si>
  <si>
    <t>30944173</t>
  </si>
  <si>
    <t>30944174</t>
  </si>
  <si>
    <t>30944205</t>
  </si>
  <si>
    <t>30944217</t>
  </si>
  <si>
    <t>30944207</t>
  </si>
  <si>
    <t>30833396</t>
  </si>
  <si>
    <t>30833393</t>
  </si>
  <si>
    <t>30834296</t>
  </si>
  <si>
    <t>30833399</t>
  </si>
  <si>
    <t>30833386</t>
  </si>
  <si>
    <t>30833389</t>
  </si>
  <si>
    <t>30833394</t>
  </si>
  <si>
    <t>30833384</t>
  </si>
  <si>
    <t>30833408</t>
  </si>
  <si>
    <t>30833391</t>
  </si>
  <si>
    <t>30834354</t>
  </si>
  <si>
    <t>30834292</t>
  </si>
  <si>
    <t>30834295</t>
  </si>
  <si>
    <t>30834355</t>
  </si>
  <si>
    <t>30834291</t>
  </si>
  <si>
    <t>30834356</t>
  </si>
  <si>
    <t>30833401</t>
  </si>
  <si>
    <t>30834362</t>
  </si>
  <si>
    <t>30833404</t>
  </si>
  <si>
    <t>30834360</t>
  </si>
  <si>
    <t>30834361</t>
  </si>
  <si>
    <t>30834359</t>
  </si>
  <si>
    <t>30833405</t>
  </si>
  <si>
    <t>30835131</t>
  </si>
  <si>
    <t>30835066</t>
  </si>
  <si>
    <t>30835135</t>
  </si>
  <si>
    <t>30835144</t>
  </si>
  <si>
    <t>30835258</t>
  </si>
  <si>
    <t>30835081</t>
  </si>
  <si>
    <t>30835070</t>
  </si>
  <si>
    <t>30835067</t>
  </si>
  <si>
    <t>30835137</t>
  </si>
  <si>
    <t>30835039</t>
  </si>
  <si>
    <t>30835080</t>
  </si>
  <si>
    <t>30835075</t>
  </si>
  <si>
    <t>30835043</t>
  </si>
  <si>
    <t>30835041</t>
  </si>
  <si>
    <t>30835047</t>
  </si>
  <si>
    <t>30835145</t>
  </si>
  <si>
    <t>30835044</t>
  </si>
  <si>
    <t>30835046</t>
  </si>
  <si>
    <t>30835049</t>
  </si>
  <si>
    <t>30835042</t>
  </si>
  <si>
    <t>30835252</t>
  </si>
  <si>
    <t>30833596</t>
  </si>
  <si>
    <t>30835114</t>
  </si>
  <si>
    <t>30833939</t>
  </si>
  <si>
    <t>30835198</t>
  </si>
  <si>
    <t>30835112</t>
  </si>
  <si>
    <t>30833934</t>
  </si>
  <si>
    <t>30833598</t>
  </si>
  <si>
    <t>30835139</t>
  </si>
  <si>
    <t>30835140</t>
  </si>
  <si>
    <t>30835261</t>
  </si>
  <si>
    <t>30835193</t>
  </si>
  <si>
    <t>30835196</t>
  </si>
  <si>
    <t>30835256</t>
  </si>
  <si>
    <t>30835257</t>
  </si>
  <si>
    <t>30835262</t>
  </si>
  <si>
    <t>30835071</t>
  </si>
  <si>
    <t>30835129</t>
  </si>
  <si>
    <t>30835260</t>
  </si>
  <si>
    <t>30835068</t>
  </si>
  <si>
    <t>30835023</t>
  </si>
  <si>
    <t>30835024</t>
  </si>
  <si>
    <t>30835209</t>
  </si>
  <si>
    <t>30835022</t>
  </si>
  <si>
    <t>30835025</t>
  </si>
  <si>
    <t>30835032</t>
  </si>
  <si>
    <t>30835031</t>
  </si>
  <si>
    <t>30835033</t>
  </si>
  <si>
    <t>30835020</t>
  </si>
  <si>
    <t>30835036</t>
  </si>
  <si>
    <t>30835027</t>
  </si>
  <si>
    <t>30835028</t>
  </si>
  <si>
    <t>30835223</t>
  </si>
  <si>
    <t>30835054</t>
  </si>
  <si>
    <t>30835055</t>
  </si>
  <si>
    <t>30835052</t>
  </si>
  <si>
    <t>30835230</t>
  </si>
  <si>
    <t>30835060</t>
  </si>
  <si>
    <t>30835056</t>
  </si>
  <si>
    <t>30835059</t>
  </si>
  <si>
    <t>30835064</t>
  </si>
  <si>
    <t>30835229</t>
  </si>
  <si>
    <t>30835228</t>
  </si>
  <si>
    <t>30835058</t>
  </si>
  <si>
    <t>30835063</t>
  </si>
  <si>
    <t>30835234</t>
  </si>
  <si>
    <t>30835218</t>
  </si>
  <si>
    <t>30835225</t>
  </si>
  <si>
    <t>30835226</t>
  </si>
  <si>
    <t>30835220</t>
  </si>
  <si>
    <t>30835219</t>
  </si>
  <si>
    <t>30835053</t>
  </si>
  <si>
    <t>30835143</t>
  </si>
  <si>
    <t>30835124</t>
  </si>
  <si>
    <t>30833976</t>
  </si>
  <si>
    <t>30833942</t>
  </si>
  <si>
    <t>30835126</t>
  </si>
  <si>
    <t>30835255</t>
  </si>
  <si>
    <t>30835127</t>
  </si>
  <si>
    <t>30833977</t>
  </si>
  <si>
    <t>30835254</t>
  </si>
  <si>
    <t>30835142</t>
  </si>
  <si>
    <t>30833933</t>
  </si>
  <si>
    <t>30835259</t>
  </si>
  <si>
    <t>30835138</t>
  </si>
  <si>
    <t>30835045</t>
  </si>
  <si>
    <t>30835141</t>
  </si>
  <si>
    <t>30835132</t>
  </si>
  <si>
    <t>30833966</t>
  </si>
  <si>
    <t>30835069</t>
  </si>
  <si>
    <t>30835128</t>
  </si>
  <si>
    <t>30835134</t>
  </si>
  <si>
    <t>30835237</t>
  </si>
  <si>
    <t>30833947</t>
  </si>
  <si>
    <t>30833949</t>
  </si>
  <si>
    <t>30833948</t>
  </si>
  <si>
    <t>30833938</t>
  </si>
  <si>
    <t>30833936</t>
  </si>
  <si>
    <t>30833937</t>
  </si>
  <si>
    <t>30833935</t>
  </si>
  <si>
    <t>30833974</t>
  </si>
  <si>
    <t>30833941</t>
  </si>
  <si>
    <t>30833940</t>
  </si>
  <si>
    <t>30835065</t>
  </si>
  <si>
    <t>30833971</t>
  </si>
  <si>
    <t>30833970</t>
  </si>
  <si>
    <t>30835199</t>
  </si>
  <si>
    <t>30833927</t>
  </si>
  <si>
    <t>30833961</t>
  </si>
  <si>
    <t>30835214</t>
  </si>
  <si>
    <t>30835040</t>
  </si>
  <si>
    <t>30835241</t>
  </si>
  <si>
    <t>30833978</t>
  </si>
  <si>
    <t>30833973</t>
  </si>
  <si>
    <t>30833944</t>
  </si>
  <si>
    <t>30835160</t>
  </si>
  <si>
    <t>30835247</t>
  </si>
  <si>
    <t>30835201</t>
  </si>
  <si>
    <t>30835153</t>
  </si>
  <si>
    <t>30833929</t>
  </si>
  <si>
    <t>30835148</t>
  </si>
  <si>
    <t>30835119</t>
  </si>
  <si>
    <t>30835057</t>
  </si>
  <si>
    <t>30835213</t>
  </si>
  <si>
    <t>30835120</t>
  </si>
  <si>
    <t>30835146</t>
  </si>
  <si>
    <t>30835162</t>
  </si>
  <si>
    <t>30835122</t>
  </si>
  <si>
    <t>30835161</t>
  </si>
  <si>
    <t>30835048</t>
  </si>
  <si>
    <t>30833953</t>
  </si>
  <si>
    <t>30835200</t>
  </si>
  <si>
    <t>30833599</t>
  </si>
  <si>
    <t>30833959</t>
  </si>
  <si>
    <t>30835150</t>
  </si>
  <si>
    <t>30835123</t>
  </si>
  <si>
    <t>30833962</t>
  </si>
  <si>
    <t>30835050</t>
  </si>
  <si>
    <t>00008525</t>
  </si>
  <si>
    <t>30833956</t>
  </si>
  <si>
    <t>30835113</t>
  </si>
  <si>
    <t>30833601</t>
  </si>
  <si>
    <t>30835222</t>
  </si>
  <si>
    <t>30835111</t>
  </si>
  <si>
    <t>30833960</t>
  </si>
  <si>
    <t>30833952</t>
  </si>
  <si>
    <t>30833925</t>
  </si>
  <si>
    <t>30833926</t>
  </si>
  <si>
    <t>30833964</t>
  </si>
  <si>
    <t>30835211</t>
  </si>
  <si>
    <t>30833930</t>
  </si>
  <si>
    <t>30833931</t>
  </si>
  <si>
    <t>30833943</t>
  </si>
  <si>
    <t>30835243</t>
  </si>
  <si>
    <t>30835147</t>
  </si>
  <si>
    <t>30835078</t>
  </si>
  <si>
    <t>30835245</t>
  </si>
  <si>
    <t>30835253</t>
  </si>
  <si>
    <t>30835221</t>
  </si>
  <si>
    <t>30835242</t>
  </si>
  <si>
    <t>30835154</t>
  </si>
  <si>
    <t>30835212</t>
  </si>
  <si>
    <t>30835236</t>
  </si>
  <si>
    <t>30835248</t>
  </si>
  <si>
    <t>30835116</t>
  </si>
  <si>
    <t>30835117</t>
  </si>
  <si>
    <t>30833602</t>
  </si>
  <si>
    <t>30835110</t>
  </si>
  <si>
    <t>30833965</t>
  </si>
  <si>
    <t>30833932</t>
  </si>
  <si>
    <t>30835118</t>
  </si>
  <si>
    <t>30833957</t>
  </si>
  <si>
    <t>30835125</t>
  </si>
  <si>
    <t>30835115</t>
  </si>
  <si>
    <t>30833963</t>
  </si>
  <si>
    <t>30834470</t>
  </si>
  <si>
    <t>30944113</t>
  </si>
  <si>
    <t>30944117</t>
  </si>
  <si>
    <t>30834351</t>
  </si>
  <si>
    <t>30834484</t>
  </si>
  <si>
    <t>30944111</t>
  </si>
  <si>
    <t>2号楼</t>
  </si>
  <si>
    <t>7号楼</t>
  </si>
  <si>
    <t>11号楼</t>
  </si>
  <si>
    <t>13A号楼</t>
  </si>
  <si>
    <t>13B号楼</t>
  </si>
  <si>
    <t>13C号楼</t>
  </si>
  <si>
    <t>单元</t>
    <phoneticPr fontId="6" type="noConversion"/>
  </si>
  <si>
    <t>一单元</t>
  </si>
  <si>
    <t>二单元</t>
  </si>
  <si>
    <t>三单元</t>
  </si>
  <si>
    <t>5号楼</t>
  </si>
  <si>
    <t>操作员</t>
  </si>
  <si>
    <t>面积收费(民用)</t>
  </si>
  <si>
    <t>按面积预付费</t>
  </si>
  <si>
    <t>水平安装(供水)</t>
  </si>
  <si>
    <t>等比例调节阀(21款无线温控SDJP)</t>
  </si>
  <si>
    <t>DN25</t>
  </si>
  <si>
    <t>100</t>
  </si>
  <si>
    <t>南京测试</t>
  </si>
  <si>
    <t>网关</t>
  </si>
  <si>
    <t>优惠政策</t>
  </si>
  <si>
    <t>物价名称</t>
  </si>
  <si>
    <t>付费方式</t>
  </si>
  <si>
    <t>口径</t>
  </si>
  <si>
    <t>仪表表号</t>
  </si>
  <si>
    <t>手机号</t>
  </si>
  <si>
    <t>固定电话</t>
  </si>
  <si>
    <t>房产证共有人</t>
  </si>
  <si>
    <t>房产证编码</t>
  </si>
  <si>
    <t>身份证号</t>
  </si>
  <si>
    <t>姓名</t>
  </si>
  <si>
    <t>用户信息</t>
  </si>
  <si>
    <t>陈军</t>
    <phoneticPr fontId="12" type="noConversion"/>
  </si>
  <si>
    <t>网关</t>
    <phoneticPr fontId="6" type="noConversion"/>
  </si>
  <si>
    <t>0841</t>
    <phoneticPr fontId="6" type="noConversion"/>
  </si>
  <si>
    <t>4015</t>
    <phoneticPr fontId="6" type="noConversion"/>
  </si>
  <si>
    <t>4018</t>
    <phoneticPr fontId="6" type="noConversion"/>
  </si>
  <si>
    <t>4019</t>
    <phoneticPr fontId="6" type="noConversion"/>
  </si>
  <si>
    <t>4017</t>
    <phoneticPr fontId="6" type="noConversion"/>
  </si>
  <si>
    <t>4016</t>
    <phoneticPr fontId="6" type="noConversion"/>
  </si>
  <si>
    <t>4020</t>
    <phoneticPr fontId="6" type="noConversion"/>
  </si>
  <si>
    <t>4012</t>
    <phoneticPr fontId="6" type="noConversion"/>
  </si>
  <si>
    <t>4013</t>
    <phoneticPr fontId="6" type="noConversion"/>
  </si>
  <si>
    <t>8863</t>
    <phoneticPr fontId="6" type="noConversion"/>
  </si>
  <si>
    <t>2205</t>
    <phoneticPr fontId="6" type="noConversion"/>
  </si>
  <si>
    <t>2160</t>
    <phoneticPr fontId="6" type="noConversion"/>
  </si>
  <si>
    <t>9446</t>
    <phoneticPr fontId="6" type="noConversion"/>
  </si>
  <si>
    <t>6188</t>
    <phoneticPr fontId="6" type="noConversion"/>
  </si>
  <si>
    <t>1915</t>
    <phoneticPr fontId="6" type="noConversion"/>
  </si>
  <si>
    <t>4267</t>
    <phoneticPr fontId="6" type="noConversion"/>
  </si>
  <si>
    <t>6423</t>
    <phoneticPr fontId="6" type="noConversion"/>
  </si>
  <si>
    <t>1784</t>
    <phoneticPr fontId="6" type="noConversion"/>
  </si>
  <si>
    <t>2000</t>
    <phoneticPr fontId="6" type="noConversion"/>
  </si>
  <si>
    <t>5670</t>
    <phoneticPr fontId="6" type="noConversion"/>
  </si>
  <si>
    <t>7102</t>
    <phoneticPr fontId="6" type="noConversion"/>
  </si>
  <si>
    <t>4011</t>
    <phoneticPr fontId="6" type="noConversion"/>
  </si>
  <si>
    <t>8368</t>
    <phoneticPr fontId="6" type="noConversion"/>
  </si>
  <si>
    <t>6782</t>
    <phoneticPr fontId="6" type="noConversion"/>
  </si>
  <si>
    <t>7666</t>
    <phoneticPr fontId="6" type="noConversion"/>
  </si>
  <si>
    <t>2904</t>
    <phoneticPr fontId="6" type="noConversion"/>
  </si>
  <si>
    <t>8747</t>
    <phoneticPr fontId="6" type="noConversion"/>
  </si>
  <si>
    <t>8201</t>
    <phoneticPr fontId="6" type="noConversion"/>
  </si>
  <si>
    <t>1713</t>
    <phoneticPr fontId="6" type="noConversion"/>
  </si>
  <si>
    <t>1086</t>
    <phoneticPr fontId="6" type="noConversion"/>
  </si>
  <si>
    <t>5748</t>
    <phoneticPr fontId="6" type="noConversion"/>
  </si>
  <si>
    <t>8536</t>
    <phoneticPr fontId="6" type="noConversion"/>
  </si>
  <si>
    <t>3290</t>
    <phoneticPr fontId="6" type="noConversion"/>
  </si>
  <si>
    <t>3666</t>
    <phoneticPr fontId="6" type="noConversion"/>
  </si>
  <si>
    <t>2284</t>
    <phoneticPr fontId="6" type="noConversion"/>
  </si>
  <si>
    <t>2843</t>
    <phoneticPr fontId="6" type="noConversion"/>
  </si>
  <si>
    <t>1853</t>
    <phoneticPr fontId="6" type="noConversion"/>
  </si>
  <si>
    <t>5585</t>
    <phoneticPr fontId="6" type="noConversion"/>
  </si>
  <si>
    <t>8684</t>
    <phoneticPr fontId="6" type="noConversion"/>
  </si>
  <si>
    <t>2516</t>
    <phoneticPr fontId="6" type="noConversion"/>
  </si>
  <si>
    <t>8826</t>
    <phoneticPr fontId="6" type="noConversion"/>
  </si>
  <si>
    <t>7396</t>
    <phoneticPr fontId="6" type="noConversion"/>
  </si>
  <si>
    <t>0767</t>
    <phoneticPr fontId="6" type="noConversion"/>
  </si>
  <si>
    <t>9754</t>
    <phoneticPr fontId="6" type="noConversion"/>
  </si>
  <si>
    <t>3411</t>
    <phoneticPr fontId="6" type="noConversion"/>
  </si>
  <si>
    <t>5107</t>
    <phoneticPr fontId="6" type="noConversion"/>
  </si>
  <si>
    <t>8379</t>
    <phoneticPr fontId="6" type="noConversion"/>
  </si>
  <si>
    <t>0734</t>
    <phoneticPr fontId="6" type="noConversion"/>
  </si>
  <si>
    <t>1952</t>
    <phoneticPr fontId="6" type="noConversion"/>
  </si>
  <si>
    <t>9354</t>
    <phoneticPr fontId="6" type="noConversion"/>
  </si>
  <si>
    <t>8105</t>
    <phoneticPr fontId="6" type="noConversion"/>
  </si>
  <si>
    <t>5834</t>
    <phoneticPr fontId="6" type="noConversion"/>
  </si>
  <si>
    <t>7732</t>
    <phoneticPr fontId="6" type="noConversion"/>
  </si>
  <si>
    <t>2444</t>
    <phoneticPr fontId="6" type="noConversion"/>
  </si>
  <si>
    <t>2273</t>
    <phoneticPr fontId="6" type="noConversion"/>
  </si>
  <si>
    <t>9037</t>
    <phoneticPr fontId="6" type="noConversion"/>
  </si>
  <si>
    <t>5494</t>
    <phoneticPr fontId="6" type="noConversion"/>
  </si>
  <si>
    <t>6897</t>
    <phoneticPr fontId="6" type="noConversion"/>
  </si>
  <si>
    <t>3673</t>
    <phoneticPr fontId="6" type="noConversion"/>
  </si>
  <si>
    <t>5271</t>
    <phoneticPr fontId="6" type="noConversion"/>
  </si>
  <si>
    <t>9727</t>
    <phoneticPr fontId="6" type="noConversion"/>
  </si>
  <si>
    <t>8061</t>
    <phoneticPr fontId="6" type="noConversion"/>
  </si>
  <si>
    <t>4717</t>
    <phoneticPr fontId="6" type="noConversion"/>
  </si>
  <si>
    <t>2323</t>
    <phoneticPr fontId="6" type="noConversion"/>
  </si>
  <si>
    <t>5537</t>
    <phoneticPr fontId="6" type="noConversion"/>
  </si>
  <si>
    <t>8194</t>
    <phoneticPr fontId="6" type="noConversion"/>
  </si>
  <si>
    <t>13A</t>
    <phoneticPr fontId="6" type="noConversion"/>
  </si>
  <si>
    <t>8124</t>
    <phoneticPr fontId="6" type="noConversion"/>
  </si>
  <si>
    <t>8353</t>
    <phoneticPr fontId="6" type="noConversion"/>
  </si>
  <si>
    <t>9092</t>
    <phoneticPr fontId="6" type="noConversion"/>
  </si>
  <si>
    <t>8727</t>
    <phoneticPr fontId="6" type="noConversion"/>
  </si>
  <si>
    <t>1994</t>
    <phoneticPr fontId="6" type="noConversion"/>
  </si>
  <si>
    <t>6121</t>
    <phoneticPr fontId="6" type="noConversion"/>
  </si>
  <si>
    <t>8316</t>
    <phoneticPr fontId="6" type="noConversion"/>
  </si>
  <si>
    <t>1727</t>
    <phoneticPr fontId="6" type="noConversion"/>
  </si>
  <si>
    <t>6220</t>
    <phoneticPr fontId="6" type="noConversion"/>
  </si>
  <si>
    <t>7272</t>
    <phoneticPr fontId="6" type="noConversion"/>
  </si>
  <si>
    <t>7920</t>
    <phoneticPr fontId="6" type="noConversion"/>
  </si>
  <si>
    <t>1911</t>
    <phoneticPr fontId="6" type="noConversion"/>
  </si>
  <si>
    <t>13B</t>
    <phoneticPr fontId="6" type="noConversion"/>
  </si>
  <si>
    <t>0620</t>
    <phoneticPr fontId="6" type="noConversion"/>
  </si>
  <si>
    <t>1370</t>
    <phoneticPr fontId="6" type="noConversion"/>
  </si>
  <si>
    <t>5339</t>
    <phoneticPr fontId="6" type="noConversion"/>
  </si>
  <si>
    <t>8925</t>
    <phoneticPr fontId="6" type="noConversion"/>
  </si>
  <si>
    <t>2629</t>
    <phoneticPr fontId="6" type="noConversion"/>
  </si>
  <si>
    <t>6018</t>
    <phoneticPr fontId="6" type="noConversion"/>
  </si>
  <si>
    <t>6287</t>
    <phoneticPr fontId="6" type="noConversion"/>
  </si>
  <si>
    <t>6808</t>
    <phoneticPr fontId="6" type="noConversion"/>
  </si>
  <si>
    <t>6928</t>
    <phoneticPr fontId="6" type="noConversion"/>
  </si>
  <si>
    <t>9747</t>
    <phoneticPr fontId="6" type="noConversion"/>
  </si>
  <si>
    <t>5664</t>
    <phoneticPr fontId="6" type="noConversion"/>
  </si>
  <si>
    <t>6261</t>
    <phoneticPr fontId="6" type="noConversion"/>
  </si>
  <si>
    <t>13C</t>
    <phoneticPr fontId="6" type="noConversion"/>
  </si>
  <si>
    <t>9814</t>
    <phoneticPr fontId="6" type="noConversion"/>
  </si>
  <si>
    <t>9861</t>
    <phoneticPr fontId="6" type="noConversion"/>
  </si>
  <si>
    <t>2018</t>
    <phoneticPr fontId="6" type="noConversion"/>
  </si>
  <si>
    <t>8564</t>
    <phoneticPr fontId="6" type="noConversion"/>
  </si>
  <si>
    <t>9132</t>
    <phoneticPr fontId="6" type="noConversion"/>
  </si>
  <si>
    <t>8308</t>
    <phoneticPr fontId="6" type="noConversion"/>
  </si>
  <si>
    <t>1923</t>
    <phoneticPr fontId="6" type="noConversion"/>
  </si>
  <si>
    <t>8167</t>
    <phoneticPr fontId="6" type="noConversion"/>
  </si>
  <si>
    <t>0053</t>
    <phoneticPr fontId="6" type="noConversion"/>
  </si>
  <si>
    <t>5354</t>
    <phoneticPr fontId="6" type="noConversion"/>
  </si>
  <si>
    <t>7789</t>
    <phoneticPr fontId="6" type="noConversion"/>
  </si>
  <si>
    <t>2079</t>
    <phoneticPr fontId="6" type="noConversion"/>
  </si>
  <si>
    <t>8762</t>
    <phoneticPr fontId="6" type="noConversion"/>
  </si>
  <si>
    <t>1697</t>
    <phoneticPr fontId="6" type="noConversion"/>
  </si>
  <si>
    <t>9750</t>
    <phoneticPr fontId="6" type="noConversion"/>
  </si>
  <si>
    <t>3449</t>
    <phoneticPr fontId="6" type="noConversion"/>
  </si>
  <si>
    <t>3205</t>
    <phoneticPr fontId="6" type="noConversion"/>
  </si>
  <si>
    <t>4382</t>
    <phoneticPr fontId="6" type="noConversion"/>
  </si>
  <si>
    <t>5735</t>
    <phoneticPr fontId="6" type="noConversion"/>
  </si>
  <si>
    <t>2075</t>
    <phoneticPr fontId="6" type="noConversion"/>
  </si>
  <si>
    <t>1899</t>
    <phoneticPr fontId="6" type="noConversion"/>
  </si>
  <si>
    <t>7468</t>
    <phoneticPr fontId="6" type="noConversion"/>
  </si>
  <si>
    <t>1552</t>
    <phoneticPr fontId="6" type="noConversion"/>
  </si>
  <si>
    <t>2070</t>
    <phoneticPr fontId="6" type="noConversion"/>
  </si>
  <si>
    <t>0698</t>
    <phoneticPr fontId="6" type="noConversion"/>
  </si>
  <si>
    <t>9075</t>
    <phoneticPr fontId="6" type="noConversion"/>
  </si>
  <si>
    <t>0738</t>
    <phoneticPr fontId="6" type="noConversion"/>
  </si>
  <si>
    <t>6196</t>
    <phoneticPr fontId="6" type="noConversion"/>
  </si>
  <si>
    <t>3928</t>
    <phoneticPr fontId="6" type="noConversion"/>
  </si>
  <si>
    <t>1960</t>
    <phoneticPr fontId="6" type="noConversion"/>
  </si>
  <si>
    <t>1600</t>
    <phoneticPr fontId="6" type="noConversion"/>
  </si>
  <si>
    <t>6902</t>
    <phoneticPr fontId="6" type="noConversion"/>
  </si>
  <si>
    <t>4295</t>
    <phoneticPr fontId="6" type="noConversion"/>
  </si>
  <si>
    <t>5529</t>
    <phoneticPr fontId="6" type="noConversion"/>
  </si>
  <si>
    <t>2441</t>
    <phoneticPr fontId="6" type="noConversion"/>
  </si>
  <si>
    <t>1143</t>
    <phoneticPr fontId="6" type="noConversion"/>
  </si>
  <si>
    <t>9089</t>
    <phoneticPr fontId="6" type="noConversion"/>
  </si>
  <si>
    <t>9352</t>
    <phoneticPr fontId="6" type="noConversion"/>
  </si>
  <si>
    <t>9651</t>
    <phoneticPr fontId="6" type="noConversion"/>
  </si>
  <si>
    <t>1758</t>
    <phoneticPr fontId="6" type="noConversion"/>
  </si>
  <si>
    <t>0277</t>
    <phoneticPr fontId="6" type="noConversion"/>
  </si>
  <si>
    <t>1808</t>
    <phoneticPr fontId="6" type="noConversion"/>
  </si>
  <si>
    <t>40187177</t>
  </si>
  <si>
    <t>陈军</t>
  </si>
  <si>
    <t>40131811</t>
  </si>
  <si>
    <t>40169100</t>
  </si>
  <si>
    <t>40185486</t>
  </si>
  <si>
    <t>40206787</t>
  </si>
  <si>
    <t>40133957</t>
  </si>
  <si>
    <t>40118966</t>
  </si>
  <si>
    <t>40118685</t>
  </si>
  <si>
    <t>40198380</t>
  </si>
  <si>
    <t>40177038</t>
  </si>
  <si>
    <t>40205771</t>
  </si>
  <si>
    <t>40174175</t>
  </si>
  <si>
    <t>40168490</t>
  </si>
  <si>
    <t>40132660</t>
  </si>
  <si>
    <t>40165199</t>
  </si>
  <si>
    <t>40179000</t>
  </si>
  <si>
    <t>40161701</t>
  </si>
  <si>
    <t>40193290</t>
  </si>
  <si>
    <t>40175842</t>
  </si>
  <si>
    <t>40122117</t>
  </si>
  <si>
    <t>40198117</t>
  </si>
  <si>
    <t>40158137</t>
  </si>
  <si>
    <t>40122430</t>
  </si>
  <si>
    <t>40159770</t>
  </si>
  <si>
    <t>40139913</t>
  </si>
  <si>
    <t>40159335</t>
  </si>
  <si>
    <t>40195758</t>
  </si>
  <si>
    <t>40190841</t>
  </si>
  <si>
    <t>40158863</t>
  </si>
  <si>
    <t>40152205</t>
  </si>
  <si>
    <t>40182160</t>
  </si>
  <si>
    <t>40199446</t>
  </si>
  <si>
    <t>40176188</t>
  </si>
  <si>
    <t>40181915</t>
  </si>
  <si>
    <t>40164267</t>
  </si>
  <si>
    <t>40206423</t>
  </si>
  <si>
    <t>40161784</t>
  </si>
  <si>
    <t>40122000</t>
  </si>
  <si>
    <t>40135670</t>
  </si>
  <si>
    <t>40187102</t>
  </si>
  <si>
    <t>40158368</t>
  </si>
  <si>
    <t>40176782</t>
  </si>
  <si>
    <t>40167666</t>
  </si>
  <si>
    <t>40192904</t>
  </si>
  <si>
    <t>40178747</t>
  </si>
  <si>
    <t>40168201</t>
  </si>
  <si>
    <t>40121713</t>
  </si>
  <si>
    <t>40111086</t>
  </si>
  <si>
    <t>40205748</t>
  </si>
  <si>
    <t>40128536</t>
  </si>
  <si>
    <t>40133290</t>
  </si>
  <si>
    <t>40153666</t>
  </si>
  <si>
    <t>40192284</t>
  </si>
  <si>
    <t>40132843</t>
  </si>
  <si>
    <t>40121853</t>
  </si>
  <si>
    <t>40185585</t>
  </si>
  <si>
    <t>40178684</t>
  </si>
  <si>
    <t>40192516</t>
  </si>
  <si>
    <t>40118826</t>
  </si>
  <si>
    <t>40137396</t>
  </si>
  <si>
    <t>40190767</t>
  </si>
  <si>
    <t>40159754</t>
  </si>
  <si>
    <t>40133411</t>
  </si>
  <si>
    <t>40175107</t>
  </si>
  <si>
    <t>40128379</t>
  </si>
  <si>
    <t>40190734</t>
  </si>
  <si>
    <t>40121952</t>
  </si>
  <si>
    <t>40199354</t>
  </si>
  <si>
    <t>40138105</t>
  </si>
  <si>
    <t>40175834</t>
  </si>
  <si>
    <t>40167732</t>
  </si>
  <si>
    <t>40162444</t>
  </si>
  <si>
    <t>40122273</t>
  </si>
  <si>
    <t>40189037</t>
  </si>
  <si>
    <t>40185494</t>
  </si>
  <si>
    <t>40196897</t>
  </si>
  <si>
    <t>40163673</t>
  </si>
  <si>
    <t>40175271</t>
  </si>
  <si>
    <t>40199727</t>
  </si>
  <si>
    <t>40158061</t>
  </si>
  <si>
    <t>40204717</t>
  </si>
  <si>
    <t>40122323</t>
  </si>
  <si>
    <t>40175537</t>
  </si>
  <si>
    <t>40158194</t>
  </si>
  <si>
    <t>40158124</t>
  </si>
  <si>
    <t>40128353</t>
  </si>
  <si>
    <t>40169092</t>
  </si>
  <si>
    <t>40118727</t>
  </si>
  <si>
    <t>40121994</t>
  </si>
  <si>
    <t>40176121</t>
  </si>
  <si>
    <t>40188316</t>
  </si>
  <si>
    <t>40161727</t>
  </si>
  <si>
    <t>40176220</t>
  </si>
  <si>
    <t>40207272</t>
  </si>
  <si>
    <t>40187920</t>
  </si>
  <si>
    <t>40121911</t>
  </si>
  <si>
    <t>40160620</t>
  </si>
  <si>
    <t>40161370</t>
  </si>
  <si>
    <t>40175339</t>
  </si>
  <si>
    <t>40118925</t>
  </si>
  <si>
    <t>40132629</t>
  </si>
  <si>
    <t>40136018</t>
  </si>
  <si>
    <t>40176287</t>
  </si>
  <si>
    <t>40176808</t>
  </si>
  <si>
    <t>40206928</t>
  </si>
  <si>
    <t>40159747</t>
  </si>
  <si>
    <t>40205664</t>
  </si>
  <si>
    <t>40176261</t>
  </si>
  <si>
    <t>40139814</t>
  </si>
  <si>
    <t>40159861</t>
  </si>
  <si>
    <t>40122018</t>
  </si>
  <si>
    <t>40128564</t>
  </si>
  <si>
    <t>40189132</t>
  </si>
  <si>
    <t>40188308</t>
  </si>
  <si>
    <t>40181923</t>
  </si>
  <si>
    <t>40188167</t>
  </si>
  <si>
    <t>40200053</t>
  </si>
  <si>
    <t>40175354</t>
  </si>
  <si>
    <t>40187789</t>
  </si>
  <si>
    <t>40182079</t>
  </si>
  <si>
    <t>40178762</t>
  </si>
  <si>
    <t>40121697</t>
  </si>
  <si>
    <t>40199750</t>
  </si>
  <si>
    <t>40193449</t>
  </si>
  <si>
    <t>40133205</t>
  </si>
  <si>
    <t>40164382</t>
  </si>
  <si>
    <t>40175735</t>
  </si>
  <si>
    <t>40122075</t>
  </si>
  <si>
    <t>40181899</t>
  </si>
  <si>
    <t>40167468</t>
  </si>
  <si>
    <t>40161552</t>
  </si>
  <si>
    <t>40172070</t>
  </si>
  <si>
    <t>40130698</t>
  </si>
  <si>
    <t>40179075</t>
  </si>
  <si>
    <t>40150738</t>
  </si>
  <si>
    <t>40176196</t>
  </si>
  <si>
    <t>40193928</t>
  </si>
  <si>
    <t>40121960</t>
  </si>
  <si>
    <t>40181600</t>
  </si>
  <si>
    <t>40206902</t>
  </si>
  <si>
    <t>40204295</t>
  </si>
  <si>
    <t>40175529</t>
  </si>
  <si>
    <t>40192441</t>
  </si>
  <si>
    <t>40121143</t>
  </si>
  <si>
    <t>40119089</t>
  </si>
  <si>
    <t>40119352</t>
  </si>
  <si>
    <t>40199651</t>
  </si>
  <si>
    <t>40181758</t>
  </si>
  <si>
    <t>40200277</t>
  </si>
  <si>
    <t>40181808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</si>
</sst>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宋体"/>
      <charset val="134"/>
      <scheme val="minor"/>
    </font>
    <font>
      <b/>
      <sz val="11"/>
      <color indexed="8"/>
      <name val="宋体"/>
      <charset val="134"/>
    </font>
    <font>
      <sz val="11"/>
      <name val="Calibri"/>
      <family val="2"/>
    </font>
    <font>
      <sz val="11"/>
      <name val="宋体"/>
      <charset val="134"/>
    </font>
    <font>
      <sz val="10.5"/>
      <color rgb="FF333333"/>
      <name val="Microsoft YaHei"/>
      <charset val="134"/>
    </font>
    <font>
      <b/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6"/>
      <color theme="1"/>
      <name val="宋体"/>
      <charset val="134"/>
      <scheme val="minor"/>
    </font>
    <font>
      <sz val="9"/>
      <name val="宋体"/>
      <charset val="134"/>
      <scheme val="minor"/>
    </font>
    <font>
      <sz val="16"/>
      <color theme="1"/>
      <name val="宋体"/>
      <charset val="134"/>
      <scheme val="major"/>
    </font>
    <font>
      <sz val="18"/>
      <color theme="1"/>
      <name val="宋体"/>
      <charset val="134"/>
      <scheme val="minor"/>
    </font>
    <font>
      <sz val="18"/>
      <color theme="1"/>
      <name val="宋体"/>
      <charset val="134"/>
      <scheme val="major"/>
    </font>
    <font>
      <sz val="18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7" borderId="0" xfId="0" quotePrefix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49" fontId="10" fillId="6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02BD3-845E-4AF8-883D-CAA030D4CBDF}">
  <dimension ref="A1:V153"/>
  <sheetViews>
    <sheetView topLeftCell="C1" zoomScale="85" zoomScaleNormal="85" workbookViewId="0">
      <selection sqref="A1:XFD1048576"/>
    </sheetView>
  </sheetViews>
  <sheetFormatPr defaultColWidth="9" defaultRowHeight="20.25"/>
  <cols>
    <col min="1" max="1" width="26.125" style="25" customWidth="1"/>
    <col min="2" max="2" width="14.375" style="25" bestFit="1" customWidth="1"/>
    <col min="3" max="3" width="12.125" style="25" customWidth="1"/>
    <col min="4" max="4" width="15.75" style="27" customWidth="1"/>
    <col min="5" max="5" width="10.375" style="27" customWidth="1"/>
    <col min="6" max="6" width="5.875" style="25" customWidth="1"/>
    <col min="7" max="7" width="6.125" style="25" customWidth="1"/>
    <col min="8" max="8" width="13.5" style="26" customWidth="1"/>
    <col min="9" max="9" width="6.75" style="25" customWidth="1"/>
    <col min="10" max="10" width="5.75" style="25" customWidth="1"/>
    <col min="11" max="11" width="8.25" style="25" customWidth="1"/>
    <col min="12" max="12" width="6.125" style="25" customWidth="1"/>
    <col min="13" max="13" width="14" style="25" customWidth="1"/>
    <col min="14" max="14" width="9" style="25" customWidth="1"/>
    <col min="15" max="15" width="54.375" style="25" customWidth="1"/>
    <col min="16" max="16" width="18.25" style="25" customWidth="1"/>
    <col min="17" max="17" width="9.25" style="25" customWidth="1"/>
    <col min="18" max="18" width="21.25" style="25" customWidth="1"/>
    <col min="19" max="19" width="21.125" style="25" customWidth="1"/>
    <col min="20" max="20" width="7.5" style="25" customWidth="1"/>
    <col min="21" max="21" width="20.375" style="26" customWidth="1"/>
    <col min="22" max="22" width="9" style="25" customWidth="1"/>
    <col min="23" max="16384" width="9" style="25"/>
  </cols>
  <sheetData>
    <row r="1" spans="1:22">
      <c r="A1" s="25" t="s">
        <v>710</v>
      </c>
    </row>
    <row r="3" spans="1:22" s="31" customFormat="1" ht="22.5">
      <c r="A3" s="32" t="s">
        <v>1</v>
      </c>
      <c r="B3" s="32" t="s">
        <v>2</v>
      </c>
      <c r="C3" s="32" t="s">
        <v>3</v>
      </c>
      <c r="D3" s="34" t="s">
        <v>4</v>
      </c>
      <c r="E3" s="34" t="s">
        <v>709</v>
      </c>
      <c r="F3" s="32" t="s">
        <v>708</v>
      </c>
      <c r="G3" s="32" t="s">
        <v>707</v>
      </c>
      <c r="H3" s="33" t="s">
        <v>10</v>
      </c>
      <c r="I3" s="32" t="s">
        <v>706</v>
      </c>
      <c r="J3" s="32" t="s">
        <v>705</v>
      </c>
      <c r="K3" s="32" t="s">
        <v>704</v>
      </c>
      <c r="L3" s="32" t="s">
        <v>15</v>
      </c>
      <c r="M3" s="33" t="s">
        <v>703</v>
      </c>
      <c r="N3" s="32" t="s">
        <v>702</v>
      </c>
      <c r="O3" s="32" t="s">
        <v>17</v>
      </c>
      <c r="P3" s="32" t="s">
        <v>19</v>
      </c>
      <c r="Q3" s="32" t="s">
        <v>15</v>
      </c>
      <c r="R3" s="32" t="s">
        <v>701</v>
      </c>
      <c r="S3" s="32" t="s">
        <v>700</v>
      </c>
      <c r="T3" s="32" t="s">
        <v>699</v>
      </c>
      <c r="U3" s="33" t="s">
        <v>698</v>
      </c>
      <c r="V3" s="32" t="s">
        <v>690</v>
      </c>
    </row>
    <row r="4" spans="1:22" s="28" customFormat="1" ht="22.5">
      <c r="A4" s="32" t="s">
        <v>697</v>
      </c>
      <c r="B4" s="32" t="s">
        <v>38</v>
      </c>
      <c r="C4" s="32" t="s">
        <v>686</v>
      </c>
      <c r="D4" s="32">
        <v>101</v>
      </c>
      <c r="E4" s="32">
        <v>101</v>
      </c>
      <c r="F4" s="32"/>
      <c r="G4" s="32"/>
      <c r="H4" s="33" t="s">
        <v>696</v>
      </c>
      <c r="I4" s="29"/>
      <c r="J4" s="29"/>
      <c r="K4" s="29"/>
      <c r="L4" s="29"/>
      <c r="M4" s="33" t="s">
        <v>848</v>
      </c>
      <c r="N4" s="29" t="s">
        <v>695</v>
      </c>
      <c r="O4" s="32" t="s">
        <v>694</v>
      </c>
      <c r="P4" s="29" t="s">
        <v>693</v>
      </c>
      <c r="Q4" s="29"/>
      <c r="R4" s="29" t="s">
        <v>692</v>
      </c>
      <c r="S4" s="29" t="s">
        <v>691</v>
      </c>
      <c r="T4" s="29"/>
      <c r="U4" s="30">
        <v>0</v>
      </c>
      <c r="V4" s="29" t="s">
        <v>849</v>
      </c>
    </row>
    <row r="5" spans="1:22">
      <c r="A5" s="25" t="s">
        <v>697</v>
      </c>
      <c r="B5" s="25" t="s">
        <v>38</v>
      </c>
      <c r="C5" s="25" t="s">
        <v>686</v>
      </c>
      <c r="D5" s="27">
        <v>104</v>
      </c>
      <c r="E5" s="27">
        <v>104</v>
      </c>
      <c r="H5" s="26" t="s">
        <v>696</v>
      </c>
      <c r="M5" s="25" t="s">
        <v>850</v>
      </c>
      <c r="N5" s="25" t="s">
        <v>695</v>
      </c>
      <c r="O5" s="25" t="s">
        <v>694</v>
      </c>
      <c r="P5" s="25" t="s">
        <v>693</v>
      </c>
      <c r="R5" s="25" t="s">
        <v>692</v>
      </c>
      <c r="S5" s="25" t="s">
        <v>691</v>
      </c>
      <c r="U5" s="26">
        <v>0</v>
      </c>
      <c r="V5" s="25" t="s">
        <v>849</v>
      </c>
    </row>
    <row r="6" spans="1:22">
      <c r="A6" s="25" t="s">
        <v>697</v>
      </c>
      <c r="B6" s="25" t="s">
        <v>38</v>
      </c>
      <c r="C6" s="25" t="s">
        <v>686</v>
      </c>
      <c r="D6" s="27">
        <v>601</v>
      </c>
      <c r="E6" s="27">
        <v>601</v>
      </c>
      <c r="H6" s="26" t="s">
        <v>696</v>
      </c>
      <c r="M6" s="25" t="s">
        <v>851</v>
      </c>
      <c r="N6" s="25" t="s">
        <v>695</v>
      </c>
      <c r="O6" s="25" t="s">
        <v>694</v>
      </c>
      <c r="P6" s="25" t="s">
        <v>693</v>
      </c>
      <c r="R6" s="25" t="s">
        <v>692</v>
      </c>
      <c r="S6" s="25" t="s">
        <v>691</v>
      </c>
      <c r="U6" s="26">
        <v>0</v>
      </c>
      <c r="V6" s="25" t="s">
        <v>849</v>
      </c>
    </row>
    <row r="7" spans="1:22">
      <c r="A7" s="25" t="s">
        <v>697</v>
      </c>
      <c r="B7" s="25" t="s">
        <v>38</v>
      </c>
      <c r="C7" s="25" t="s">
        <v>686</v>
      </c>
      <c r="D7" s="27">
        <v>604</v>
      </c>
      <c r="E7" s="27">
        <v>604</v>
      </c>
      <c r="H7" s="26" t="s">
        <v>696</v>
      </c>
      <c r="M7" s="25" t="s">
        <v>852</v>
      </c>
      <c r="N7" s="25" t="s">
        <v>695</v>
      </c>
      <c r="O7" s="25" t="s">
        <v>694</v>
      </c>
      <c r="P7" s="25" t="s">
        <v>693</v>
      </c>
      <c r="R7" s="25" t="s">
        <v>692</v>
      </c>
      <c r="S7" s="25" t="s">
        <v>691</v>
      </c>
      <c r="U7" s="26">
        <v>0</v>
      </c>
      <c r="V7" s="25" t="s">
        <v>849</v>
      </c>
    </row>
    <row r="8" spans="1:22">
      <c r="A8" s="25" t="s">
        <v>697</v>
      </c>
      <c r="B8" s="25" t="s">
        <v>38</v>
      </c>
      <c r="C8" s="25" t="s">
        <v>687</v>
      </c>
      <c r="D8" s="27">
        <v>101</v>
      </c>
      <c r="E8" s="27">
        <v>101</v>
      </c>
      <c r="H8" s="26" t="s">
        <v>696</v>
      </c>
      <c r="M8" s="25" t="s">
        <v>853</v>
      </c>
      <c r="N8" s="25" t="s">
        <v>695</v>
      </c>
      <c r="O8" s="25" t="s">
        <v>694</v>
      </c>
      <c r="P8" s="25" t="s">
        <v>693</v>
      </c>
      <c r="R8" s="25" t="s">
        <v>692</v>
      </c>
      <c r="S8" s="25" t="s">
        <v>691</v>
      </c>
      <c r="U8" s="26">
        <v>0</v>
      </c>
      <c r="V8" s="25" t="s">
        <v>849</v>
      </c>
    </row>
    <row r="9" spans="1:22">
      <c r="A9" s="25" t="s">
        <v>697</v>
      </c>
      <c r="B9" s="25" t="s">
        <v>38</v>
      </c>
      <c r="C9" s="25" t="s">
        <v>687</v>
      </c>
      <c r="D9" s="27">
        <v>104</v>
      </c>
      <c r="E9" s="27">
        <v>104</v>
      </c>
      <c r="H9" s="26" t="s">
        <v>696</v>
      </c>
      <c r="M9" s="25" t="s">
        <v>854</v>
      </c>
      <c r="N9" s="25" t="s">
        <v>695</v>
      </c>
      <c r="O9" s="25" t="s">
        <v>694</v>
      </c>
      <c r="P9" s="25" t="s">
        <v>693</v>
      </c>
      <c r="R9" s="25" t="s">
        <v>692</v>
      </c>
      <c r="S9" s="25" t="s">
        <v>691</v>
      </c>
      <c r="U9" s="26">
        <v>0</v>
      </c>
      <c r="V9" s="25" t="s">
        <v>849</v>
      </c>
    </row>
    <row r="10" spans="1:22">
      <c r="A10" s="25" t="s">
        <v>697</v>
      </c>
      <c r="B10" s="25" t="s">
        <v>38</v>
      </c>
      <c r="C10" s="25" t="s">
        <v>687</v>
      </c>
      <c r="D10" s="27">
        <v>601</v>
      </c>
      <c r="E10" s="27">
        <v>601</v>
      </c>
      <c r="H10" s="26" t="s">
        <v>696</v>
      </c>
      <c r="M10" s="25" t="s">
        <v>855</v>
      </c>
      <c r="N10" s="25" t="s">
        <v>695</v>
      </c>
      <c r="O10" s="25" t="s">
        <v>694</v>
      </c>
      <c r="P10" s="25" t="s">
        <v>693</v>
      </c>
      <c r="R10" s="25" t="s">
        <v>692</v>
      </c>
      <c r="S10" s="25" t="s">
        <v>691</v>
      </c>
      <c r="U10" s="26">
        <v>0</v>
      </c>
      <c r="V10" s="25" t="s">
        <v>849</v>
      </c>
    </row>
    <row r="11" spans="1:22">
      <c r="A11" s="25" t="s">
        <v>697</v>
      </c>
      <c r="B11" s="25" t="s">
        <v>38</v>
      </c>
      <c r="C11" s="25" t="s">
        <v>687</v>
      </c>
      <c r="D11" s="27">
        <v>604</v>
      </c>
      <c r="E11" s="27">
        <v>604</v>
      </c>
      <c r="H11" s="26" t="s">
        <v>696</v>
      </c>
      <c r="M11" s="25" t="s">
        <v>856</v>
      </c>
      <c r="N11" s="25" t="s">
        <v>695</v>
      </c>
      <c r="O11" s="25" t="s">
        <v>694</v>
      </c>
      <c r="P11" s="25" t="s">
        <v>693</v>
      </c>
      <c r="R11" s="25" t="s">
        <v>692</v>
      </c>
      <c r="S11" s="25" t="s">
        <v>691</v>
      </c>
      <c r="U11" s="26">
        <v>0</v>
      </c>
      <c r="V11" s="25" t="s">
        <v>849</v>
      </c>
    </row>
    <row r="12" spans="1:22">
      <c r="A12" s="25" t="s">
        <v>697</v>
      </c>
      <c r="B12" s="25" t="s">
        <v>38</v>
      </c>
      <c r="C12" s="25" t="s">
        <v>688</v>
      </c>
      <c r="D12" s="27">
        <v>101</v>
      </c>
      <c r="E12" s="27">
        <v>101</v>
      </c>
      <c r="H12" s="26" t="s">
        <v>696</v>
      </c>
      <c r="M12" s="25" t="s">
        <v>857</v>
      </c>
      <c r="N12" s="25" t="s">
        <v>695</v>
      </c>
      <c r="O12" s="25" t="s">
        <v>694</v>
      </c>
      <c r="P12" s="25" t="s">
        <v>693</v>
      </c>
      <c r="R12" s="25" t="s">
        <v>692</v>
      </c>
      <c r="S12" s="25" t="s">
        <v>691</v>
      </c>
      <c r="U12" s="26">
        <v>0</v>
      </c>
      <c r="V12" s="25" t="s">
        <v>849</v>
      </c>
    </row>
    <row r="13" spans="1:22">
      <c r="A13" s="25" t="s">
        <v>697</v>
      </c>
      <c r="B13" s="25" t="s">
        <v>38</v>
      </c>
      <c r="C13" s="25" t="s">
        <v>688</v>
      </c>
      <c r="D13" s="27">
        <v>104</v>
      </c>
      <c r="E13" s="27">
        <v>104</v>
      </c>
      <c r="H13" s="26" t="s">
        <v>696</v>
      </c>
      <c r="M13" s="25" t="s">
        <v>858</v>
      </c>
      <c r="N13" s="25" t="s">
        <v>695</v>
      </c>
      <c r="O13" s="25" t="s">
        <v>694</v>
      </c>
      <c r="P13" s="25" t="s">
        <v>693</v>
      </c>
      <c r="R13" s="25" t="s">
        <v>692</v>
      </c>
      <c r="S13" s="25" t="s">
        <v>691</v>
      </c>
      <c r="U13" s="26">
        <v>0</v>
      </c>
      <c r="V13" s="25" t="s">
        <v>849</v>
      </c>
    </row>
    <row r="14" spans="1:22">
      <c r="A14" s="25" t="s">
        <v>697</v>
      </c>
      <c r="B14" s="25" t="s">
        <v>38</v>
      </c>
      <c r="C14" s="25" t="s">
        <v>688</v>
      </c>
      <c r="D14" s="27">
        <v>601</v>
      </c>
      <c r="E14" s="27">
        <v>601</v>
      </c>
      <c r="H14" s="26" t="s">
        <v>696</v>
      </c>
      <c r="M14" s="25" t="s">
        <v>859</v>
      </c>
      <c r="N14" s="25" t="s">
        <v>695</v>
      </c>
      <c r="O14" s="25" t="s">
        <v>694</v>
      </c>
      <c r="P14" s="25" t="s">
        <v>693</v>
      </c>
      <c r="R14" s="25" t="s">
        <v>692</v>
      </c>
      <c r="S14" s="25" t="s">
        <v>691</v>
      </c>
      <c r="U14" s="26">
        <v>0</v>
      </c>
      <c r="V14" s="25" t="s">
        <v>849</v>
      </c>
    </row>
    <row r="15" spans="1:22">
      <c r="A15" s="25" t="s">
        <v>697</v>
      </c>
      <c r="B15" s="25" t="s">
        <v>38</v>
      </c>
      <c r="C15" s="25" t="s">
        <v>688</v>
      </c>
      <c r="D15" s="27">
        <v>604</v>
      </c>
      <c r="E15" s="27">
        <v>604</v>
      </c>
      <c r="H15" s="26" t="s">
        <v>696</v>
      </c>
      <c r="M15" s="25" t="s">
        <v>860</v>
      </c>
      <c r="N15" s="25" t="s">
        <v>695</v>
      </c>
      <c r="O15" s="25" t="s">
        <v>694</v>
      </c>
      <c r="P15" s="25" t="s">
        <v>693</v>
      </c>
      <c r="R15" s="25" t="s">
        <v>692</v>
      </c>
      <c r="S15" s="25" t="s">
        <v>691</v>
      </c>
      <c r="U15" s="26">
        <v>0</v>
      </c>
      <c r="V15" s="25" t="s">
        <v>849</v>
      </c>
    </row>
    <row r="16" spans="1:22">
      <c r="A16" s="25" t="s">
        <v>697</v>
      </c>
      <c r="B16" s="25" t="s">
        <v>679</v>
      </c>
      <c r="C16" s="25" t="s">
        <v>686</v>
      </c>
      <c r="D16" s="27">
        <v>201</v>
      </c>
      <c r="E16" s="27">
        <v>201</v>
      </c>
      <c r="H16" s="26" t="s">
        <v>696</v>
      </c>
      <c r="M16" s="25" t="s">
        <v>861</v>
      </c>
      <c r="N16" s="25" t="s">
        <v>695</v>
      </c>
      <c r="O16" s="25" t="s">
        <v>694</v>
      </c>
      <c r="P16" s="25" t="s">
        <v>693</v>
      </c>
      <c r="R16" s="25" t="s">
        <v>692</v>
      </c>
      <c r="S16" s="25" t="s">
        <v>691</v>
      </c>
      <c r="U16" s="26">
        <v>0</v>
      </c>
      <c r="V16" s="25" t="s">
        <v>849</v>
      </c>
    </row>
    <row r="17" spans="1:22">
      <c r="A17" s="25" t="s">
        <v>697</v>
      </c>
      <c r="B17" s="25" t="s">
        <v>679</v>
      </c>
      <c r="C17" s="25" t="s">
        <v>686</v>
      </c>
      <c r="D17" s="27">
        <v>204</v>
      </c>
      <c r="E17" s="27">
        <v>204</v>
      </c>
      <c r="H17" s="26" t="s">
        <v>696</v>
      </c>
      <c r="M17" s="25" t="s">
        <v>862</v>
      </c>
      <c r="N17" s="25" t="s">
        <v>695</v>
      </c>
      <c r="O17" s="25" t="s">
        <v>694</v>
      </c>
      <c r="P17" s="25" t="s">
        <v>693</v>
      </c>
      <c r="R17" s="25" t="s">
        <v>692</v>
      </c>
      <c r="S17" s="25" t="s">
        <v>691</v>
      </c>
      <c r="U17" s="26">
        <v>0</v>
      </c>
      <c r="V17" s="25" t="s">
        <v>849</v>
      </c>
    </row>
    <row r="18" spans="1:22">
      <c r="A18" s="25" t="s">
        <v>697</v>
      </c>
      <c r="B18" s="25" t="s">
        <v>679</v>
      </c>
      <c r="C18" s="25" t="s">
        <v>686</v>
      </c>
      <c r="D18" s="27">
        <v>501</v>
      </c>
      <c r="E18" s="27">
        <v>501</v>
      </c>
      <c r="H18" s="26" t="s">
        <v>696</v>
      </c>
      <c r="M18" s="25" t="s">
        <v>863</v>
      </c>
      <c r="N18" s="25" t="s">
        <v>695</v>
      </c>
      <c r="O18" s="25" t="s">
        <v>694</v>
      </c>
      <c r="P18" s="25" t="s">
        <v>693</v>
      </c>
      <c r="R18" s="25" t="s">
        <v>692</v>
      </c>
      <c r="S18" s="25" t="s">
        <v>691</v>
      </c>
      <c r="U18" s="26">
        <v>0</v>
      </c>
      <c r="V18" s="25" t="s">
        <v>849</v>
      </c>
    </row>
    <row r="19" spans="1:22">
      <c r="A19" s="25" t="s">
        <v>697</v>
      </c>
      <c r="B19" s="25" t="s">
        <v>679</v>
      </c>
      <c r="C19" s="25" t="s">
        <v>686</v>
      </c>
      <c r="D19" s="27">
        <v>504</v>
      </c>
      <c r="E19" s="27">
        <v>504</v>
      </c>
      <c r="H19" s="26" t="s">
        <v>696</v>
      </c>
      <c r="M19" s="25" t="s">
        <v>864</v>
      </c>
      <c r="N19" s="25" t="s">
        <v>695</v>
      </c>
      <c r="O19" s="25" t="s">
        <v>694</v>
      </c>
      <c r="P19" s="25" t="s">
        <v>693</v>
      </c>
      <c r="R19" s="25" t="s">
        <v>692</v>
      </c>
      <c r="S19" s="25" t="s">
        <v>691</v>
      </c>
      <c r="U19" s="26">
        <v>0</v>
      </c>
      <c r="V19" s="25" t="s">
        <v>849</v>
      </c>
    </row>
    <row r="20" spans="1:22">
      <c r="A20" s="25" t="s">
        <v>697</v>
      </c>
      <c r="B20" s="25" t="s">
        <v>679</v>
      </c>
      <c r="C20" s="25" t="s">
        <v>687</v>
      </c>
      <c r="D20" s="27">
        <v>201</v>
      </c>
      <c r="E20" s="27">
        <v>201</v>
      </c>
      <c r="H20" s="26" t="s">
        <v>696</v>
      </c>
      <c r="M20" s="25" t="s">
        <v>865</v>
      </c>
      <c r="N20" s="25" t="s">
        <v>695</v>
      </c>
      <c r="O20" s="25" t="s">
        <v>694</v>
      </c>
      <c r="P20" s="25" t="s">
        <v>693</v>
      </c>
      <c r="R20" s="25" t="s">
        <v>692</v>
      </c>
      <c r="S20" s="25" t="s">
        <v>691</v>
      </c>
      <c r="U20" s="26">
        <v>0</v>
      </c>
      <c r="V20" s="25" t="s">
        <v>849</v>
      </c>
    </row>
    <row r="21" spans="1:22">
      <c r="A21" s="25" t="s">
        <v>697</v>
      </c>
      <c r="B21" s="25" t="s">
        <v>679</v>
      </c>
      <c r="C21" s="25" t="s">
        <v>687</v>
      </c>
      <c r="D21" s="27">
        <v>204</v>
      </c>
      <c r="E21" s="27">
        <v>204</v>
      </c>
      <c r="H21" s="26" t="s">
        <v>696</v>
      </c>
      <c r="M21" s="25" t="s">
        <v>866</v>
      </c>
      <c r="N21" s="25" t="s">
        <v>695</v>
      </c>
      <c r="O21" s="25" t="s">
        <v>694</v>
      </c>
      <c r="P21" s="25" t="s">
        <v>693</v>
      </c>
      <c r="R21" s="25" t="s">
        <v>692</v>
      </c>
      <c r="S21" s="25" t="s">
        <v>691</v>
      </c>
      <c r="U21" s="26">
        <v>0</v>
      </c>
      <c r="V21" s="25" t="s">
        <v>849</v>
      </c>
    </row>
    <row r="22" spans="1:22">
      <c r="A22" s="25" t="s">
        <v>697</v>
      </c>
      <c r="B22" s="25" t="s">
        <v>679</v>
      </c>
      <c r="C22" s="25" t="s">
        <v>687</v>
      </c>
      <c r="D22" s="27">
        <v>501</v>
      </c>
      <c r="E22" s="27">
        <v>501</v>
      </c>
      <c r="H22" s="26" t="s">
        <v>696</v>
      </c>
      <c r="M22" s="25" t="s">
        <v>867</v>
      </c>
      <c r="N22" s="25" t="s">
        <v>695</v>
      </c>
      <c r="O22" s="25" t="s">
        <v>694</v>
      </c>
      <c r="P22" s="25" t="s">
        <v>693</v>
      </c>
      <c r="R22" s="25" t="s">
        <v>692</v>
      </c>
      <c r="S22" s="25" t="s">
        <v>691</v>
      </c>
      <c r="U22" s="26">
        <v>0</v>
      </c>
      <c r="V22" s="25" t="s">
        <v>849</v>
      </c>
    </row>
    <row r="23" spans="1:22">
      <c r="A23" s="25" t="s">
        <v>697</v>
      </c>
      <c r="B23" s="25" t="s">
        <v>679</v>
      </c>
      <c r="C23" s="25" t="s">
        <v>687</v>
      </c>
      <c r="D23" s="27">
        <v>504</v>
      </c>
      <c r="E23" s="27">
        <v>504</v>
      </c>
      <c r="H23" s="26" t="s">
        <v>696</v>
      </c>
      <c r="M23" s="25" t="s">
        <v>868</v>
      </c>
      <c r="N23" s="25" t="s">
        <v>695</v>
      </c>
      <c r="O23" s="25" t="s">
        <v>694</v>
      </c>
      <c r="P23" s="25" t="s">
        <v>693</v>
      </c>
      <c r="R23" s="25" t="s">
        <v>692</v>
      </c>
      <c r="S23" s="25" t="s">
        <v>691</v>
      </c>
      <c r="U23" s="26">
        <v>0</v>
      </c>
      <c r="V23" s="25" t="s">
        <v>849</v>
      </c>
    </row>
    <row r="24" spans="1:22">
      <c r="A24" s="25" t="s">
        <v>697</v>
      </c>
      <c r="B24" s="25" t="s">
        <v>43</v>
      </c>
      <c r="C24" s="25" t="s">
        <v>686</v>
      </c>
      <c r="D24" s="27">
        <v>201</v>
      </c>
      <c r="E24" s="27">
        <v>201</v>
      </c>
      <c r="H24" s="26" t="s">
        <v>696</v>
      </c>
      <c r="M24" s="25" t="s">
        <v>869</v>
      </c>
      <c r="N24" s="25" t="s">
        <v>695</v>
      </c>
      <c r="O24" s="25" t="s">
        <v>694</v>
      </c>
      <c r="P24" s="25" t="s">
        <v>693</v>
      </c>
      <c r="R24" s="25" t="s">
        <v>692</v>
      </c>
      <c r="S24" s="25" t="s">
        <v>691</v>
      </c>
      <c r="U24" s="26">
        <v>0</v>
      </c>
      <c r="V24" s="25" t="s">
        <v>849</v>
      </c>
    </row>
    <row r="25" spans="1:22">
      <c r="A25" s="25" t="s">
        <v>697</v>
      </c>
      <c r="B25" s="25" t="s">
        <v>43</v>
      </c>
      <c r="C25" s="25" t="s">
        <v>686</v>
      </c>
      <c r="D25" s="27">
        <v>204</v>
      </c>
      <c r="E25" s="27">
        <v>204</v>
      </c>
      <c r="H25" s="26" t="s">
        <v>696</v>
      </c>
      <c r="M25" s="25" t="s">
        <v>870</v>
      </c>
      <c r="N25" s="25" t="s">
        <v>695</v>
      </c>
      <c r="O25" s="25" t="s">
        <v>694</v>
      </c>
      <c r="P25" s="25" t="s">
        <v>693</v>
      </c>
      <c r="R25" s="25" t="s">
        <v>692</v>
      </c>
      <c r="S25" s="25" t="s">
        <v>691</v>
      </c>
      <c r="U25" s="26">
        <v>0</v>
      </c>
      <c r="V25" s="25" t="s">
        <v>849</v>
      </c>
    </row>
    <row r="26" spans="1:22">
      <c r="A26" s="25" t="s">
        <v>697</v>
      </c>
      <c r="B26" s="25" t="s">
        <v>43</v>
      </c>
      <c r="C26" s="25" t="s">
        <v>686</v>
      </c>
      <c r="D26" s="27">
        <v>501</v>
      </c>
      <c r="E26" s="27">
        <v>501</v>
      </c>
      <c r="H26" s="26" t="s">
        <v>696</v>
      </c>
      <c r="M26" s="25" t="s">
        <v>871</v>
      </c>
      <c r="N26" s="25" t="s">
        <v>695</v>
      </c>
      <c r="O26" s="25" t="s">
        <v>694</v>
      </c>
      <c r="P26" s="25" t="s">
        <v>693</v>
      </c>
      <c r="R26" s="25" t="s">
        <v>692</v>
      </c>
      <c r="S26" s="25" t="s">
        <v>691</v>
      </c>
      <c r="U26" s="26">
        <v>0</v>
      </c>
      <c r="V26" s="25" t="s">
        <v>849</v>
      </c>
    </row>
    <row r="27" spans="1:22">
      <c r="A27" s="25" t="s">
        <v>697</v>
      </c>
      <c r="B27" s="25" t="s">
        <v>43</v>
      </c>
      <c r="C27" s="25" t="s">
        <v>686</v>
      </c>
      <c r="D27" s="27">
        <v>504</v>
      </c>
      <c r="E27" s="27">
        <v>504</v>
      </c>
      <c r="H27" s="26" t="s">
        <v>696</v>
      </c>
      <c r="M27" s="25" t="s">
        <v>872</v>
      </c>
      <c r="N27" s="25" t="s">
        <v>695</v>
      </c>
      <c r="O27" s="25" t="s">
        <v>694</v>
      </c>
      <c r="P27" s="25" t="s">
        <v>693</v>
      </c>
      <c r="R27" s="25" t="s">
        <v>692</v>
      </c>
      <c r="S27" s="25" t="s">
        <v>691</v>
      </c>
      <c r="U27" s="26">
        <v>0</v>
      </c>
      <c r="V27" s="25" t="s">
        <v>849</v>
      </c>
    </row>
    <row r="28" spans="1:22">
      <c r="A28" s="25" t="s">
        <v>697</v>
      </c>
      <c r="B28" s="25" t="s">
        <v>43</v>
      </c>
      <c r="C28" s="25" t="s">
        <v>687</v>
      </c>
      <c r="D28" s="27">
        <v>201</v>
      </c>
      <c r="E28" s="27">
        <v>201</v>
      </c>
      <c r="H28" s="26" t="s">
        <v>696</v>
      </c>
      <c r="M28" s="25" t="s">
        <v>873</v>
      </c>
      <c r="N28" s="25" t="s">
        <v>695</v>
      </c>
      <c r="O28" s="25" t="s">
        <v>694</v>
      </c>
      <c r="P28" s="25" t="s">
        <v>693</v>
      </c>
      <c r="R28" s="25" t="s">
        <v>692</v>
      </c>
      <c r="S28" s="25" t="s">
        <v>691</v>
      </c>
      <c r="U28" s="26">
        <v>0</v>
      </c>
      <c r="V28" s="25" t="s">
        <v>849</v>
      </c>
    </row>
    <row r="29" spans="1:22">
      <c r="A29" s="25" t="s">
        <v>697</v>
      </c>
      <c r="B29" s="25" t="s">
        <v>43</v>
      </c>
      <c r="C29" s="25" t="s">
        <v>687</v>
      </c>
      <c r="D29" s="27">
        <v>204</v>
      </c>
      <c r="E29" s="27">
        <v>204</v>
      </c>
      <c r="H29" s="26" t="s">
        <v>696</v>
      </c>
      <c r="M29" s="25" t="s">
        <v>874</v>
      </c>
      <c r="N29" s="25" t="s">
        <v>695</v>
      </c>
      <c r="O29" s="25" t="s">
        <v>694</v>
      </c>
      <c r="P29" s="25" t="s">
        <v>693</v>
      </c>
      <c r="R29" s="25" t="s">
        <v>692</v>
      </c>
      <c r="S29" s="25" t="s">
        <v>691</v>
      </c>
      <c r="U29" s="26">
        <v>0</v>
      </c>
      <c r="V29" s="25" t="s">
        <v>849</v>
      </c>
    </row>
    <row r="30" spans="1:22">
      <c r="A30" s="25" t="s">
        <v>697</v>
      </c>
      <c r="B30" s="25" t="s">
        <v>43</v>
      </c>
      <c r="C30" s="25" t="s">
        <v>687</v>
      </c>
      <c r="D30" s="27">
        <v>501</v>
      </c>
      <c r="E30" s="27">
        <v>501</v>
      </c>
      <c r="H30" s="26" t="s">
        <v>696</v>
      </c>
      <c r="M30" s="25" t="s">
        <v>875</v>
      </c>
      <c r="N30" s="25" t="s">
        <v>695</v>
      </c>
      <c r="O30" s="25" t="s">
        <v>694</v>
      </c>
      <c r="P30" s="25" t="s">
        <v>693</v>
      </c>
      <c r="R30" s="25" t="s">
        <v>692</v>
      </c>
      <c r="S30" s="25" t="s">
        <v>691</v>
      </c>
      <c r="U30" s="26">
        <v>0</v>
      </c>
      <c r="V30" s="25" t="s">
        <v>849</v>
      </c>
    </row>
    <row r="31" spans="1:22">
      <c r="A31" s="25" t="s">
        <v>697</v>
      </c>
      <c r="B31" s="25" t="s">
        <v>43</v>
      </c>
      <c r="C31" s="25" t="s">
        <v>687</v>
      </c>
      <c r="D31" s="27">
        <v>504</v>
      </c>
      <c r="E31" s="27">
        <v>504</v>
      </c>
      <c r="H31" s="26" t="s">
        <v>696</v>
      </c>
      <c r="M31" s="25" t="s">
        <v>876</v>
      </c>
      <c r="N31" s="25" t="s">
        <v>695</v>
      </c>
      <c r="O31" s="25" t="s">
        <v>694</v>
      </c>
      <c r="P31" s="25" t="s">
        <v>693</v>
      </c>
      <c r="R31" s="25" t="s">
        <v>692</v>
      </c>
      <c r="S31" s="25" t="s">
        <v>691</v>
      </c>
      <c r="U31" s="26">
        <v>0</v>
      </c>
      <c r="V31" s="25" t="s">
        <v>849</v>
      </c>
    </row>
    <row r="32" spans="1:22">
      <c r="A32" s="25" t="s">
        <v>697</v>
      </c>
      <c r="B32" s="25" t="s">
        <v>689</v>
      </c>
      <c r="C32" s="25" t="s">
        <v>686</v>
      </c>
      <c r="D32" s="27">
        <v>101</v>
      </c>
      <c r="E32" s="27">
        <v>101</v>
      </c>
      <c r="H32" s="26" t="s">
        <v>696</v>
      </c>
      <c r="M32" s="25" t="s">
        <v>877</v>
      </c>
      <c r="N32" s="25" t="s">
        <v>695</v>
      </c>
      <c r="O32" s="25" t="s">
        <v>694</v>
      </c>
      <c r="P32" s="25" t="s">
        <v>693</v>
      </c>
      <c r="R32" s="25" t="s">
        <v>692</v>
      </c>
      <c r="S32" s="25" t="s">
        <v>691</v>
      </c>
      <c r="U32" s="26">
        <v>0</v>
      </c>
      <c r="V32" s="25" t="s">
        <v>849</v>
      </c>
    </row>
    <row r="33" spans="1:22">
      <c r="A33" s="25" t="s">
        <v>697</v>
      </c>
      <c r="B33" s="25" t="s">
        <v>689</v>
      </c>
      <c r="C33" s="25" t="s">
        <v>686</v>
      </c>
      <c r="D33" s="27">
        <v>104</v>
      </c>
      <c r="E33" s="27">
        <v>104</v>
      </c>
      <c r="H33" s="26" t="s">
        <v>696</v>
      </c>
      <c r="M33" s="25" t="s">
        <v>878</v>
      </c>
      <c r="N33" s="25" t="s">
        <v>695</v>
      </c>
      <c r="O33" s="25" t="s">
        <v>694</v>
      </c>
      <c r="P33" s="25" t="s">
        <v>693</v>
      </c>
      <c r="R33" s="25" t="s">
        <v>692</v>
      </c>
      <c r="S33" s="25" t="s">
        <v>691</v>
      </c>
      <c r="U33" s="26">
        <v>0</v>
      </c>
      <c r="V33" s="25" t="s">
        <v>849</v>
      </c>
    </row>
    <row r="34" spans="1:22">
      <c r="A34" s="25" t="s">
        <v>697</v>
      </c>
      <c r="B34" s="25" t="s">
        <v>689</v>
      </c>
      <c r="C34" s="25" t="s">
        <v>686</v>
      </c>
      <c r="D34" s="27">
        <v>501</v>
      </c>
      <c r="E34" s="27">
        <v>501</v>
      </c>
      <c r="H34" s="26" t="s">
        <v>696</v>
      </c>
      <c r="M34" s="25" t="s">
        <v>879</v>
      </c>
      <c r="N34" s="25" t="s">
        <v>695</v>
      </c>
      <c r="O34" s="25" t="s">
        <v>694</v>
      </c>
      <c r="P34" s="25" t="s">
        <v>693</v>
      </c>
      <c r="R34" s="25" t="s">
        <v>692</v>
      </c>
      <c r="S34" s="25" t="s">
        <v>691</v>
      </c>
      <c r="U34" s="26">
        <v>0</v>
      </c>
      <c r="V34" s="25" t="s">
        <v>849</v>
      </c>
    </row>
    <row r="35" spans="1:22">
      <c r="A35" s="25" t="s">
        <v>697</v>
      </c>
      <c r="B35" s="25" t="s">
        <v>689</v>
      </c>
      <c r="C35" s="25" t="s">
        <v>686</v>
      </c>
      <c r="D35" s="27">
        <v>504</v>
      </c>
      <c r="E35" s="27">
        <v>504</v>
      </c>
      <c r="H35" s="26" t="s">
        <v>696</v>
      </c>
      <c r="M35" s="25" t="s">
        <v>880</v>
      </c>
      <c r="N35" s="25" t="s">
        <v>695</v>
      </c>
      <c r="O35" s="25" t="s">
        <v>694</v>
      </c>
      <c r="P35" s="25" t="s">
        <v>693</v>
      </c>
      <c r="R35" s="25" t="s">
        <v>692</v>
      </c>
      <c r="S35" s="25" t="s">
        <v>691</v>
      </c>
      <c r="U35" s="26">
        <v>0</v>
      </c>
      <c r="V35" s="25" t="s">
        <v>849</v>
      </c>
    </row>
    <row r="36" spans="1:22">
      <c r="A36" s="25" t="s">
        <v>697</v>
      </c>
      <c r="B36" s="25" t="s">
        <v>689</v>
      </c>
      <c r="C36" s="25" t="s">
        <v>687</v>
      </c>
      <c r="D36" s="27">
        <v>101</v>
      </c>
      <c r="E36" s="27">
        <v>101</v>
      </c>
      <c r="H36" s="26" t="s">
        <v>696</v>
      </c>
      <c r="M36" s="25" t="s">
        <v>881</v>
      </c>
      <c r="N36" s="25" t="s">
        <v>695</v>
      </c>
      <c r="O36" s="25" t="s">
        <v>694</v>
      </c>
      <c r="P36" s="25" t="s">
        <v>693</v>
      </c>
      <c r="R36" s="25" t="s">
        <v>692</v>
      </c>
      <c r="S36" s="25" t="s">
        <v>691</v>
      </c>
      <c r="U36" s="26">
        <v>0</v>
      </c>
      <c r="V36" s="25" t="s">
        <v>849</v>
      </c>
    </row>
    <row r="37" spans="1:22">
      <c r="A37" s="25" t="s">
        <v>697</v>
      </c>
      <c r="B37" s="25" t="s">
        <v>689</v>
      </c>
      <c r="C37" s="25" t="s">
        <v>687</v>
      </c>
      <c r="D37" s="27">
        <v>104</v>
      </c>
      <c r="E37" s="27">
        <v>104</v>
      </c>
      <c r="H37" s="26" t="s">
        <v>696</v>
      </c>
      <c r="M37" s="25" t="s">
        <v>882</v>
      </c>
      <c r="N37" s="25" t="s">
        <v>695</v>
      </c>
      <c r="O37" s="25" t="s">
        <v>694</v>
      </c>
      <c r="P37" s="25" t="s">
        <v>693</v>
      </c>
      <c r="R37" s="25" t="s">
        <v>692</v>
      </c>
      <c r="S37" s="25" t="s">
        <v>691</v>
      </c>
      <c r="U37" s="26">
        <v>0</v>
      </c>
      <c r="V37" s="25" t="s">
        <v>849</v>
      </c>
    </row>
    <row r="38" spans="1:22">
      <c r="A38" s="25" t="s">
        <v>697</v>
      </c>
      <c r="B38" s="25" t="s">
        <v>689</v>
      </c>
      <c r="C38" s="25" t="s">
        <v>687</v>
      </c>
      <c r="D38" s="27">
        <v>501</v>
      </c>
      <c r="E38" s="27">
        <v>501</v>
      </c>
      <c r="H38" s="26" t="s">
        <v>696</v>
      </c>
      <c r="M38" s="25" t="s">
        <v>883</v>
      </c>
      <c r="N38" s="25" t="s">
        <v>695</v>
      </c>
      <c r="O38" s="25" t="s">
        <v>694</v>
      </c>
      <c r="P38" s="25" t="s">
        <v>693</v>
      </c>
      <c r="R38" s="25" t="s">
        <v>692</v>
      </c>
      <c r="S38" s="25" t="s">
        <v>691</v>
      </c>
      <c r="U38" s="26">
        <v>0</v>
      </c>
      <c r="V38" s="25" t="s">
        <v>849</v>
      </c>
    </row>
    <row r="39" spans="1:22">
      <c r="A39" s="25" t="s">
        <v>697</v>
      </c>
      <c r="B39" s="25" t="s">
        <v>689</v>
      </c>
      <c r="C39" s="25" t="s">
        <v>687</v>
      </c>
      <c r="D39" s="27">
        <v>504</v>
      </c>
      <c r="E39" s="27">
        <v>504</v>
      </c>
      <c r="H39" s="26" t="s">
        <v>696</v>
      </c>
      <c r="M39" s="25" t="s">
        <v>884</v>
      </c>
      <c r="N39" s="25" t="s">
        <v>695</v>
      </c>
      <c r="O39" s="25" t="s">
        <v>694</v>
      </c>
      <c r="P39" s="25" t="s">
        <v>693</v>
      </c>
      <c r="R39" s="25" t="s">
        <v>692</v>
      </c>
      <c r="S39" s="25" t="s">
        <v>691</v>
      </c>
      <c r="U39" s="26">
        <v>0</v>
      </c>
      <c r="V39" s="25" t="s">
        <v>849</v>
      </c>
    </row>
    <row r="40" spans="1:22">
      <c r="A40" s="25" t="s">
        <v>697</v>
      </c>
      <c r="B40" s="25" t="s">
        <v>689</v>
      </c>
      <c r="C40" s="25" t="s">
        <v>688</v>
      </c>
      <c r="D40" s="27">
        <v>101</v>
      </c>
      <c r="E40" s="27">
        <v>101</v>
      </c>
      <c r="H40" s="26" t="s">
        <v>696</v>
      </c>
      <c r="M40" s="25" t="s">
        <v>885</v>
      </c>
      <c r="N40" s="25" t="s">
        <v>695</v>
      </c>
      <c r="O40" s="25" t="s">
        <v>694</v>
      </c>
      <c r="P40" s="25" t="s">
        <v>693</v>
      </c>
      <c r="R40" s="25" t="s">
        <v>692</v>
      </c>
      <c r="S40" s="25" t="s">
        <v>691</v>
      </c>
      <c r="U40" s="26">
        <v>0</v>
      </c>
      <c r="V40" s="25" t="s">
        <v>849</v>
      </c>
    </row>
    <row r="41" spans="1:22">
      <c r="A41" s="25" t="s">
        <v>697</v>
      </c>
      <c r="B41" s="25" t="s">
        <v>689</v>
      </c>
      <c r="C41" s="25" t="s">
        <v>688</v>
      </c>
      <c r="D41" s="27">
        <v>104</v>
      </c>
      <c r="E41" s="27">
        <v>104</v>
      </c>
      <c r="H41" s="26" t="s">
        <v>696</v>
      </c>
      <c r="M41" s="25" t="s">
        <v>886</v>
      </c>
      <c r="N41" s="25" t="s">
        <v>695</v>
      </c>
      <c r="O41" s="25" t="s">
        <v>694</v>
      </c>
      <c r="P41" s="25" t="s">
        <v>693</v>
      </c>
      <c r="R41" s="25" t="s">
        <v>692</v>
      </c>
      <c r="S41" s="25" t="s">
        <v>691</v>
      </c>
      <c r="U41" s="26">
        <v>0</v>
      </c>
      <c r="V41" s="25" t="s">
        <v>849</v>
      </c>
    </row>
    <row r="42" spans="1:22">
      <c r="A42" s="25" t="s">
        <v>697</v>
      </c>
      <c r="B42" s="25" t="s">
        <v>689</v>
      </c>
      <c r="C42" s="25" t="s">
        <v>688</v>
      </c>
      <c r="D42" s="27">
        <v>501</v>
      </c>
      <c r="E42" s="27">
        <v>501</v>
      </c>
      <c r="H42" s="26" t="s">
        <v>696</v>
      </c>
      <c r="M42" s="25" t="s">
        <v>887</v>
      </c>
      <c r="N42" s="25" t="s">
        <v>695</v>
      </c>
      <c r="O42" s="25" t="s">
        <v>694</v>
      </c>
      <c r="P42" s="25" t="s">
        <v>693</v>
      </c>
      <c r="R42" s="25" t="s">
        <v>692</v>
      </c>
      <c r="S42" s="25" t="s">
        <v>691</v>
      </c>
      <c r="U42" s="26">
        <v>0</v>
      </c>
      <c r="V42" s="25" t="s">
        <v>849</v>
      </c>
    </row>
    <row r="43" spans="1:22">
      <c r="A43" s="25" t="s">
        <v>697</v>
      </c>
      <c r="B43" s="25" t="s">
        <v>689</v>
      </c>
      <c r="C43" s="25" t="s">
        <v>688</v>
      </c>
      <c r="D43" s="27">
        <v>504</v>
      </c>
      <c r="E43" s="27">
        <v>504</v>
      </c>
      <c r="H43" s="26" t="s">
        <v>696</v>
      </c>
      <c r="M43" s="25" t="s">
        <v>888</v>
      </c>
      <c r="N43" s="25" t="s">
        <v>695</v>
      </c>
      <c r="O43" s="25" t="s">
        <v>694</v>
      </c>
      <c r="P43" s="25" t="s">
        <v>693</v>
      </c>
      <c r="R43" s="25" t="s">
        <v>692</v>
      </c>
      <c r="S43" s="25" t="s">
        <v>691</v>
      </c>
      <c r="U43" s="26">
        <v>0</v>
      </c>
      <c r="V43" s="25" t="s">
        <v>849</v>
      </c>
    </row>
    <row r="44" spans="1:22">
      <c r="A44" s="25" t="s">
        <v>697</v>
      </c>
      <c r="B44" s="25" t="s">
        <v>42</v>
      </c>
      <c r="C44" s="25" t="s">
        <v>686</v>
      </c>
      <c r="D44" s="27">
        <v>101</v>
      </c>
      <c r="E44" s="27">
        <v>101</v>
      </c>
      <c r="H44" s="26" t="s">
        <v>696</v>
      </c>
      <c r="M44" s="25" t="s">
        <v>889</v>
      </c>
      <c r="N44" s="25" t="s">
        <v>695</v>
      </c>
      <c r="O44" s="25" t="s">
        <v>694</v>
      </c>
      <c r="P44" s="25" t="s">
        <v>693</v>
      </c>
      <c r="R44" s="25" t="s">
        <v>692</v>
      </c>
      <c r="S44" s="25" t="s">
        <v>691</v>
      </c>
      <c r="U44" s="26">
        <v>0</v>
      </c>
      <c r="V44" s="25" t="s">
        <v>849</v>
      </c>
    </row>
    <row r="45" spans="1:22">
      <c r="A45" s="25" t="s">
        <v>697</v>
      </c>
      <c r="B45" s="25" t="s">
        <v>42</v>
      </c>
      <c r="C45" s="25" t="s">
        <v>686</v>
      </c>
      <c r="D45" s="27">
        <v>104</v>
      </c>
      <c r="E45" s="27">
        <v>104</v>
      </c>
      <c r="H45" s="26" t="s">
        <v>696</v>
      </c>
      <c r="M45" s="25" t="s">
        <v>890</v>
      </c>
      <c r="N45" s="25" t="s">
        <v>695</v>
      </c>
      <c r="O45" s="25" t="s">
        <v>694</v>
      </c>
      <c r="P45" s="25" t="s">
        <v>693</v>
      </c>
      <c r="R45" s="25" t="s">
        <v>692</v>
      </c>
      <c r="S45" s="25" t="s">
        <v>691</v>
      </c>
      <c r="U45" s="26">
        <v>0</v>
      </c>
      <c r="V45" s="25" t="s">
        <v>849</v>
      </c>
    </row>
    <row r="46" spans="1:22">
      <c r="A46" s="25" t="s">
        <v>697</v>
      </c>
      <c r="B46" s="25" t="s">
        <v>42</v>
      </c>
      <c r="C46" s="25" t="s">
        <v>686</v>
      </c>
      <c r="D46" s="27">
        <v>501</v>
      </c>
      <c r="E46" s="27">
        <v>501</v>
      </c>
      <c r="H46" s="26" t="s">
        <v>696</v>
      </c>
      <c r="M46" s="25" t="s">
        <v>891</v>
      </c>
      <c r="N46" s="25" t="s">
        <v>695</v>
      </c>
      <c r="O46" s="25" t="s">
        <v>694</v>
      </c>
      <c r="P46" s="25" t="s">
        <v>693</v>
      </c>
      <c r="R46" s="25" t="s">
        <v>692</v>
      </c>
      <c r="S46" s="25" t="s">
        <v>691</v>
      </c>
      <c r="U46" s="26">
        <v>0</v>
      </c>
      <c r="V46" s="25" t="s">
        <v>849</v>
      </c>
    </row>
    <row r="47" spans="1:22">
      <c r="A47" s="25" t="s">
        <v>697</v>
      </c>
      <c r="B47" s="25" t="s">
        <v>42</v>
      </c>
      <c r="C47" s="25" t="s">
        <v>686</v>
      </c>
      <c r="D47" s="27">
        <v>504</v>
      </c>
      <c r="E47" s="27">
        <v>504</v>
      </c>
      <c r="H47" s="26" t="s">
        <v>696</v>
      </c>
      <c r="M47" s="25" t="s">
        <v>892</v>
      </c>
      <c r="N47" s="25" t="s">
        <v>695</v>
      </c>
      <c r="O47" s="25" t="s">
        <v>694</v>
      </c>
      <c r="P47" s="25" t="s">
        <v>693</v>
      </c>
      <c r="R47" s="25" t="s">
        <v>692</v>
      </c>
      <c r="S47" s="25" t="s">
        <v>691</v>
      </c>
      <c r="U47" s="26">
        <v>0</v>
      </c>
      <c r="V47" s="25" t="s">
        <v>849</v>
      </c>
    </row>
    <row r="48" spans="1:22">
      <c r="A48" s="25" t="s">
        <v>697</v>
      </c>
      <c r="B48" s="25" t="s">
        <v>42</v>
      </c>
      <c r="C48" s="25" t="s">
        <v>687</v>
      </c>
      <c r="D48" s="27">
        <v>101</v>
      </c>
      <c r="E48" s="27">
        <v>101</v>
      </c>
      <c r="H48" s="26" t="s">
        <v>696</v>
      </c>
      <c r="M48" s="25" t="s">
        <v>893</v>
      </c>
      <c r="N48" s="25" t="s">
        <v>695</v>
      </c>
      <c r="O48" s="25" t="s">
        <v>694</v>
      </c>
      <c r="P48" s="25" t="s">
        <v>693</v>
      </c>
      <c r="R48" s="25" t="s">
        <v>692</v>
      </c>
      <c r="S48" s="25" t="s">
        <v>691</v>
      </c>
      <c r="U48" s="26">
        <v>0</v>
      </c>
      <c r="V48" s="25" t="s">
        <v>849</v>
      </c>
    </row>
    <row r="49" spans="1:22">
      <c r="A49" s="25" t="s">
        <v>697</v>
      </c>
      <c r="B49" s="25" t="s">
        <v>42</v>
      </c>
      <c r="C49" s="25" t="s">
        <v>687</v>
      </c>
      <c r="D49" s="27">
        <v>104</v>
      </c>
      <c r="E49" s="27">
        <v>104</v>
      </c>
      <c r="H49" s="26" t="s">
        <v>696</v>
      </c>
      <c r="M49" s="25" t="s">
        <v>894</v>
      </c>
      <c r="N49" s="25" t="s">
        <v>695</v>
      </c>
      <c r="O49" s="25" t="s">
        <v>694</v>
      </c>
      <c r="P49" s="25" t="s">
        <v>693</v>
      </c>
      <c r="R49" s="25" t="s">
        <v>692</v>
      </c>
      <c r="S49" s="25" t="s">
        <v>691</v>
      </c>
      <c r="U49" s="26">
        <v>0</v>
      </c>
      <c r="V49" s="25" t="s">
        <v>849</v>
      </c>
    </row>
    <row r="50" spans="1:22">
      <c r="A50" s="25" t="s">
        <v>697</v>
      </c>
      <c r="B50" s="25" t="s">
        <v>42</v>
      </c>
      <c r="C50" s="25" t="s">
        <v>687</v>
      </c>
      <c r="D50" s="27">
        <v>501</v>
      </c>
      <c r="E50" s="27">
        <v>501</v>
      </c>
      <c r="H50" s="26" t="s">
        <v>696</v>
      </c>
      <c r="M50" s="25" t="s">
        <v>895</v>
      </c>
      <c r="N50" s="25" t="s">
        <v>695</v>
      </c>
      <c r="O50" s="25" t="s">
        <v>694</v>
      </c>
      <c r="P50" s="25" t="s">
        <v>693</v>
      </c>
      <c r="R50" s="25" t="s">
        <v>692</v>
      </c>
      <c r="S50" s="25" t="s">
        <v>691</v>
      </c>
      <c r="U50" s="26">
        <v>0</v>
      </c>
      <c r="V50" s="25" t="s">
        <v>849</v>
      </c>
    </row>
    <row r="51" spans="1:22">
      <c r="A51" s="25" t="s">
        <v>697</v>
      </c>
      <c r="B51" s="25" t="s">
        <v>42</v>
      </c>
      <c r="C51" s="25" t="s">
        <v>687</v>
      </c>
      <c r="D51" s="27">
        <v>504</v>
      </c>
      <c r="E51" s="27">
        <v>504</v>
      </c>
      <c r="H51" s="26" t="s">
        <v>696</v>
      </c>
      <c r="M51" s="25" t="s">
        <v>896</v>
      </c>
      <c r="N51" s="25" t="s">
        <v>695</v>
      </c>
      <c r="O51" s="25" t="s">
        <v>694</v>
      </c>
      <c r="P51" s="25" t="s">
        <v>693</v>
      </c>
      <c r="R51" s="25" t="s">
        <v>692</v>
      </c>
      <c r="S51" s="25" t="s">
        <v>691</v>
      </c>
      <c r="U51" s="26">
        <v>0</v>
      </c>
      <c r="V51" s="25" t="s">
        <v>849</v>
      </c>
    </row>
    <row r="52" spans="1:22">
      <c r="A52" s="25" t="s">
        <v>697</v>
      </c>
      <c r="B52" s="25" t="s">
        <v>680</v>
      </c>
      <c r="C52" s="25" t="s">
        <v>686</v>
      </c>
      <c r="D52" s="27">
        <v>101</v>
      </c>
      <c r="E52" s="27">
        <v>101</v>
      </c>
      <c r="H52" s="26" t="s">
        <v>696</v>
      </c>
      <c r="M52" s="25" t="s">
        <v>897</v>
      </c>
      <c r="N52" s="25" t="s">
        <v>695</v>
      </c>
      <c r="O52" s="25" t="s">
        <v>694</v>
      </c>
      <c r="P52" s="25" t="s">
        <v>693</v>
      </c>
      <c r="R52" s="25" t="s">
        <v>692</v>
      </c>
      <c r="S52" s="25" t="s">
        <v>691</v>
      </c>
      <c r="U52" s="26">
        <v>0</v>
      </c>
      <c r="V52" s="25" t="s">
        <v>849</v>
      </c>
    </row>
    <row r="53" spans="1:22">
      <c r="A53" s="25" t="s">
        <v>697</v>
      </c>
      <c r="B53" s="25" t="s">
        <v>680</v>
      </c>
      <c r="C53" s="25" t="s">
        <v>686</v>
      </c>
      <c r="D53" s="27">
        <v>104</v>
      </c>
      <c r="E53" s="27">
        <v>104</v>
      </c>
      <c r="H53" s="26" t="s">
        <v>696</v>
      </c>
      <c r="M53" s="25" t="s">
        <v>898</v>
      </c>
      <c r="N53" s="25" t="s">
        <v>695</v>
      </c>
      <c r="O53" s="25" t="s">
        <v>694</v>
      </c>
      <c r="P53" s="25" t="s">
        <v>693</v>
      </c>
      <c r="R53" s="25" t="s">
        <v>692</v>
      </c>
      <c r="S53" s="25" t="s">
        <v>691</v>
      </c>
      <c r="U53" s="26">
        <v>0</v>
      </c>
      <c r="V53" s="25" t="s">
        <v>849</v>
      </c>
    </row>
    <row r="54" spans="1:22">
      <c r="A54" s="25" t="s">
        <v>697</v>
      </c>
      <c r="B54" s="25" t="s">
        <v>680</v>
      </c>
      <c r="C54" s="25" t="s">
        <v>686</v>
      </c>
      <c r="D54" s="27">
        <v>601</v>
      </c>
      <c r="E54" s="27">
        <v>601</v>
      </c>
      <c r="H54" s="26" t="s">
        <v>696</v>
      </c>
      <c r="M54" s="25" t="s">
        <v>899</v>
      </c>
      <c r="N54" s="25" t="s">
        <v>695</v>
      </c>
      <c r="O54" s="25" t="s">
        <v>694</v>
      </c>
      <c r="P54" s="25" t="s">
        <v>693</v>
      </c>
      <c r="R54" s="25" t="s">
        <v>692</v>
      </c>
      <c r="S54" s="25" t="s">
        <v>691</v>
      </c>
      <c r="U54" s="26">
        <v>0</v>
      </c>
      <c r="V54" s="25" t="s">
        <v>849</v>
      </c>
    </row>
    <row r="55" spans="1:22">
      <c r="A55" s="25" t="s">
        <v>697</v>
      </c>
      <c r="B55" s="25" t="s">
        <v>680</v>
      </c>
      <c r="C55" s="25" t="s">
        <v>686</v>
      </c>
      <c r="D55" s="27">
        <v>604</v>
      </c>
      <c r="E55" s="27">
        <v>604</v>
      </c>
      <c r="H55" s="26" t="s">
        <v>696</v>
      </c>
      <c r="M55" s="25" t="s">
        <v>900</v>
      </c>
      <c r="N55" s="25" t="s">
        <v>695</v>
      </c>
      <c r="O55" s="25" t="s">
        <v>694</v>
      </c>
      <c r="P55" s="25" t="s">
        <v>693</v>
      </c>
      <c r="R55" s="25" t="s">
        <v>692</v>
      </c>
      <c r="S55" s="25" t="s">
        <v>691</v>
      </c>
      <c r="U55" s="26">
        <v>0</v>
      </c>
      <c r="V55" s="25" t="s">
        <v>849</v>
      </c>
    </row>
    <row r="56" spans="1:22">
      <c r="A56" s="25" t="s">
        <v>697</v>
      </c>
      <c r="B56" s="25" t="s">
        <v>680</v>
      </c>
      <c r="C56" s="25" t="s">
        <v>687</v>
      </c>
      <c r="D56" s="27">
        <v>101</v>
      </c>
      <c r="E56" s="27">
        <v>101</v>
      </c>
      <c r="H56" s="26" t="s">
        <v>696</v>
      </c>
      <c r="M56" s="25" t="s">
        <v>901</v>
      </c>
      <c r="N56" s="25" t="s">
        <v>695</v>
      </c>
      <c r="O56" s="25" t="s">
        <v>694</v>
      </c>
      <c r="P56" s="25" t="s">
        <v>693</v>
      </c>
      <c r="R56" s="25" t="s">
        <v>692</v>
      </c>
      <c r="S56" s="25" t="s">
        <v>691</v>
      </c>
      <c r="U56" s="26">
        <v>0</v>
      </c>
      <c r="V56" s="25" t="s">
        <v>849</v>
      </c>
    </row>
    <row r="57" spans="1:22">
      <c r="A57" s="25" t="s">
        <v>697</v>
      </c>
      <c r="B57" s="25" t="s">
        <v>680</v>
      </c>
      <c r="C57" s="25" t="s">
        <v>687</v>
      </c>
      <c r="D57" s="27">
        <v>104</v>
      </c>
      <c r="E57" s="27">
        <v>104</v>
      </c>
      <c r="H57" s="26" t="s">
        <v>696</v>
      </c>
      <c r="M57" s="25" t="s">
        <v>902</v>
      </c>
      <c r="N57" s="25" t="s">
        <v>695</v>
      </c>
      <c r="O57" s="25" t="s">
        <v>694</v>
      </c>
      <c r="P57" s="25" t="s">
        <v>693</v>
      </c>
      <c r="R57" s="25" t="s">
        <v>692</v>
      </c>
      <c r="S57" s="25" t="s">
        <v>691</v>
      </c>
      <c r="U57" s="26">
        <v>0</v>
      </c>
      <c r="V57" s="25" t="s">
        <v>849</v>
      </c>
    </row>
    <row r="58" spans="1:22">
      <c r="A58" s="25" t="s">
        <v>697</v>
      </c>
      <c r="B58" s="25" t="s">
        <v>680</v>
      </c>
      <c r="C58" s="25" t="s">
        <v>687</v>
      </c>
      <c r="D58" s="27">
        <v>601</v>
      </c>
      <c r="E58" s="27">
        <v>601</v>
      </c>
      <c r="H58" s="26" t="s">
        <v>696</v>
      </c>
      <c r="M58" s="25" t="s">
        <v>903</v>
      </c>
      <c r="N58" s="25" t="s">
        <v>695</v>
      </c>
      <c r="O58" s="25" t="s">
        <v>694</v>
      </c>
      <c r="P58" s="25" t="s">
        <v>693</v>
      </c>
      <c r="R58" s="25" t="s">
        <v>692</v>
      </c>
      <c r="S58" s="25" t="s">
        <v>691</v>
      </c>
      <c r="U58" s="26">
        <v>0</v>
      </c>
      <c r="V58" s="25" t="s">
        <v>849</v>
      </c>
    </row>
    <row r="59" spans="1:22">
      <c r="A59" s="25" t="s">
        <v>697</v>
      </c>
      <c r="B59" s="25" t="s">
        <v>680</v>
      </c>
      <c r="C59" s="25" t="s">
        <v>687</v>
      </c>
      <c r="D59" s="27">
        <v>604</v>
      </c>
      <c r="E59" s="27">
        <v>604</v>
      </c>
      <c r="H59" s="26" t="s">
        <v>696</v>
      </c>
      <c r="M59" s="25" t="s">
        <v>904</v>
      </c>
      <c r="N59" s="25" t="s">
        <v>695</v>
      </c>
      <c r="O59" s="25" t="s">
        <v>694</v>
      </c>
      <c r="P59" s="25" t="s">
        <v>693</v>
      </c>
      <c r="R59" s="25" t="s">
        <v>692</v>
      </c>
      <c r="S59" s="25" t="s">
        <v>691</v>
      </c>
      <c r="U59" s="26">
        <v>0</v>
      </c>
      <c r="V59" s="25" t="s">
        <v>849</v>
      </c>
    </row>
    <row r="60" spans="1:22">
      <c r="A60" s="25" t="s">
        <v>697</v>
      </c>
      <c r="B60" s="25" t="s">
        <v>45</v>
      </c>
      <c r="C60" s="25" t="s">
        <v>686</v>
      </c>
      <c r="D60" s="27">
        <v>101</v>
      </c>
      <c r="E60" s="27">
        <v>101</v>
      </c>
      <c r="H60" s="26" t="s">
        <v>696</v>
      </c>
      <c r="M60" s="25" t="s">
        <v>905</v>
      </c>
      <c r="N60" s="25" t="s">
        <v>695</v>
      </c>
      <c r="O60" s="25" t="s">
        <v>694</v>
      </c>
      <c r="P60" s="25" t="s">
        <v>693</v>
      </c>
      <c r="R60" s="25" t="s">
        <v>692</v>
      </c>
      <c r="S60" s="25" t="s">
        <v>691</v>
      </c>
      <c r="U60" s="26">
        <v>0</v>
      </c>
      <c r="V60" s="25" t="s">
        <v>849</v>
      </c>
    </row>
    <row r="61" spans="1:22">
      <c r="A61" s="25" t="s">
        <v>697</v>
      </c>
      <c r="B61" s="25" t="s">
        <v>45</v>
      </c>
      <c r="C61" s="25" t="s">
        <v>686</v>
      </c>
      <c r="D61" s="27">
        <v>104</v>
      </c>
      <c r="E61" s="27">
        <v>104</v>
      </c>
      <c r="H61" s="26" t="s">
        <v>696</v>
      </c>
      <c r="M61" s="25" t="s">
        <v>906</v>
      </c>
      <c r="N61" s="25" t="s">
        <v>695</v>
      </c>
      <c r="O61" s="25" t="s">
        <v>694</v>
      </c>
      <c r="P61" s="25" t="s">
        <v>693</v>
      </c>
      <c r="R61" s="25" t="s">
        <v>692</v>
      </c>
      <c r="S61" s="25" t="s">
        <v>691</v>
      </c>
      <c r="U61" s="26">
        <v>0</v>
      </c>
      <c r="V61" s="25" t="s">
        <v>849</v>
      </c>
    </row>
    <row r="62" spans="1:22">
      <c r="A62" s="25" t="s">
        <v>697</v>
      </c>
      <c r="B62" s="25" t="s">
        <v>45</v>
      </c>
      <c r="C62" s="25" t="s">
        <v>686</v>
      </c>
      <c r="D62" s="27">
        <v>501</v>
      </c>
      <c r="E62" s="27">
        <v>501</v>
      </c>
      <c r="H62" s="26" t="s">
        <v>696</v>
      </c>
      <c r="M62" s="25" t="s">
        <v>907</v>
      </c>
      <c r="N62" s="25" t="s">
        <v>695</v>
      </c>
      <c r="O62" s="25" t="s">
        <v>694</v>
      </c>
      <c r="P62" s="25" t="s">
        <v>693</v>
      </c>
      <c r="R62" s="25" t="s">
        <v>692</v>
      </c>
      <c r="S62" s="25" t="s">
        <v>691</v>
      </c>
      <c r="U62" s="26">
        <v>0</v>
      </c>
      <c r="V62" s="25" t="s">
        <v>849</v>
      </c>
    </row>
    <row r="63" spans="1:22">
      <c r="A63" s="25" t="s">
        <v>697</v>
      </c>
      <c r="B63" s="25" t="s">
        <v>45</v>
      </c>
      <c r="C63" s="25" t="s">
        <v>686</v>
      </c>
      <c r="D63" s="27">
        <v>504</v>
      </c>
      <c r="E63" s="27">
        <v>504</v>
      </c>
      <c r="H63" s="26" t="s">
        <v>696</v>
      </c>
      <c r="M63" s="25" t="s">
        <v>908</v>
      </c>
      <c r="N63" s="25" t="s">
        <v>695</v>
      </c>
      <c r="O63" s="25" t="s">
        <v>694</v>
      </c>
      <c r="P63" s="25" t="s">
        <v>693</v>
      </c>
      <c r="R63" s="25" t="s">
        <v>692</v>
      </c>
      <c r="S63" s="25" t="s">
        <v>691</v>
      </c>
      <c r="U63" s="26">
        <v>0</v>
      </c>
      <c r="V63" s="25" t="s">
        <v>849</v>
      </c>
    </row>
    <row r="64" spans="1:22">
      <c r="A64" s="25" t="s">
        <v>697</v>
      </c>
      <c r="B64" s="25" t="s">
        <v>45</v>
      </c>
      <c r="C64" s="25" t="s">
        <v>687</v>
      </c>
      <c r="D64" s="27">
        <v>101</v>
      </c>
      <c r="E64" s="27">
        <v>101</v>
      </c>
      <c r="H64" s="26" t="s">
        <v>696</v>
      </c>
      <c r="M64" s="25" t="s">
        <v>909</v>
      </c>
      <c r="N64" s="25" t="s">
        <v>695</v>
      </c>
      <c r="O64" s="25" t="s">
        <v>694</v>
      </c>
      <c r="P64" s="25" t="s">
        <v>693</v>
      </c>
      <c r="R64" s="25" t="s">
        <v>692</v>
      </c>
      <c r="S64" s="25" t="s">
        <v>691</v>
      </c>
      <c r="U64" s="26">
        <v>0</v>
      </c>
      <c r="V64" s="25" t="s">
        <v>849</v>
      </c>
    </row>
    <row r="65" spans="1:22">
      <c r="A65" s="25" t="s">
        <v>697</v>
      </c>
      <c r="B65" s="25" t="s">
        <v>45</v>
      </c>
      <c r="C65" s="25" t="s">
        <v>687</v>
      </c>
      <c r="D65" s="27">
        <v>104</v>
      </c>
      <c r="E65" s="27">
        <v>104</v>
      </c>
      <c r="H65" s="26" t="s">
        <v>696</v>
      </c>
      <c r="M65" s="25" t="s">
        <v>910</v>
      </c>
      <c r="N65" s="25" t="s">
        <v>695</v>
      </c>
      <c r="O65" s="25" t="s">
        <v>694</v>
      </c>
      <c r="P65" s="25" t="s">
        <v>693</v>
      </c>
      <c r="R65" s="25" t="s">
        <v>692</v>
      </c>
      <c r="S65" s="25" t="s">
        <v>691</v>
      </c>
      <c r="U65" s="26">
        <v>0</v>
      </c>
      <c r="V65" s="25" t="s">
        <v>849</v>
      </c>
    </row>
    <row r="66" spans="1:22">
      <c r="A66" s="25" t="s">
        <v>697</v>
      </c>
      <c r="B66" s="25" t="s">
        <v>45</v>
      </c>
      <c r="C66" s="25" t="s">
        <v>687</v>
      </c>
      <c r="D66" s="27">
        <v>501</v>
      </c>
      <c r="E66" s="27">
        <v>501</v>
      </c>
      <c r="H66" s="26" t="s">
        <v>696</v>
      </c>
      <c r="M66" s="25" t="s">
        <v>911</v>
      </c>
      <c r="N66" s="25" t="s">
        <v>695</v>
      </c>
      <c r="O66" s="25" t="s">
        <v>694</v>
      </c>
      <c r="P66" s="25" t="s">
        <v>693</v>
      </c>
      <c r="R66" s="25" t="s">
        <v>692</v>
      </c>
      <c r="S66" s="25" t="s">
        <v>691</v>
      </c>
      <c r="U66" s="26">
        <v>0</v>
      </c>
      <c r="V66" s="25" t="s">
        <v>849</v>
      </c>
    </row>
    <row r="67" spans="1:22">
      <c r="A67" s="25" t="s">
        <v>697</v>
      </c>
      <c r="B67" s="25" t="s">
        <v>45</v>
      </c>
      <c r="C67" s="25" t="s">
        <v>687</v>
      </c>
      <c r="D67" s="27">
        <v>504</v>
      </c>
      <c r="E67" s="27">
        <v>504</v>
      </c>
      <c r="H67" s="26" t="s">
        <v>696</v>
      </c>
      <c r="M67" s="25" t="s">
        <v>912</v>
      </c>
      <c r="N67" s="25" t="s">
        <v>695</v>
      </c>
      <c r="O67" s="25" t="s">
        <v>694</v>
      </c>
      <c r="P67" s="25" t="s">
        <v>693</v>
      </c>
      <c r="R67" s="25" t="s">
        <v>692</v>
      </c>
      <c r="S67" s="25" t="s">
        <v>691</v>
      </c>
      <c r="U67" s="26">
        <v>0</v>
      </c>
      <c r="V67" s="25" t="s">
        <v>849</v>
      </c>
    </row>
    <row r="68" spans="1:22">
      <c r="A68" s="25" t="s">
        <v>697</v>
      </c>
      <c r="B68" s="25" t="s">
        <v>45</v>
      </c>
      <c r="C68" s="25" t="s">
        <v>688</v>
      </c>
      <c r="D68" s="27">
        <v>101</v>
      </c>
      <c r="E68" s="27">
        <v>101</v>
      </c>
      <c r="H68" s="26" t="s">
        <v>696</v>
      </c>
      <c r="M68" s="25" t="s">
        <v>913</v>
      </c>
      <c r="N68" s="25" t="s">
        <v>695</v>
      </c>
      <c r="O68" s="25" t="s">
        <v>694</v>
      </c>
      <c r="P68" s="25" t="s">
        <v>693</v>
      </c>
      <c r="R68" s="25" t="s">
        <v>692</v>
      </c>
      <c r="S68" s="25" t="s">
        <v>691</v>
      </c>
      <c r="U68" s="26">
        <v>0</v>
      </c>
      <c r="V68" s="25" t="s">
        <v>849</v>
      </c>
    </row>
    <row r="69" spans="1:22">
      <c r="A69" s="25" t="s">
        <v>697</v>
      </c>
      <c r="B69" s="25" t="s">
        <v>45</v>
      </c>
      <c r="C69" s="25" t="s">
        <v>688</v>
      </c>
      <c r="D69" s="27">
        <v>104</v>
      </c>
      <c r="E69" s="27">
        <v>104</v>
      </c>
      <c r="H69" s="26" t="s">
        <v>696</v>
      </c>
      <c r="M69" s="25" t="s">
        <v>914</v>
      </c>
      <c r="N69" s="25" t="s">
        <v>695</v>
      </c>
      <c r="O69" s="25" t="s">
        <v>694</v>
      </c>
      <c r="P69" s="25" t="s">
        <v>693</v>
      </c>
      <c r="R69" s="25" t="s">
        <v>692</v>
      </c>
      <c r="S69" s="25" t="s">
        <v>691</v>
      </c>
      <c r="U69" s="26">
        <v>0</v>
      </c>
      <c r="V69" s="25" t="s">
        <v>849</v>
      </c>
    </row>
    <row r="70" spans="1:22">
      <c r="A70" s="25" t="s">
        <v>697</v>
      </c>
      <c r="B70" s="25" t="s">
        <v>45</v>
      </c>
      <c r="C70" s="25" t="s">
        <v>688</v>
      </c>
      <c r="D70" s="27">
        <v>501</v>
      </c>
      <c r="E70" s="27">
        <v>501</v>
      </c>
      <c r="H70" s="26" t="s">
        <v>696</v>
      </c>
      <c r="M70" s="25" t="s">
        <v>915</v>
      </c>
      <c r="N70" s="25" t="s">
        <v>695</v>
      </c>
      <c r="O70" s="25" t="s">
        <v>694</v>
      </c>
      <c r="P70" s="25" t="s">
        <v>693</v>
      </c>
      <c r="R70" s="25" t="s">
        <v>692</v>
      </c>
      <c r="S70" s="25" t="s">
        <v>691</v>
      </c>
      <c r="U70" s="26">
        <v>0</v>
      </c>
      <c r="V70" s="25" t="s">
        <v>849</v>
      </c>
    </row>
    <row r="71" spans="1:22">
      <c r="A71" s="25" t="s">
        <v>697</v>
      </c>
      <c r="B71" s="25" t="s">
        <v>45</v>
      </c>
      <c r="C71" s="25" t="s">
        <v>688</v>
      </c>
      <c r="D71" s="27">
        <v>504</v>
      </c>
      <c r="E71" s="27">
        <v>504</v>
      </c>
      <c r="H71" s="26" t="s">
        <v>696</v>
      </c>
      <c r="M71" s="25" t="s">
        <v>916</v>
      </c>
      <c r="N71" s="25" t="s">
        <v>695</v>
      </c>
      <c r="O71" s="25" t="s">
        <v>694</v>
      </c>
      <c r="P71" s="25" t="s">
        <v>693</v>
      </c>
      <c r="R71" s="25" t="s">
        <v>692</v>
      </c>
      <c r="S71" s="25" t="s">
        <v>691</v>
      </c>
      <c r="U71" s="26">
        <v>0</v>
      </c>
      <c r="V71" s="25" t="s">
        <v>849</v>
      </c>
    </row>
    <row r="72" spans="1:22">
      <c r="A72" s="25" t="s">
        <v>697</v>
      </c>
      <c r="B72" s="25" t="s">
        <v>44</v>
      </c>
      <c r="C72" s="25" t="s">
        <v>686</v>
      </c>
      <c r="D72" s="27">
        <v>101</v>
      </c>
      <c r="E72" s="27">
        <v>101</v>
      </c>
      <c r="H72" s="26" t="s">
        <v>696</v>
      </c>
      <c r="M72" s="25" t="s">
        <v>917</v>
      </c>
      <c r="N72" s="25" t="s">
        <v>695</v>
      </c>
      <c r="O72" s="25" t="s">
        <v>694</v>
      </c>
      <c r="P72" s="25" t="s">
        <v>693</v>
      </c>
      <c r="R72" s="25" t="s">
        <v>692</v>
      </c>
      <c r="S72" s="25" t="s">
        <v>691</v>
      </c>
      <c r="U72" s="26">
        <v>0</v>
      </c>
      <c r="V72" s="25" t="s">
        <v>849</v>
      </c>
    </row>
    <row r="73" spans="1:22">
      <c r="A73" s="25" t="s">
        <v>697</v>
      </c>
      <c r="B73" s="25" t="s">
        <v>44</v>
      </c>
      <c r="C73" s="25" t="s">
        <v>686</v>
      </c>
      <c r="D73" s="27">
        <v>104</v>
      </c>
      <c r="E73" s="27">
        <v>104</v>
      </c>
      <c r="H73" s="26" t="s">
        <v>696</v>
      </c>
      <c r="M73" s="25" t="s">
        <v>918</v>
      </c>
      <c r="N73" s="25" t="s">
        <v>695</v>
      </c>
      <c r="O73" s="25" t="s">
        <v>694</v>
      </c>
      <c r="P73" s="25" t="s">
        <v>693</v>
      </c>
      <c r="R73" s="25" t="s">
        <v>692</v>
      </c>
      <c r="S73" s="25" t="s">
        <v>691</v>
      </c>
      <c r="U73" s="26">
        <v>0</v>
      </c>
      <c r="V73" s="25" t="s">
        <v>849</v>
      </c>
    </row>
    <row r="74" spans="1:22">
      <c r="A74" s="25" t="s">
        <v>697</v>
      </c>
      <c r="B74" s="25" t="s">
        <v>44</v>
      </c>
      <c r="C74" s="25" t="s">
        <v>686</v>
      </c>
      <c r="D74" s="27">
        <v>501</v>
      </c>
      <c r="E74" s="27">
        <v>501</v>
      </c>
      <c r="H74" s="26" t="s">
        <v>696</v>
      </c>
      <c r="M74" s="25" t="s">
        <v>919</v>
      </c>
      <c r="N74" s="25" t="s">
        <v>695</v>
      </c>
      <c r="O74" s="25" t="s">
        <v>694</v>
      </c>
      <c r="P74" s="25" t="s">
        <v>693</v>
      </c>
      <c r="R74" s="25" t="s">
        <v>692</v>
      </c>
      <c r="S74" s="25" t="s">
        <v>691</v>
      </c>
      <c r="U74" s="26">
        <v>0</v>
      </c>
      <c r="V74" s="25" t="s">
        <v>849</v>
      </c>
    </row>
    <row r="75" spans="1:22">
      <c r="A75" s="25" t="s">
        <v>697</v>
      </c>
      <c r="B75" s="25" t="s">
        <v>44</v>
      </c>
      <c r="C75" s="25" t="s">
        <v>686</v>
      </c>
      <c r="D75" s="27">
        <v>504</v>
      </c>
      <c r="E75" s="27">
        <v>504</v>
      </c>
      <c r="H75" s="26" t="s">
        <v>696</v>
      </c>
      <c r="M75" s="25" t="s">
        <v>920</v>
      </c>
      <c r="N75" s="25" t="s">
        <v>695</v>
      </c>
      <c r="O75" s="25" t="s">
        <v>694</v>
      </c>
      <c r="P75" s="25" t="s">
        <v>693</v>
      </c>
      <c r="R75" s="25" t="s">
        <v>692</v>
      </c>
      <c r="S75" s="25" t="s">
        <v>691</v>
      </c>
      <c r="U75" s="26">
        <v>0</v>
      </c>
      <c r="V75" s="25" t="s">
        <v>849</v>
      </c>
    </row>
    <row r="76" spans="1:22">
      <c r="A76" s="25" t="s">
        <v>697</v>
      </c>
      <c r="B76" s="25" t="s">
        <v>44</v>
      </c>
      <c r="C76" s="25" t="s">
        <v>687</v>
      </c>
      <c r="D76" s="27">
        <v>101</v>
      </c>
      <c r="E76" s="27">
        <v>101</v>
      </c>
      <c r="H76" s="26" t="s">
        <v>696</v>
      </c>
      <c r="M76" s="25" t="s">
        <v>921</v>
      </c>
      <c r="N76" s="25" t="s">
        <v>695</v>
      </c>
      <c r="O76" s="25" t="s">
        <v>694</v>
      </c>
      <c r="P76" s="25" t="s">
        <v>693</v>
      </c>
      <c r="R76" s="25" t="s">
        <v>692</v>
      </c>
      <c r="S76" s="25" t="s">
        <v>691</v>
      </c>
      <c r="U76" s="26">
        <v>0</v>
      </c>
      <c r="V76" s="25" t="s">
        <v>849</v>
      </c>
    </row>
    <row r="77" spans="1:22">
      <c r="A77" s="25" t="s">
        <v>697</v>
      </c>
      <c r="B77" s="25" t="s">
        <v>44</v>
      </c>
      <c r="C77" s="25" t="s">
        <v>687</v>
      </c>
      <c r="D77" s="27">
        <v>104</v>
      </c>
      <c r="E77" s="27">
        <v>104</v>
      </c>
      <c r="H77" s="26" t="s">
        <v>696</v>
      </c>
      <c r="M77" s="25" t="s">
        <v>922</v>
      </c>
      <c r="N77" s="25" t="s">
        <v>695</v>
      </c>
      <c r="O77" s="25" t="s">
        <v>694</v>
      </c>
      <c r="P77" s="25" t="s">
        <v>693</v>
      </c>
      <c r="R77" s="25" t="s">
        <v>692</v>
      </c>
      <c r="S77" s="25" t="s">
        <v>691</v>
      </c>
      <c r="U77" s="26">
        <v>0</v>
      </c>
      <c r="V77" s="25" t="s">
        <v>849</v>
      </c>
    </row>
    <row r="78" spans="1:22">
      <c r="A78" s="25" t="s">
        <v>697</v>
      </c>
      <c r="B78" s="25" t="s">
        <v>44</v>
      </c>
      <c r="C78" s="25" t="s">
        <v>687</v>
      </c>
      <c r="D78" s="27">
        <v>501</v>
      </c>
      <c r="E78" s="27">
        <v>501</v>
      </c>
      <c r="H78" s="26" t="s">
        <v>696</v>
      </c>
      <c r="M78" s="25" t="s">
        <v>923</v>
      </c>
      <c r="N78" s="25" t="s">
        <v>695</v>
      </c>
      <c r="O78" s="25" t="s">
        <v>694</v>
      </c>
      <c r="P78" s="25" t="s">
        <v>693</v>
      </c>
      <c r="R78" s="25" t="s">
        <v>692</v>
      </c>
      <c r="S78" s="25" t="s">
        <v>691</v>
      </c>
      <c r="U78" s="26">
        <v>0</v>
      </c>
      <c r="V78" s="25" t="s">
        <v>849</v>
      </c>
    </row>
    <row r="79" spans="1:22">
      <c r="A79" s="25" t="s">
        <v>697</v>
      </c>
      <c r="B79" s="25" t="s">
        <v>44</v>
      </c>
      <c r="C79" s="25" t="s">
        <v>687</v>
      </c>
      <c r="D79" s="27">
        <v>504</v>
      </c>
      <c r="E79" s="27">
        <v>504</v>
      </c>
      <c r="H79" s="26" t="s">
        <v>696</v>
      </c>
      <c r="M79" s="25" t="s">
        <v>924</v>
      </c>
      <c r="N79" s="25" t="s">
        <v>695</v>
      </c>
      <c r="O79" s="25" t="s">
        <v>694</v>
      </c>
      <c r="P79" s="25" t="s">
        <v>693</v>
      </c>
      <c r="R79" s="25" t="s">
        <v>692</v>
      </c>
      <c r="S79" s="25" t="s">
        <v>691</v>
      </c>
      <c r="U79" s="26">
        <v>0</v>
      </c>
      <c r="V79" s="25" t="s">
        <v>849</v>
      </c>
    </row>
    <row r="80" spans="1:22">
      <c r="A80" s="25" t="s">
        <v>697</v>
      </c>
      <c r="B80" s="25" t="s">
        <v>681</v>
      </c>
      <c r="C80" s="25" t="s">
        <v>686</v>
      </c>
      <c r="D80" s="27">
        <v>101</v>
      </c>
      <c r="E80" s="27">
        <v>101</v>
      </c>
      <c r="H80" s="26" t="s">
        <v>696</v>
      </c>
      <c r="M80" s="25" t="s">
        <v>925</v>
      </c>
      <c r="N80" s="25" t="s">
        <v>695</v>
      </c>
      <c r="O80" s="25" t="s">
        <v>694</v>
      </c>
      <c r="P80" s="25" t="s">
        <v>693</v>
      </c>
      <c r="R80" s="25" t="s">
        <v>692</v>
      </c>
      <c r="S80" s="25" t="s">
        <v>691</v>
      </c>
      <c r="U80" s="26">
        <v>0</v>
      </c>
      <c r="V80" s="25" t="s">
        <v>849</v>
      </c>
    </row>
    <row r="81" spans="1:22">
      <c r="A81" s="25" t="s">
        <v>697</v>
      </c>
      <c r="B81" s="25" t="s">
        <v>681</v>
      </c>
      <c r="C81" s="25" t="s">
        <v>686</v>
      </c>
      <c r="D81" s="27">
        <v>104</v>
      </c>
      <c r="E81" s="27">
        <v>104</v>
      </c>
      <c r="H81" s="26" t="s">
        <v>696</v>
      </c>
      <c r="M81" s="25" t="s">
        <v>926</v>
      </c>
      <c r="N81" s="25" t="s">
        <v>695</v>
      </c>
      <c r="O81" s="25" t="s">
        <v>694</v>
      </c>
      <c r="P81" s="25" t="s">
        <v>693</v>
      </c>
      <c r="R81" s="25" t="s">
        <v>692</v>
      </c>
      <c r="S81" s="25" t="s">
        <v>691</v>
      </c>
      <c r="U81" s="26">
        <v>0</v>
      </c>
      <c r="V81" s="25" t="s">
        <v>849</v>
      </c>
    </row>
    <row r="82" spans="1:22">
      <c r="A82" s="25" t="s">
        <v>697</v>
      </c>
      <c r="B82" s="25" t="s">
        <v>681</v>
      </c>
      <c r="C82" s="25" t="s">
        <v>686</v>
      </c>
      <c r="D82" s="27">
        <v>601</v>
      </c>
      <c r="E82" s="27">
        <v>601</v>
      </c>
      <c r="H82" s="26" t="s">
        <v>696</v>
      </c>
      <c r="M82" s="25" t="s">
        <v>927</v>
      </c>
      <c r="N82" s="25" t="s">
        <v>695</v>
      </c>
      <c r="O82" s="25" t="s">
        <v>694</v>
      </c>
      <c r="P82" s="25" t="s">
        <v>693</v>
      </c>
      <c r="R82" s="25" t="s">
        <v>692</v>
      </c>
      <c r="S82" s="25" t="s">
        <v>691</v>
      </c>
      <c r="U82" s="26">
        <v>0</v>
      </c>
      <c r="V82" s="25" t="s">
        <v>849</v>
      </c>
    </row>
    <row r="83" spans="1:22">
      <c r="A83" s="25" t="s">
        <v>697</v>
      </c>
      <c r="B83" s="25" t="s">
        <v>681</v>
      </c>
      <c r="C83" s="25" t="s">
        <v>686</v>
      </c>
      <c r="D83" s="27">
        <v>604</v>
      </c>
      <c r="E83" s="27">
        <v>604</v>
      </c>
      <c r="H83" s="26" t="s">
        <v>696</v>
      </c>
      <c r="M83" s="25" t="s">
        <v>928</v>
      </c>
      <c r="N83" s="25" t="s">
        <v>695</v>
      </c>
      <c r="O83" s="25" t="s">
        <v>694</v>
      </c>
      <c r="P83" s="25" t="s">
        <v>693</v>
      </c>
      <c r="R83" s="25" t="s">
        <v>692</v>
      </c>
      <c r="S83" s="25" t="s">
        <v>691</v>
      </c>
      <c r="U83" s="26">
        <v>0</v>
      </c>
      <c r="V83" s="25" t="s">
        <v>849</v>
      </c>
    </row>
    <row r="84" spans="1:22">
      <c r="A84" s="25" t="s">
        <v>697</v>
      </c>
      <c r="B84" s="25" t="s">
        <v>681</v>
      </c>
      <c r="C84" s="25" t="s">
        <v>687</v>
      </c>
      <c r="D84" s="27">
        <v>101</v>
      </c>
      <c r="E84" s="27">
        <v>101</v>
      </c>
      <c r="H84" s="26" t="s">
        <v>696</v>
      </c>
      <c r="M84" s="25" t="s">
        <v>929</v>
      </c>
      <c r="N84" s="25" t="s">
        <v>695</v>
      </c>
      <c r="O84" s="25" t="s">
        <v>694</v>
      </c>
      <c r="P84" s="25" t="s">
        <v>693</v>
      </c>
      <c r="R84" s="25" t="s">
        <v>692</v>
      </c>
      <c r="S84" s="25" t="s">
        <v>691</v>
      </c>
      <c r="U84" s="26">
        <v>0</v>
      </c>
      <c r="V84" s="25" t="s">
        <v>849</v>
      </c>
    </row>
    <row r="85" spans="1:22">
      <c r="A85" s="25" t="s">
        <v>697</v>
      </c>
      <c r="B85" s="25" t="s">
        <v>681</v>
      </c>
      <c r="C85" s="25" t="s">
        <v>687</v>
      </c>
      <c r="D85" s="27">
        <v>104</v>
      </c>
      <c r="E85" s="27">
        <v>104</v>
      </c>
      <c r="H85" s="26" t="s">
        <v>696</v>
      </c>
      <c r="M85" s="25" t="s">
        <v>930</v>
      </c>
      <c r="N85" s="25" t="s">
        <v>695</v>
      </c>
      <c r="O85" s="25" t="s">
        <v>694</v>
      </c>
      <c r="P85" s="25" t="s">
        <v>693</v>
      </c>
      <c r="R85" s="25" t="s">
        <v>692</v>
      </c>
      <c r="S85" s="25" t="s">
        <v>691</v>
      </c>
      <c r="U85" s="26">
        <v>0</v>
      </c>
      <c r="V85" s="25" t="s">
        <v>849</v>
      </c>
    </row>
    <row r="86" spans="1:22">
      <c r="A86" s="25" t="s">
        <v>697</v>
      </c>
      <c r="B86" s="25" t="s">
        <v>681</v>
      </c>
      <c r="C86" s="25" t="s">
        <v>687</v>
      </c>
      <c r="D86" s="27">
        <v>601</v>
      </c>
      <c r="E86" s="27">
        <v>601</v>
      </c>
      <c r="H86" s="26" t="s">
        <v>696</v>
      </c>
      <c r="M86" s="25" t="s">
        <v>931</v>
      </c>
      <c r="N86" s="25" t="s">
        <v>695</v>
      </c>
      <c r="O86" s="25" t="s">
        <v>694</v>
      </c>
      <c r="P86" s="25" t="s">
        <v>693</v>
      </c>
      <c r="R86" s="25" t="s">
        <v>692</v>
      </c>
      <c r="S86" s="25" t="s">
        <v>691</v>
      </c>
      <c r="U86" s="26">
        <v>0</v>
      </c>
      <c r="V86" s="25" t="s">
        <v>849</v>
      </c>
    </row>
    <row r="87" spans="1:22">
      <c r="A87" s="25" t="s">
        <v>697</v>
      </c>
      <c r="B87" s="25" t="s">
        <v>681</v>
      </c>
      <c r="C87" s="25" t="s">
        <v>687</v>
      </c>
      <c r="D87" s="27">
        <v>604</v>
      </c>
      <c r="E87" s="27">
        <v>604</v>
      </c>
      <c r="H87" s="26" t="s">
        <v>696</v>
      </c>
      <c r="M87" s="25" t="s">
        <v>932</v>
      </c>
      <c r="N87" s="25" t="s">
        <v>695</v>
      </c>
      <c r="O87" s="25" t="s">
        <v>694</v>
      </c>
      <c r="P87" s="25" t="s">
        <v>693</v>
      </c>
      <c r="R87" s="25" t="s">
        <v>692</v>
      </c>
      <c r="S87" s="25" t="s">
        <v>691</v>
      </c>
      <c r="U87" s="26">
        <v>0</v>
      </c>
      <c r="V87" s="25" t="s">
        <v>849</v>
      </c>
    </row>
    <row r="88" spans="1:22">
      <c r="A88" s="25" t="s">
        <v>697</v>
      </c>
      <c r="B88" s="25" t="s">
        <v>682</v>
      </c>
      <c r="C88" s="25" t="s">
        <v>686</v>
      </c>
      <c r="D88" s="27">
        <v>101</v>
      </c>
      <c r="E88" s="27">
        <v>101</v>
      </c>
      <c r="H88" s="26" t="s">
        <v>696</v>
      </c>
      <c r="M88" s="25" t="s">
        <v>933</v>
      </c>
      <c r="N88" s="25" t="s">
        <v>695</v>
      </c>
      <c r="O88" s="25" t="s">
        <v>694</v>
      </c>
      <c r="P88" s="25" t="s">
        <v>693</v>
      </c>
      <c r="R88" s="25" t="s">
        <v>692</v>
      </c>
      <c r="S88" s="25" t="s">
        <v>691</v>
      </c>
      <c r="U88" s="26">
        <v>0</v>
      </c>
      <c r="V88" s="25" t="s">
        <v>849</v>
      </c>
    </row>
    <row r="89" spans="1:22">
      <c r="A89" s="25" t="s">
        <v>697</v>
      </c>
      <c r="B89" s="25" t="s">
        <v>682</v>
      </c>
      <c r="C89" s="25" t="s">
        <v>686</v>
      </c>
      <c r="D89" s="27">
        <v>102</v>
      </c>
      <c r="E89" s="27">
        <v>102</v>
      </c>
      <c r="H89" s="26" t="s">
        <v>696</v>
      </c>
      <c r="M89" s="25" t="s">
        <v>934</v>
      </c>
      <c r="N89" s="25" t="s">
        <v>695</v>
      </c>
      <c r="O89" s="25" t="s">
        <v>694</v>
      </c>
      <c r="P89" s="25" t="s">
        <v>693</v>
      </c>
      <c r="R89" s="25" t="s">
        <v>692</v>
      </c>
      <c r="S89" s="25" t="s">
        <v>691</v>
      </c>
      <c r="U89" s="26">
        <v>0</v>
      </c>
      <c r="V89" s="25" t="s">
        <v>849</v>
      </c>
    </row>
    <row r="90" spans="1:22">
      <c r="A90" s="25" t="s">
        <v>697</v>
      </c>
      <c r="B90" s="25" t="s">
        <v>682</v>
      </c>
      <c r="C90" s="25" t="s">
        <v>686</v>
      </c>
      <c r="D90" s="27">
        <v>501</v>
      </c>
      <c r="E90" s="27">
        <v>501</v>
      </c>
      <c r="H90" s="26" t="s">
        <v>696</v>
      </c>
      <c r="M90" s="25" t="s">
        <v>935</v>
      </c>
      <c r="N90" s="25" t="s">
        <v>695</v>
      </c>
      <c r="O90" s="25" t="s">
        <v>694</v>
      </c>
      <c r="P90" s="25" t="s">
        <v>693</v>
      </c>
      <c r="R90" s="25" t="s">
        <v>692</v>
      </c>
      <c r="S90" s="25" t="s">
        <v>691</v>
      </c>
      <c r="U90" s="26">
        <v>0</v>
      </c>
      <c r="V90" s="25" t="s">
        <v>849</v>
      </c>
    </row>
    <row r="91" spans="1:22">
      <c r="A91" s="25" t="s">
        <v>697</v>
      </c>
      <c r="B91" s="25" t="s">
        <v>682</v>
      </c>
      <c r="C91" s="25" t="s">
        <v>686</v>
      </c>
      <c r="D91" s="27">
        <v>502</v>
      </c>
      <c r="E91" s="27">
        <v>502</v>
      </c>
      <c r="H91" s="26" t="s">
        <v>696</v>
      </c>
      <c r="M91" s="25" t="s">
        <v>936</v>
      </c>
      <c r="N91" s="25" t="s">
        <v>695</v>
      </c>
      <c r="O91" s="25" t="s">
        <v>694</v>
      </c>
      <c r="P91" s="25" t="s">
        <v>693</v>
      </c>
      <c r="R91" s="25" t="s">
        <v>692</v>
      </c>
      <c r="S91" s="25" t="s">
        <v>691</v>
      </c>
      <c r="U91" s="26">
        <v>0</v>
      </c>
      <c r="V91" s="25" t="s">
        <v>849</v>
      </c>
    </row>
    <row r="92" spans="1:22">
      <c r="A92" s="25" t="s">
        <v>697</v>
      </c>
      <c r="B92" s="25" t="s">
        <v>682</v>
      </c>
      <c r="C92" s="25" t="s">
        <v>687</v>
      </c>
      <c r="D92" s="27">
        <v>101</v>
      </c>
      <c r="E92" s="27">
        <v>101</v>
      </c>
      <c r="H92" s="26" t="s">
        <v>696</v>
      </c>
      <c r="M92" s="25" t="s">
        <v>937</v>
      </c>
      <c r="N92" s="25" t="s">
        <v>695</v>
      </c>
      <c r="O92" s="25" t="s">
        <v>694</v>
      </c>
      <c r="P92" s="25" t="s">
        <v>693</v>
      </c>
      <c r="R92" s="25" t="s">
        <v>692</v>
      </c>
      <c r="S92" s="25" t="s">
        <v>691</v>
      </c>
      <c r="U92" s="26">
        <v>0</v>
      </c>
      <c r="V92" s="25" t="s">
        <v>849</v>
      </c>
    </row>
    <row r="93" spans="1:22">
      <c r="A93" s="25" t="s">
        <v>697</v>
      </c>
      <c r="B93" s="25" t="s">
        <v>682</v>
      </c>
      <c r="C93" s="25" t="s">
        <v>687</v>
      </c>
      <c r="D93" s="27">
        <v>102</v>
      </c>
      <c r="E93" s="27">
        <v>102</v>
      </c>
      <c r="H93" s="26" t="s">
        <v>696</v>
      </c>
      <c r="M93" s="25" t="s">
        <v>938</v>
      </c>
      <c r="N93" s="25" t="s">
        <v>695</v>
      </c>
      <c r="O93" s="25" t="s">
        <v>694</v>
      </c>
      <c r="P93" s="25" t="s">
        <v>693</v>
      </c>
      <c r="R93" s="25" t="s">
        <v>692</v>
      </c>
      <c r="S93" s="25" t="s">
        <v>691</v>
      </c>
      <c r="U93" s="26">
        <v>0</v>
      </c>
      <c r="V93" s="25" t="s">
        <v>849</v>
      </c>
    </row>
    <row r="94" spans="1:22">
      <c r="A94" s="25" t="s">
        <v>697</v>
      </c>
      <c r="B94" s="25" t="s">
        <v>682</v>
      </c>
      <c r="C94" s="25" t="s">
        <v>687</v>
      </c>
      <c r="D94" s="27">
        <v>501</v>
      </c>
      <c r="E94" s="27">
        <v>501</v>
      </c>
      <c r="H94" s="26" t="s">
        <v>696</v>
      </c>
      <c r="M94" s="25" t="s">
        <v>939</v>
      </c>
      <c r="N94" s="25" t="s">
        <v>695</v>
      </c>
      <c r="O94" s="25" t="s">
        <v>694</v>
      </c>
      <c r="P94" s="25" t="s">
        <v>693</v>
      </c>
      <c r="R94" s="25" t="s">
        <v>692</v>
      </c>
      <c r="S94" s="25" t="s">
        <v>691</v>
      </c>
      <c r="U94" s="26">
        <v>0</v>
      </c>
      <c r="V94" s="25" t="s">
        <v>849</v>
      </c>
    </row>
    <row r="95" spans="1:22">
      <c r="A95" s="25" t="s">
        <v>697</v>
      </c>
      <c r="B95" s="25" t="s">
        <v>682</v>
      </c>
      <c r="C95" s="25" t="s">
        <v>687</v>
      </c>
      <c r="D95" s="27">
        <v>502</v>
      </c>
      <c r="E95" s="27">
        <v>502</v>
      </c>
      <c r="H95" s="26" t="s">
        <v>696</v>
      </c>
      <c r="M95" s="25" t="s">
        <v>940</v>
      </c>
      <c r="N95" s="25" t="s">
        <v>695</v>
      </c>
      <c r="O95" s="25" t="s">
        <v>694</v>
      </c>
      <c r="P95" s="25" t="s">
        <v>693</v>
      </c>
      <c r="R95" s="25" t="s">
        <v>692</v>
      </c>
      <c r="S95" s="25" t="s">
        <v>691</v>
      </c>
      <c r="U95" s="26">
        <v>0</v>
      </c>
      <c r="V95" s="25" t="s">
        <v>849</v>
      </c>
    </row>
    <row r="96" spans="1:22">
      <c r="A96" s="25" t="s">
        <v>697</v>
      </c>
      <c r="B96" s="25" t="s">
        <v>682</v>
      </c>
      <c r="C96" s="25" t="s">
        <v>688</v>
      </c>
      <c r="D96" s="27">
        <v>101</v>
      </c>
      <c r="E96" s="27">
        <v>101</v>
      </c>
      <c r="H96" s="26" t="s">
        <v>696</v>
      </c>
      <c r="M96" s="25" t="s">
        <v>941</v>
      </c>
      <c r="N96" s="25" t="s">
        <v>695</v>
      </c>
      <c r="O96" s="25" t="s">
        <v>694</v>
      </c>
      <c r="P96" s="25" t="s">
        <v>693</v>
      </c>
      <c r="R96" s="25" t="s">
        <v>692</v>
      </c>
      <c r="S96" s="25" t="s">
        <v>691</v>
      </c>
      <c r="U96" s="26">
        <v>0</v>
      </c>
      <c r="V96" s="25" t="s">
        <v>849</v>
      </c>
    </row>
    <row r="97" spans="1:22">
      <c r="A97" s="25" t="s">
        <v>697</v>
      </c>
      <c r="B97" s="25" t="s">
        <v>682</v>
      </c>
      <c r="C97" s="25" t="s">
        <v>688</v>
      </c>
      <c r="D97" s="27">
        <v>102</v>
      </c>
      <c r="E97" s="27">
        <v>102</v>
      </c>
      <c r="H97" s="26" t="s">
        <v>696</v>
      </c>
      <c r="M97" s="25" t="s">
        <v>942</v>
      </c>
      <c r="N97" s="25" t="s">
        <v>695</v>
      </c>
      <c r="O97" s="25" t="s">
        <v>694</v>
      </c>
      <c r="P97" s="25" t="s">
        <v>693</v>
      </c>
      <c r="R97" s="25" t="s">
        <v>692</v>
      </c>
      <c r="S97" s="25" t="s">
        <v>691</v>
      </c>
      <c r="U97" s="26">
        <v>0</v>
      </c>
      <c r="V97" s="25" t="s">
        <v>849</v>
      </c>
    </row>
    <row r="98" spans="1:22">
      <c r="A98" s="25" t="s">
        <v>697</v>
      </c>
      <c r="B98" s="25" t="s">
        <v>682</v>
      </c>
      <c r="C98" s="25" t="s">
        <v>688</v>
      </c>
      <c r="D98" s="27">
        <v>501</v>
      </c>
      <c r="E98" s="27">
        <v>501</v>
      </c>
      <c r="H98" s="26" t="s">
        <v>696</v>
      </c>
      <c r="M98" s="25" t="s">
        <v>943</v>
      </c>
      <c r="N98" s="25" t="s">
        <v>695</v>
      </c>
      <c r="O98" s="25" t="s">
        <v>694</v>
      </c>
      <c r="P98" s="25" t="s">
        <v>693</v>
      </c>
      <c r="R98" s="25" t="s">
        <v>692</v>
      </c>
      <c r="S98" s="25" t="s">
        <v>691</v>
      </c>
      <c r="U98" s="26">
        <v>0</v>
      </c>
      <c r="V98" s="25" t="s">
        <v>849</v>
      </c>
    </row>
    <row r="99" spans="1:22">
      <c r="A99" s="25" t="s">
        <v>697</v>
      </c>
      <c r="B99" s="25" t="s">
        <v>682</v>
      </c>
      <c r="C99" s="25" t="s">
        <v>688</v>
      </c>
      <c r="D99" s="27">
        <v>502</v>
      </c>
      <c r="E99" s="27">
        <v>502</v>
      </c>
      <c r="H99" s="26" t="s">
        <v>696</v>
      </c>
      <c r="M99" s="25" t="s">
        <v>944</v>
      </c>
      <c r="N99" s="25" t="s">
        <v>695</v>
      </c>
      <c r="O99" s="25" t="s">
        <v>694</v>
      </c>
      <c r="P99" s="25" t="s">
        <v>693</v>
      </c>
      <c r="R99" s="25" t="s">
        <v>692</v>
      </c>
      <c r="S99" s="25" t="s">
        <v>691</v>
      </c>
      <c r="U99" s="26">
        <v>0</v>
      </c>
      <c r="V99" s="25" t="s">
        <v>849</v>
      </c>
    </row>
    <row r="100" spans="1:22">
      <c r="A100" s="25" t="s">
        <v>697</v>
      </c>
      <c r="B100" s="25" t="s">
        <v>683</v>
      </c>
      <c r="C100" s="25" t="s">
        <v>686</v>
      </c>
      <c r="D100" s="27">
        <v>101</v>
      </c>
      <c r="E100" s="27">
        <v>101</v>
      </c>
      <c r="H100" s="26" t="s">
        <v>696</v>
      </c>
      <c r="M100" s="25" t="s">
        <v>945</v>
      </c>
      <c r="N100" s="25" t="s">
        <v>695</v>
      </c>
      <c r="O100" s="25" t="s">
        <v>694</v>
      </c>
      <c r="P100" s="25" t="s">
        <v>693</v>
      </c>
      <c r="R100" s="25" t="s">
        <v>692</v>
      </c>
      <c r="S100" s="25" t="s">
        <v>691</v>
      </c>
      <c r="U100" s="26">
        <v>0</v>
      </c>
      <c r="V100" s="25" t="s">
        <v>849</v>
      </c>
    </row>
    <row r="101" spans="1:22">
      <c r="A101" s="25" t="s">
        <v>697</v>
      </c>
      <c r="B101" s="25" t="s">
        <v>683</v>
      </c>
      <c r="C101" s="25" t="s">
        <v>686</v>
      </c>
      <c r="D101" s="27">
        <v>102</v>
      </c>
      <c r="E101" s="27">
        <v>102</v>
      </c>
      <c r="H101" s="26" t="s">
        <v>696</v>
      </c>
      <c r="M101" s="25" t="s">
        <v>946</v>
      </c>
      <c r="N101" s="25" t="s">
        <v>695</v>
      </c>
      <c r="O101" s="25" t="s">
        <v>694</v>
      </c>
      <c r="P101" s="25" t="s">
        <v>693</v>
      </c>
      <c r="R101" s="25" t="s">
        <v>692</v>
      </c>
      <c r="S101" s="25" t="s">
        <v>691</v>
      </c>
      <c r="U101" s="26">
        <v>0</v>
      </c>
      <c r="V101" s="25" t="s">
        <v>849</v>
      </c>
    </row>
    <row r="102" spans="1:22">
      <c r="A102" s="25" t="s">
        <v>697</v>
      </c>
      <c r="B102" s="25" t="s">
        <v>683</v>
      </c>
      <c r="C102" s="25" t="s">
        <v>686</v>
      </c>
      <c r="D102" s="27">
        <v>501</v>
      </c>
      <c r="E102" s="27">
        <v>501</v>
      </c>
      <c r="H102" s="26" t="s">
        <v>696</v>
      </c>
      <c r="M102" s="25" t="s">
        <v>947</v>
      </c>
      <c r="N102" s="25" t="s">
        <v>695</v>
      </c>
      <c r="O102" s="25" t="s">
        <v>694</v>
      </c>
      <c r="P102" s="25" t="s">
        <v>693</v>
      </c>
      <c r="R102" s="25" t="s">
        <v>692</v>
      </c>
      <c r="S102" s="25" t="s">
        <v>691</v>
      </c>
      <c r="U102" s="26">
        <v>0</v>
      </c>
      <c r="V102" s="25" t="s">
        <v>849</v>
      </c>
    </row>
    <row r="103" spans="1:22">
      <c r="A103" s="25" t="s">
        <v>697</v>
      </c>
      <c r="B103" s="25" t="s">
        <v>683</v>
      </c>
      <c r="C103" s="25" t="s">
        <v>686</v>
      </c>
      <c r="D103" s="27">
        <v>502</v>
      </c>
      <c r="E103" s="27">
        <v>502</v>
      </c>
      <c r="H103" s="26" t="s">
        <v>696</v>
      </c>
      <c r="M103" s="25" t="s">
        <v>948</v>
      </c>
      <c r="N103" s="25" t="s">
        <v>695</v>
      </c>
      <c r="O103" s="25" t="s">
        <v>694</v>
      </c>
      <c r="P103" s="25" t="s">
        <v>693</v>
      </c>
      <c r="R103" s="25" t="s">
        <v>692</v>
      </c>
      <c r="S103" s="25" t="s">
        <v>691</v>
      </c>
      <c r="U103" s="26">
        <v>0</v>
      </c>
      <c r="V103" s="25" t="s">
        <v>849</v>
      </c>
    </row>
    <row r="104" spans="1:22">
      <c r="A104" s="25" t="s">
        <v>697</v>
      </c>
      <c r="B104" s="25" t="s">
        <v>683</v>
      </c>
      <c r="C104" s="25" t="s">
        <v>687</v>
      </c>
      <c r="D104" s="27">
        <v>101</v>
      </c>
      <c r="E104" s="27">
        <v>101</v>
      </c>
      <c r="H104" s="26" t="s">
        <v>696</v>
      </c>
      <c r="M104" s="25" t="s">
        <v>949</v>
      </c>
      <c r="N104" s="25" t="s">
        <v>695</v>
      </c>
      <c r="O104" s="25" t="s">
        <v>694</v>
      </c>
      <c r="P104" s="25" t="s">
        <v>693</v>
      </c>
      <c r="R104" s="25" t="s">
        <v>692</v>
      </c>
      <c r="S104" s="25" t="s">
        <v>691</v>
      </c>
      <c r="U104" s="26">
        <v>0</v>
      </c>
      <c r="V104" s="25" t="s">
        <v>849</v>
      </c>
    </row>
    <row r="105" spans="1:22">
      <c r="A105" s="25" t="s">
        <v>697</v>
      </c>
      <c r="B105" s="25" t="s">
        <v>683</v>
      </c>
      <c r="C105" s="25" t="s">
        <v>687</v>
      </c>
      <c r="D105" s="27">
        <v>102</v>
      </c>
      <c r="E105" s="27">
        <v>102</v>
      </c>
      <c r="H105" s="26" t="s">
        <v>696</v>
      </c>
      <c r="M105" s="25" t="s">
        <v>950</v>
      </c>
      <c r="N105" s="25" t="s">
        <v>695</v>
      </c>
      <c r="O105" s="25" t="s">
        <v>694</v>
      </c>
      <c r="P105" s="25" t="s">
        <v>693</v>
      </c>
      <c r="R105" s="25" t="s">
        <v>692</v>
      </c>
      <c r="S105" s="25" t="s">
        <v>691</v>
      </c>
      <c r="U105" s="26">
        <v>0</v>
      </c>
      <c r="V105" s="25" t="s">
        <v>849</v>
      </c>
    </row>
    <row r="106" spans="1:22">
      <c r="A106" s="25" t="s">
        <v>697</v>
      </c>
      <c r="B106" s="25" t="s">
        <v>683</v>
      </c>
      <c r="C106" s="25" t="s">
        <v>687</v>
      </c>
      <c r="D106" s="27">
        <v>501</v>
      </c>
      <c r="E106" s="27">
        <v>501</v>
      </c>
      <c r="H106" s="26" t="s">
        <v>696</v>
      </c>
      <c r="M106" s="25" t="s">
        <v>951</v>
      </c>
      <c r="N106" s="25" t="s">
        <v>695</v>
      </c>
      <c r="O106" s="25" t="s">
        <v>694</v>
      </c>
      <c r="P106" s="25" t="s">
        <v>693</v>
      </c>
      <c r="R106" s="25" t="s">
        <v>692</v>
      </c>
      <c r="S106" s="25" t="s">
        <v>691</v>
      </c>
      <c r="U106" s="26">
        <v>0</v>
      </c>
      <c r="V106" s="25" t="s">
        <v>849</v>
      </c>
    </row>
    <row r="107" spans="1:22">
      <c r="A107" s="25" t="s">
        <v>697</v>
      </c>
      <c r="B107" s="25" t="s">
        <v>683</v>
      </c>
      <c r="C107" s="25" t="s">
        <v>687</v>
      </c>
      <c r="D107" s="27">
        <v>502</v>
      </c>
      <c r="E107" s="27">
        <v>502</v>
      </c>
      <c r="H107" s="26" t="s">
        <v>696</v>
      </c>
      <c r="M107" s="25" t="s">
        <v>952</v>
      </c>
      <c r="N107" s="25" t="s">
        <v>695</v>
      </c>
      <c r="O107" s="25" t="s">
        <v>694</v>
      </c>
      <c r="P107" s="25" t="s">
        <v>693</v>
      </c>
      <c r="R107" s="25" t="s">
        <v>692</v>
      </c>
      <c r="S107" s="25" t="s">
        <v>691</v>
      </c>
      <c r="U107" s="26">
        <v>0</v>
      </c>
      <c r="V107" s="25" t="s">
        <v>849</v>
      </c>
    </row>
    <row r="108" spans="1:22">
      <c r="A108" s="25" t="s">
        <v>697</v>
      </c>
      <c r="B108" s="25" t="s">
        <v>683</v>
      </c>
      <c r="C108" s="25" t="s">
        <v>688</v>
      </c>
      <c r="D108" s="27">
        <v>101</v>
      </c>
      <c r="E108" s="27">
        <v>101</v>
      </c>
      <c r="H108" s="26" t="s">
        <v>696</v>
      </c>
      <c r="M108" s="25" t="s">
        <v>953</v>
      </c>
      <c r="N108" s="25" t="s">
        <v>695</v>
      </c>
      <c r="O108" s="25" t="s">
        <v>694</v>
      </c>
      <c r="P108" s="25" t="s">
        <v>693</v>
      </c>
      <c r="R108" s="25" t="s">
        <v>692</v>
      </c>
      <c r="S108" s="25" t="s">
        <v>691</v>
      </c>
      <c r="U108" s="26">
        <v>0</v>
      </c>
      <c r="V108" s="25" t="s">
        <v>849</v>
      </c>
    </row>
    <row r="109" spans="1:22">
      <c r="A109" s="25" t="s">
        <v>697</v>
      </c>
      <c r="B109" s="25" t="s">
        <v>683</v>
      </c>
      <c r="C109" s="25" t="s">
        <v>688</v>
      </c>
      <c r="D109" s="27">
        <v>102</v>
      </c>
      <c r="E109" s="27">
        <v>102</v>
      </c>
      <c r="H109" s="26" t="s">
        <v>696</v>
      </c>
      <c r="M109" s="25" t="s">
        <v>954</v>
      </c>
      <c r="N109" s="25" t="s">
        <v>695</v>
      </c>
      <c r="O109" s="25" t="s">
        <v>694</v>
      </c>
      <c r="P109" s="25" t="s">
        <v>693</v>
      </c>
      <c r="R109" s="25" t="s">
        <v>692</v>
      </c>
      <c r="S109" s="25" t="s">
        <v>691</v>
      </c>
      <c r="U109" s="26">
        <v>0</v>
      </c>
      <c r="V109" s="25" t="s">
        <v>849</v>
      </c>
    </row>
    <row r="110" spans="1:22">
      <c r="A110" s="25" t="s">
        <v>697</v>
      </c>
      <c r="B110" s="25" t="s">
        <v>683</v>
      </c>
      <c r="C110" s="25" t="s">
        <v>688</v>
      </c>
      <c r="D110" s="27">
        <v>501</v>
      </c>
      <c r="E110" s="27">
        <v>501</v>
      </c>
      <c r="H110" s="26" t="s">
        <v>696</v>
      </c>
      <c r="M110" s="25" t="s">
        <v>955</v>
      </c>
      <c r="N110" s="25" t="s">
        <v>695</v>
      </c>
      <c r="O110" s="25" t="s">
        <v>694</v>
      </c>
      <c r="P110" s="25" t="s">
        <v>693</v>
      </c>
      <c r="R110" s="25" t="s">
        <v>692</v>
      </c>
      <c r="S110" s="25" t="s">
        <v>691</v>
      </c>
      <c r="U110" s="26">
        <v>0</v>
      </c>
      <c r="V110" s="25" t="s">
        <v>849</v>
      </c>
    </row>
    <row r="111" spans="1:22">
      <c r="A111" s="25" t="s">
        <v>697</v>
      </c>
      <c r="B111" s="25" t="s">
        <v>683</v>
      </c>
      <c r="C111" s="25" t="s">
        <v>688</v>
      </c>
      <c r="D111" s="27">
        <v>502</v>
      </c>
      <c r="E111" s="27">
        <v>502</v>
      </c>
      <c r="H111" s="26" t="s">
        <v>696</v>
      </c>
      <c r="M111" s="25" t="s">
        <v>956</v>
      </c>
      <c r="N111" s="25" t="s">
        <v>695</v>
      </c>
      <c r="O111" s="25" t="s">
        <v>694</v>
      </c>
      <c r="P111" s="25" t="s">
        <v>693</v>
      </c>
      <c r="R111" s="25" t="s">
        <v>692</v>
      </c>
      <c r="S111" s="25" t="s">
        <v>691</v>
      </c>
      <c r="U111" s="26">
        <v>0</v>
      </c>
      <c r="V111" s="25" t="s">
        <v>849</v>
      </c>
    </row>
    <row r="112" spans="1:22">
      <c r="A112" s="25" t="s">
        <v>697</v>
      </c>
      <c r="B112" s="25" t="s">
        <v>684</v>
      </c>
      <c r="C112" s="25" t="s">
        <v>686</v>
      </c>
      <c r="D112" s="27">
        <v>101</v>
      </c>
      <c r="E112" s="27">
        <v>101</v>
      </c>
      <c r="H112" s="26" t="s">
        <v>696</v>
      </c>
      <c r="M112" s="25" t="s">
        <v>957</v>
      </c>
      <c r="N112" s="25" t="s">
        <v>695</v>
      </c>
      <c r="O112" s="25" t="s">
        <v>694</v>
      </c>
      <c r="P112" s="25" t="s">
        <v>693</v>
      </c>
      <c r="R112" s="25" t="s">
        <v>692</v>
      </c>
      <c r="S112" s="25" t="s">
        <v>691</v>
      </c>
      <c r="U112" s="26">
        <v>0</v>
      </c>
      <c r="V112" s="25" t="s">
        <v>849</v>
      </c>
    </row>
    <row r="113" spans="1:22">
      <c r="A113" s="25" t="s">
        <v>697</v>
      </c>
      <c r="B113" s="25" t="s">
        <v>684</v>
      </c>
      <c r="C113" s="25" t="s">
        <v>686</v>
      </c>
      <c r="D113" s="27">
        <v>102</v>
      </c>
      <c r="E113" s="27">
        <v>102</v>
      </c>
      <c r="H113" s="26" t="s">
        <v>696</v>
      </c>
      <c r="M113" s="25" t="s">
        <v>958</v>
      </c>
      <c r="N113" s="25" t="s">
        <v>695</v>
      </c>
      <c r="O113" s="25" t="s">
        <v>694</v>
      </c>
      <c r="P113" s="25" t="s">
        <v>693</v>
      </c>
      <c r="R113" s="25" t="s">
        <v>692</v>
      </c>
      <c r="S113" s="25" t="s">
        <v>691</v>
      </c>
      <c r="U113" s="26">
        <v>0</v>
      </c>
      <c r="V113" s="25" t="s">
        <v>849</v>
      </c>
    </row>
    <row r="114" spans="1:22">
      <c r="A114" s="25" t="s">
        <v>697</v>
      </c>
      <c r="B114" s="25" t="s">
        <v>684</v>
      </c>
      <c r="C114" s="25" t="s">
        <v>686</v>
      </c>
      <c r="D114" s="27">
        <v>601</v>
      </c>
      <c r="E114" s="27">
        <v>601</v>
      </c>
      <c r="H114" s="26" t="s">
        <v>696</v>
      </c>
      <c r="M114" s="25" t="s">
        <v>959</v>
      </c>
      <c r="N114" s="25" t="s">
        <v>695</v>
      </c>
      <c r="O114" s="25" t="s">
        <v>694</v>
      </c>
      <c r="P114" s="25" t="s">
        <v>693</v>
      </c>
      <c r="R114" s="25" t="s">
        <v>692</v>
      </c>
      <c r="S114" s="25" t="s">
        <v>691</v>
      </c>
      <c r="U114" s="26">
        <v>0</v>
      </c>
      <c r="V114" s="25" t="s">
        <v>849</v>
      </c>
    </row>
    <row r="115" spans="1:22">
      <c r="A115" s="25" t="s">
        <v>697</v>
      </c>
      <c r="B115" s="25" t="s">
        <v>684</v>
      </c>
      <c r="C115" s="25" t="s">
        <v>686</v>
      </c>
      <c r="D115" s="27">
        <v>602</v>
      </c>
      <c r="E115" s="27">
        <v>602</v>
      </c>
      <c r="H115" s="26" t="s">
        <v>696</v>
      </c>
      <c r="M115" s="25" t="s">
        <v>960</v>
      </c>
      <c r="N115" s="25" t="s">
        <v>695</v>
      </c>
      <c r="O115" s="25" t="s">
        <v>694</v>
      </c>
      <c r="P115" s="25" t="s">
        <v>693</v>
      </c>
      <c r="R115" s="25" t="s">
        <v>692</v>
      </c>
      <c r="S115" s="25" t="s">
        <v>691</v>
      </c>
      <c r="U115" s="26">
        <v>0</v>
      </c>
      <c r="V115" s="25" t="s">
        <v>849</v>
      </c>
    </row>
    <row r="116" spans="1:22">
      <c r="A116" s="25" t="s">
        <v>697</v>
      </c>
      <c r="B116" s="25" t="s">
        <v>684</v>
      </c>
      <c r="C116" s="25" t="s">
        <v>687</v>
      </c>
      <c r="D116" s="27">
        <v>101</v>
      </c>
      <c r="E116" s="27">
        <v>101</v>
      </c>
      <c r="H116" s="26" t="s">
        <v>696</v>
      </c>
      <c r="M116" s="25" t="s">
        <v>961</v>
      </c>
      <c r="N116" s="25" t="s">
        <v>695</v>
      </c>
      <c r="O116" s="25" t="s">
        <v>694</v>
      </c>
      <c r="P116" s="25" t="s">
        <v>693</v>
      </c>
      <c r="R116" s="25" t="s">
        <v>692</v>
      </c>
      <c r="S116" s="25" t="s">
        <v>691</v>
      </c>
      <c r="U116" s="26">
        <v>0</v>
      </c>
      <c r="V116" s="25" t="s">
        <v>849</v>
      </c>
    </row>
    <row r="117" spans="1:22">
      <c r="A117" s="25" t="s">
        <v>697</v>
      </c>
      <c r="B117" s="25" t="s">
        <v>684</v>
      </c>
      <c r="C117" s="25" t="s">
        <v>687</v>
      </c>
      <c r="D117" s="27">
        <v>102</v>
      </c>
      <c r="E117" s="27">
        <v>102</v>
      </c>
      <c r="H117" s="26" t="s">
        <v>696</v>
      </c>
      <c r="M117" s="25" t="s">
        <v>962</v>
      </c>
      <c r="N117" s="25" t="s">
        <v>695</v>
      </c>
      <c r="O117" s="25" t="s">
        <v>694</v>
      </c>
      <c r="P117" s="25" t="s">
        <v>693</v>
      </c>
      <c r="R117" s="25" t="s">
        <v>692</v>
      </c>
      <c r="S117" s="25" t="s">
        <v>691</v>
      </c>
      <c r="U117" s="26">
        <v>0</v>
      </c>
      <c r="V117" s="25" t="s">
        <v>849</v>
      </c>
    </row>
    <row r="118" spans="1:22">
      <c r="A118" s="25" t="s">
        <v>697</v>
      </c>
      <c r="B118" s="25" t="s">
        <v>684</v>
      </c>
      <c r="C118" s="25" t="s">
        <v>687</v>
      </c>
      <c r="D118" s="27">
        <v>601</v>
      </c>
      <c r="E118" s="27">
        <v>601</v>
      </c>
      <c r="H118" s="26" t="s">
        <v>696</v>
      </c>
      <c r="M118" s="25" t="s">
        <v>963</v>
      </c>
      <c r="N118" s="25" t="s">
        <v>695</v>
      </c>
      <c r="O118" s="25" t="s">
        <v>694</v>
      </c>
      <c r="P118" s="25" t="s">
        <v>693</v>
      </c>
      <c r="R118" s="25" t="s">
        <v>692</v>
      </c>
      <c r="S118" s="25" t="s">
        <v>691</v>
      </c>
      <c r="U118" s="26">
        <v>0</v>
      </c>
      <c r="V118" s="25" t="s">
        <v>849</v>
      </c>
    </row>
    <row r="119" spans="1:22">
      <c r="A119" s="25" t="s">
        <v>697</v>
      </c>
      <c r="B119" s="25" t="s">
        <v>684</v>
      </c>
      <c r="C119" s="25" t="s">
        <v>687</v>
      </c>
      <c r="D119" s="27">
        <v>602</v>
      </c>
      <c r="E119" s="27">
        <v>602</v>
      </c>
      <c r="H119" s="26" t="s">
        <v>696</v>
      </c>
      <c r="M119" s="25" t="s">
        <v>964</v>
      </c>
      <c r="N119" s="25" t="s">
        <v>695</v>
      </c>
      <c r="O119" s="25" t="s">
        <v>694</v>
      </c>
      <c r="P119" s="25" t="s">
        <v>693</v>
      </c>
      <c r="R119" s="25" t="s">
        <v>692</v>
      </c>
      <c r="S119" s="25" t="s">
        <v>691</v>
      </c>
      <c r="U119" s="26">
        <v>0</v>
      </c>
      <c r="V119" s="25" t="s">
        <v>849</v>
      </c>
    </row>
    <row r="120" spans="1:22">
      <c r="A120" s="25" t="s">
        <v>697</v>
      </c>
      <c r="B120" s="25" t="s">
        <v>684</v>
      </c>
      <c r="C120" s="25" t="s">
        <v>688</v>
      </c>
      <c r="D120" s="27">
        <v>101</v>
      </c>
      <c r="E120" s="27">
        <v>101</v>
      </c>
      <c r="H120" s="26" t="s">
        <v>696</v>
      </c>
      <c r="M120" s="25" t="s">
        <v>965</v>
      </c>
      <c r="N120" s="25" t="s">
        <v>695</v>
      </c>
      <c r="O120" s="25" t="s">
        <v>694</v>
      </c>
      <c r="P120" s="25" t="s">
        <v>693</v>
      </c>
      <c r="R120" s="25" t="s">
        <v>692</v>
      </c>
      <c r="S120" s="25" t="s">
        <v>691</v>
      </c>
      <c r="U120" s="26">
        <v>0</v>
      </c>
      <c r="V120" s="25" t="s">
        <v>849</v>
      </c>
    </row>
    <row r="121" spans="1:22">
      <c r="A121" s="25" t="s">
        <v>697</v>
      </c>
      <c r="B121" s="25" t="s">
        <v>684</v>
      </c>
      <c r="C121" s="25" t="s">
        <v>688</v>
      </c>
      <c r="D121" s="27">
        <v>102</v>
      </c>
      <c r="E121" s="27">
        <v>102</v>
      </c>
      <c r="H121" s="26" t="s">
        <v>696</v>
      </c>
      <c r="M121" s="25" t="s">
        <v>966</v>
      </c>
      <c r="N121" s="25" t="s">
        <v>695</v>
      </c>
      <c r="O121" s="25" t="s">
        <v>694</v>
      </c>
      <c r="P121" s="25" t="s">
        <v>693</v>
      </c>
      <c r="R121" s="25" t="s">
        <v>692</v>
      </c>
      <c r="S121" s="25" t="s">
        <v>691</v>
      </c>
      <c r="U121" s="26">
        <v>0</v>
      </c>
      <c r="V121" s="25" t="s">
        <v>849</v>
      </c>
    </row>
    <row r="122" spans="1:22">
      <c r="A122" s="25" t="s">
        <v>697</v>
      </c>
      <c r="B122" s="25" t="s">
        <v>684</v>
      </c>
      <c r="C122" s="25" t="s">
        <v>688</v>
      </c>
      <c r="D122" s="27">
        <v>601</v>
      </c>
      <c r="E122" s="27">
        <v>601</v>
      </c>
      <c r="H122" s="26" t="s">
        <v>696</v>
      </c>
      <c r="M122" s="25" t="s">
        <v>967</v>
      </c>
      <c r="N122" s="25" t="s">
        <v>695</v>
      </c>
      <c r="O122" s="25" t="s">
        <v>694</v>
      </c>
      <c r="P122" s="25" t="s">
        <v>693</v>
      </c>
      <c r="R122" s="25" t="s">
        <v>692</v>
      </c>
      <c r="S122" s="25" t="s">
        <v>691</v>
      </c>
      <c r="U122" s="26">
        <v>0</v>
      </c>
      <c r="V122" s="25" t="s">
        <v>849</v>
      </c>
    </row>
    <row r="123" spans="1:22">
      <c r="A123" s="25" t="s">
        <v>697</v>
      </c>
      <c r="B123" s="25" t="s">
        <v>684</v>
      </c>
      <c r="C123" s="25" t="s">
        <v>688</v>
      </c>
      <c r="D123" s="27">
        <v>602</v>
      </c>
      <c r="E123" s="27">
        <v>602</v>
      </c>
      <c r="H123" s="26" t="s">
        <v>696</v>
      </c>
      <c r="M123" s="25" t="s">
        <v>968</v>
      </c>
      <c r="N123" s="25" t="s">
        <v>695</v>
      </c>
      <c r="O123" s="25" t="s">
        <v>694</v>
      </c>
      <c r="P123" s="25" t="s">
        <v>693</v>
      </c>
      <c r="R123" s="25" t="s">
        <v>692</v>
      </c>
      <c r="S123" s="25" t="s">
        <v>691</v>
      </c>
      <c r="U123" s="26">
        <v>0</v>
      </c>
      <c r="V123" s="25" t="s">
        <v>849</v>
      </c>
    </row>
    <row r="124" spans="1:22">
      <c r="A124" s="25" t="s">
        <v>697</v>
      </c>
      <c r="B124" s="25" t="s">
        <v>41</v>
      </c>
      <c r="C124" s="25" t="s">
        <v>686</v>
      </c>
      <c r="D124" s="27">
        <v>101</v>
      </c>
      <c r="E124" s="27">
        <v>101</v>
      </c>
      <c r="H124" s="26" t="s">
        <v>696</v>
      </c>
      <c r="M124" s="25" t="s">
        <v>969</v>
      </c>
      <c r="N124" s="25" t="s">
        <v>695</v>
      </c>
      <c r="O124" s="25" t="s">
        <v>694</v>
      </c>
      <c r="P124" s="25" t="s">
        <v>693</v>
      </c>
      <c r="R124" s="25" t="s">
        <v>692</v>
      </c>
      <c r="S124" s="25" t="s">
        <v>691</v>
      </c>
      <c r="U124" s="26">
        <v>0</v>
      </c>
      <c r="V124" s="25" t="s">
        <v>849</v>
      </c>
    </row>
    <row r="125" spans="1:22">
      <c r="A125" s="25" t="s">
        <v>697</v>
      </c>
      <c r="B125" s="25" t="s">
        <v>41</v>
      </c>
      <c r="C125" s="25" t="s">
        <v>686</v>
      </c>
      <c r="D125" s="27">
        <v>103</v>
      </c>
      <c r="E125" s="27">
        <v>103</v>
      </c>
      <c r="H125" s="26" t="s">
        <v>696</v>
      </c>
      <c r="M125" s="25" t="s">
        <v>970</v>
      </c>
      <c r="N125" s="25" t="s">
        <v>695</v>
      </c>
      <c r="O125" s="25" t="s">
        <v>694</v>
      </c>
      <c r="P125" s="25" t="s">
        <v>693</v>
      </c>
      <c r="R125" s="25" t="s">
        <v>692</v>
      </c>
      <c r="S125" s="25" t="s">
        <v>691</v>
      </c>
      <c r="U125" s="26">
        <v>0</v>
      </c>
      <c r="V125" s="25" t="s">
        <v>849</v>
      </c>
    </row>
    <row r="126" spans="1:22">
      <c r="A126" s="25" t="s">
        <v>697</v>
      </c>
      <c r="B126" s="25" t="s">
        <v>41</v>
      </c>
      <c r="C126" s="25" t="s">
        <v>686</v>
      </c>
      <c r="D126" s="27">
        <v>102</v>
      </c>
      <c r="E126" s="27">
        <v>102</v>
      </c>
      <c r="H126" s="26" t="s">
        <v>696</v>
      </c>
      <c r="M126" s="25" t="s">
        <v>971</v>
      </c>
      <c r="N126" s="25" t="s">
        <v>695</v>
      </c>
      <c r="O126" s="25" t="s">
        <v>694</v>
      </c>
      <c r="P126" s="25" t="s">
        <v>693</v>
      </c>
      <c r="R126" s="25" t="s">
        <v>692</v>
      </c>
      <c r="S126" s="25" t="s">
        <v>691</v>
      </c>
      <c r="U126" s="26">
        <v>0</v>
      </c>
      <c r="V126" s="25" t="s">
        <v>849</v>
      </c>
    </row>
    <row r="127" spans="1:22">
      <c r="A127" s="25" t="s">
        <v>697</v>
      </c>
      <c r="B127" s="25" t="s">
        <v>41</v>
      </c>
      <c r="C127" s="25" t="s">
        <v>686</v>
      </c>
      <c r="D127" s="27">
        <v>601</v>
      </c>
      <c r="E127" s="27">
        <v>601</v>
      </c>
      <c r="H127" s="26" t="s">
        <v>696</v>
      </c>
      <c r="M127" s="25" t="s">
        <v>972</v>
      </c>
      <c r="N127" s="25" t="s">
        <v>695</v>
      </c>
      <c r="O127" s="25" t="s">
        <v>694</v>
      </c>
      <c r="P127" s="25" t="s">
        <v>693</v>
      </c>
      <c r="R127" s="25" t="s">
        <v>692</v>
      </c>
      <c r="S127" s="25" t="s">
        <v>691</v>
      </c>
      <c r="U127" s="26">
        <v>0</v>
      </c>
      <c r="V127" s="25" t="s">
        <v>849</v>
      </c>
    </row>
    <row r="128" spans="1:22">
      <c r="A128" s="25" t="s">
        <v>697</v>
      </c>
      <c r="B128" s="25" t="s">
        <v>41</v>
      </c>
      <c r="C128" s="25" t="s">
        <v>686</v>
      </c>
      <c r="D128" s="27">
        <v>603</v>
      </c>
      <c r="E128" s="27">
        <v>603</v>
      </c>
      <c r="H128" s="26" t="s">
        <v>696</v>
      </c>
      <c r="M128" s="25" t="s">
        <v>973</v>
      </c>
      <c r="N128" s="25" t="s">
        <v>695</v>
      </c>
      <c r="O128" s="25" t="s">
        <v>694</v>
      </c>
      <c r="P128" s="25" t="s">
        <v>693</v>
      </c>
      <c r="R128" s="25" t="s">
        <v>692</v>
      </c>
      <c r="S128" s="25" t="s">
        <v>691</v>
      </c>
      <c r="U128" s="26">
        <v>0</v>
      </c>
      <c r="V128" s="25" t="s">
        <v>849</v>
      </c>
    </row>
    <row r="129" spans="1:22">
      <c r="A129" s="25" t="s">
        <v>697</v>
      </c>
      <c r="B129" s="25" t="s">
        <v>41</v>
      </c>
      <c r="C129" s="25" t="s">
        <v>687</v>
      </c>
      <c r="D129" s="27">
        <v>101</v>
      </c>
      <c r="E129" s="27">
        <v>101</v>
      </c>
      <c r="H129" s="26" t="s">
        <v>696</v>
      </c>
      <c r="M129" s="25" t="s">
        <v>974</v>
      </c>
      <c r="N129" s="25" t="s">
        <v>695</v>
      </c>
      <c r="O129" s="25" t="s">
        <v>694</v>
      </c>
      <c r="P129" s="25" t="s">
        <v>693</v>
      </c>
      <c r="R129" s="25" t="s">
        <v>692</v>
      </c>
      <c r="S129" s="25" t="s">
        <v>691</v>
      </c>
      <c r="U129" s="26">
        <v>0</v>
      </c>
      <c r="V129" s="25" t="s">
        <v>849</v>
      </c>
    </row>
    <row r="130" spans="1:22">
      <c r="A130" s="25" t="s">
        <v>697</v>
      </c>
      <c r="B130" s="25" t="s">
        <v>41</v>
      </c>
      <c r="C130" s="25" t="s">
        <v>687</v>
      </c>
      <c r="D130" s="27">
        <v>102</v>
      </c>
      <c r="E130" s="27">
        <v>102</v>
      </c>
      <c r="H130" s="26" t="s">
        <v>696</v>
      </c>
      <c r="M130" s="25" t="s">
        <v>975</v>
      </c>
      <c r="N130" s="25" t="s">
        <v>695</v>
      </c>
      <c r="O130" s="25" t="s">
        <v>694</v>
      </c>
      <c r="P130" s="25" t="s">
        <v>693</v>
      </c>
      <c r="R130" s="25" t="s">
        <v>692</v>
      </c>
      <c r="S130" s="25" t="s">
        <v>691</v>
      </c>
      <c r="U130" s="26">
        <v>0</v>
      </c>
      <c r="V130" s="25" t="s">
        <v>849</v>
      </c>
    </row>
    <row r="131" spans="1:22">
      <c r="A131" s="25" t="s">
        <v>697</v>
      </c>
      <c r="B131" s="25" t="s">
        <v>41</v>
      </c>
      <c r="C131" s="25" t="s">
        <v>687</v>
      </c>
      <c r="D131" s="27">
        <v>103</v>
      </c>
      <c r="E131" s="27">
        <v>103</v>
      </c>
      <c r="H131" s="26" t="s">
        <v>696</v>
      </c>
      <c r="M131" s="25" t="s">
        <v>976</v>
      </c>
      <c r="N131" s="25" t="s">
        <v>695</v>
      </c>
      <c r="O131" s="25" t="s">
        <v>694</v>
      </c>
      <c r="P131" s="25" t="s">
        <v>693</v>
      </c>
      <c r="R131" s="25" t="s">
        <v>692</v>
      </c>
      <c r="S131" s="25" t="s">
        <v>691</v>
      </c>
      <c r="U131" s="26">
        <v>0</v>
      </c>
      <c r="V131" s="25" t="s">
        <v>849</v>
      </c>
    </row>
    <row r="132" spans="1:22">
      <c r="A132" s="25" t="s">
        <v>697</v>
      </c>
      <c r="B132" s="25" t="s">
        <v>41</v>
      </c>
      <c r="C132" s="25" t="s">
        <v>687</v>
      </c>
      <c r="D132" s="27">
        <v>601</v>
      </c>
      <c r="E132" s="27">
        <v>601</v>
      </c>
      <c r="H132" s="26" t="s">
        <v>696</v>
      </c>
      <c r="M132" s="25" t="s">
        <v>977</v>
      </c>
      <c r="N132" s="25" t="s">
        <v>695</v>
      </c>
      <c r="O132" s="25" t="s">
        <v>694</v>
      </c>
      <c r="P132" s="25" t="s">
        <v>693</v>
      </c>
      <c r="R132" s="25" t="s">
        <v>692</v>
      </c>
      <c r="S132" s="25" t="s">
        <v>691</v>
      </c>
      <c r="U132" s="26">
        <v>0</v>
      </c>
      <c r="V132" s="25" t="s">
        <v>849</v>
      </c>
    </row>
    <row r="133" spans="1:22">
      <c r="A133" s="25" t="s">
        <v>697</v>
      </c>
      <c r="B133" s="25" t="s">
        <v>41</v>
      </c>
      <c r="C133" s="25" t="s">
        <v>687</v>
      </c>
      <c r="D133" s="27">
        <v>603</v>
      </c>
      <c r="E133" s="27">
        <v>603</v>
      </c>
      <c r="H133" s="26" t="s">
        <v>696</v>
      </c>
      <c r="M133" s="25" t="s">
        <v>978</v>
      </c>
      <c r="N133" s="25" t="s">
        <v>695</v>
      </c>
      <c r="O133" s="25" t="s">
        <v>694</v>
      </c>
      <c r="P133" s="25" t="s">
        <v>693</v>
      </c>
      <c r="R133" s="25" t="s">
        <v>692</v>
      </c>
      <c r="S133" s="25" t="s">
        <v>691</v>
      </c>
      <c r="U133" s="26">
        <v>0</v>
      </c>
      <c r="V133" s="25" t="s">
        <v>849</v>
      </c>
    </row>
    <row r="134" spans="1:22">
      <c r="A134" s="25" t="s">
        <v>697</v>
      </c>
      <c r="B134" s="25" t="s">
        <v>40</v>
      </c>
      <c r="C134" s="25" t="s">
        <v>686</v>
      </c>
      <c r="D134" s="27">
        <v>101</v>
      </c>
      <c r="E134" s="27">
        <v>101</v>
      </c>
      <c r="H134" s="26" t="s">
        <v>696</v>
      </c>
      <c r="M134" s="25" t="s">
        <v>979</v>
      </c>
      <c r="N134" s="25" t="s">
        <v>695</v>
      </c>
      <c r="O134" s="25" t="s">
        <v>694</v>
      </c>
      <c r="P134" s="25" t="s">
        <v>693</v>
      </c>
      <c r="R134" s="25" t="s">
        <v>692</v>
      </c>
      <c r="S134" s="25" t="s">
        <v>691</v>
      </c>
      <c r="U134" s="26">
        <v>0</v>
      </c>
      <c r="V134" s="25" t="s">
        <v>849</v>
      </c>
    </row>
    <row r="135" spans="1:22">
      <c r="A135" s="25" t="s">
        <v>697</v>
      </c>
      <c r="B135" s="25" t="s">
        <v>40</v>
      </c>
      <c r="C135" s="25" t="s">
        <v>686</v>
      </c>
      <c r="D135" s="27">
        <v>102</v>
      </c>
      <c r="E135" s="27">
        <v>102</v>
      </c>
      <c r="H135" s="26" t="s">
        <v>696</v>
      </c>
      <c r="M135" s="25" t="s">
        <v>980</v>
      </c>
      <c r="N135" s="25" t="s">
        <v>695</v>
      </c>
      <c r="O135" s="25" t="s">
        <v>694</v>
      </c>
      <c r="P135" s="25" t="s">
        <v>693</v>
      </c>
      <c r="R135" s="25" t="s">
        <v>692</v>
      </c>
      <c r="S135" s="25" t="s">
        <v>691</v>
      </c>
      <c r="U135" s="26">
        <v>0</v>
      </c>
      <c r="V135" s="25" t="s">
        <v>849</v>
      </c>
    </row>
    <row r="136" spans="1:22">
      <c r="A136" s="25" t="s">
        <v>697</v>
      </c>
      <c r="B136" s="25" t="s">
        <v>40</v>
      </c>
      <c r="C136" s="25" t="s">
        <v>686</v>
      </c>
      <c r="D136" s="27">
        <v>103</v>
      </c>
      <c r="E136" s="27">
        <v>103</v>
      </c>
      <c r="H136" s="26" t="s">
        <v>696</v>
      </c>
      <c r="M136" s="25" t="s">
        <v>981</v>
      </c>
      <c r="N136" s="25" t="s">
        <v>695</v>
      </c>
      <c r="O136" s="25" t="s">
        <v>694</v>
      </c>
      <c r="P136" s="25" t="s">
        <v>693</v>
      </c>
      <c r="R136" s="25" t="s">
        <v>692</v>
      </c>
      <c r="S136" s="25" t="s">
        <v>691</v>
      </c>
      <c r="U136" s="26">
        <v>0</v>
      </c>
      <c r="V136" s="25" t="s">
        <v>849</v>
      </c>
    </row>
    <row r="137" spans="1:22">
      <c r="A137" s="25" t="s">
        <v>697</v>
      </c>
      <c r="B137" s="25" t="s">
        <v>40</v>
      </c>
      <c r="C137" s="25" t="s">
        <v>686</v>
      </c>
      <c r="D137" s="27">
        <v>601</v>
      </c>
      <c r="E137" s="27">
        <v>601</v>
      </c>
      <c r="H137" s="26" t="s">
        <v>696</v>
      </c>
      <c r="M137" s="25" t="s">
        <v>982</v>
      </c>
      <c r="N137" s="25" t="s">
        <v>695</v>
      </c>
      <c r="O137" s="25" t="s">
        <v>694</v>
      </c>
      <c r="P137" s="25" t="s">
        <v>693</v>
      </c>
      <c r="R137" s="25" t="s">
        <v>692</v>
      </c>
      <c r="S137" s="25" t="s">
        <v>691</v>
      </c>
      <c r="U137" s="26">
        <v>0</v>
      </c>
      <c r="V137" s="25" t="s">
        <v>849</v>
      </c>
    </row>
    <row r="138" spans="1:22">
      <c r="A138" s="25" t="s">
        <v>697</v>
      </c>
      <c r="B138" s="25" t="s">
        <v>40</v>
      </c>
      <c r="C138" s="25" t="s">
        <v>686</v>
      </c>
      <c r="D138" s="27">
        <v>603</v>
      </c>
      <c r="E138" s="27">
        <v>603</v>
      </c>
      <c r="H138" s="26" t="s">
        <v>696</v>
      </c>
      <c r="M138" s="25" t="s">
        <v>983</v>
      </c>
      <c r="N138" s="25" t="s">
        <v>695</v>
      </c>
      <c r="O138" s="25" t="s">
        <v>694</v>
      </c>
      <c r="P138" s="25" t="s">
        <v>693</v>
      </c>
      <c r="R138" s="25" t="s">
        <v>692</v>
      </c>
      <c r="S138" s="25" t="s">
        <v>691</v>
      </c>
      <c r="U138" s="26">
        <v>0</v>
      </c>
      <c r="V138" s="25" t="s">
        <v>849</v>
      </c>
    </row>
    <row r="139" spans="1:22">
      <c r="A139" s="25" t="s">
        <v>697</v>
      </c>
      <c r="B139" s="25" t="s">
        <v>40</v>
      </c>
      <c r="C139" s="25" t="s">
        <v>687</v>
      </c>
      <c r="D139" s="27">
        <v>101</v>
      </c>
      <c r="E139" s="27">
        <v>101</v>
      </c>
      <c r="H139" s="26" t="s">
        <v>696</v>
      </c>
      <c r="M139" s="25" t="s">
        <v>984</v>
      </c>
      <c r="N139" s="25" t="s">
        <v>695</v>
      </c>
      <c r="O139" s="25" t="s">
        <v>694</v>
      </c>
      <c r="P139" s="25" t="s">
        <v>693</v>
      </c>
      <c r="R139" s="25" t="s">
        <v>692</v>
      </c>
      <c r="S139" s="25" t="s">
        <v>691</v>
      </c>
      <c r="U139" s="26">
        <v>0</v>
      </c>
      <c r="V139" s="25" t="s">
        <v>849</v>
      </c>
    </row>
    <row r="140" spans="1:22">
      <c r="A140" s="25" t="s">
        <v>697</v>
      </c>
      <c r="B140" s="25" t="s">
        <v>40</v>
      </c>
      <c r="C140" s="25" t="s">
        <v>687</v>
      </c>
      <c r="D140" s="27">
        <v>102</v>
      </c>
      <c r="E140" s="27">
        <v>102</v>
      </c>
      <c r="H140" s="26" t="s">
        <v>696</v>
      </c>
      <c r="M140" s="25" t="s">
        <v>985</v>
      </c>
      <c r="N140" s="25" t="s">
        <v>695</v>
      </c>
      <c r="O140" s="25" t="s">
        <v>694</v>
      </c>
      <c r="P140" s="25" t="s">
        <v>693</v>
      </c>
      <c r="R140" s="25" t="s">
        <v>692</v>
      </c>
      <c r="S140" s="25" t="s">
        <v>691</v>
      </c>
      <c r="U140" s="26">
        <v>0</v>
      </c>
      <c r="V140" s="25" t="s">
        <v>849</v>
      </c>
    </row>
    <row r="141" spans="1:22">
      <c r="A141" s="25" t="s">
        <v>697</v>
      </c>
      <c r="B141" s="25" t="s">
        <v>40</v>
      </c>
      <c r="C141" s="25" t="s">
        <v>687</v>
      </c>
      <c r="D141" s="27">
        <v>103</v>
      </c>
      <c r="E141" s="27">
        <v>103</v>
      </c>
      <c r="H141" s="26" t="s">
        <v>696</v>
      </c>
      <c r="M141" s="25" t="s">
        <v>986</v>
      </c>
      <c r="N141" s="25" t="s">
        <v>695</v>
      </c>
      <c r="O141" s="25" t="s">
        <v>694</v>
      </c>
      <c r="P141" s="25" t="s">
        <v>693</v>
      </c>
      <c r="R141" s="25" t="s">
        <v>692</v>
      </c>
      <c r="S141" s="25" t="s">
        <v>691</v>
      </c>
      <c r="U141" s="26">
        <v>0</v>
      </c>
      <c r="V141" s="25" t="s">
        <v>849</v>
      </c>
    </row>
    <row r="142" spans="1:22">
      <c r="A142" s="25" t="s">
        <v>697</v>
      </c>
      <c r="B142" s="25" t="s">
        <v>40</v>
      </c>
      <c r="C142" s="25" t="s">
        <v>687</v>
      </c>
      <c r="D142" s="27">
        <v>601</v>
      </c>
      <c r="E142" s="27">
        <v>601</v>
      </c>
      <c r="H142" s="26" t="s">
        <v>696</v>
      </c>
      <c r="M142" s="25" t="s">
        <v>987</v>
      </c>
      <c r="N142" s="25" t="s">
        <v>695</v>
      </c>
      <c r="O142" s="25" t="s">
        <v>694</v>
      </c>
      <c r="P142" s="25" t="s">
        <v>693</v>
      </c>
      <c r="R142" s="25" t="s">
        <v>692</v>
      </c>
      <c r="S142" s="25" t="s">
        <v>691</v>
      </c>
      <c r="U142" s="26">
        <v>0</v>
      </c>
      <c r="V142" s="25" t="s">
        <v>849</v>
      </c>
    </row>
    <row r="143" spans="1:22">
      <c r="A143" s="25" t="s">
        <v>697</v>
      </c>
      <c r="B143" s="25" t="s">
        <v>40</v>
      </c>
      <c r="C143" s="25" t="s">
        <v>687</v>
      </c>
      <c r="D143" s="27">
        <v>603</v>
      </c>
      <c r="E143" s="27">
        <v>603</v>
      </c>
      <c r="H143" s="26" t="s">
        <v>696</v>
      </c>
      <c r="M143" s="25" t="s">
        <v>988</v>
      </c>
      <c r="N143" s="25" t="s">
        <v>695</v>
      </c>
      <c r="O143" s="25" t="s">
        <v>694</v>
      </c>
      <c r="P143" s="25" t="s">
        <v>693</v>
      </c>
      <c r="R143" s="25" t="s">
        <v>692</v>
      </c>
      <c r="S143" s="25" t="s">
        <v>691</v>
      </c>
      <c r="U143" s="26">
        <v>0</v>
      </c>
      <c r="V143" s="25" t="s">
        <v>849</v>
      </c>
    </row>
    <row r="144" spans="1:22">
      <c r="A144" s="25" t="s">
        <v>697</v>
      </c>
      <c r="B144" s="25" t="s">
        <v>39</v>
      </c>
      <c r="C144" s="25" t="s">
        <v>686</v>
      </c>
      <c r="D144" s="27">
        <v>101</v>
      </c>
      <c r="E144" s="27">
        <v>101</v>
      </c>
      <c r="H144" s="26" t="s">
        <v>696</v>
      </c>
      <c r="M144" s="25" t="s">
        <v>989</v>
      </c>
      <c r="N144" s="25" t="s">
        <v>695</v>
      </c>
      <c r="O144" s="25" t="s">
        <v>694</v>
      </c>
      <c r="P144" s="25" t="s">
        <v>693</v>
      </c>
      <c r="R144" s="25" t="s">
        <v>692</v>
      </c>
      <c r="S144" s="25" t="s">
        <v>691</v>
      </c>
      <c r="U144" s="26">
        <v>0</v>
      </c>
      <c r="V144" s="25" t="s">
        <v>849</v>
      </c>
    </row>
    <row r="145" spans="1:22">
      <c r="A145" s="25" t="s">
        <v>697</v>
      </c>
      <c r="B145" s="25" t="s">
        <v>39</v>
      </c>
      <c r="C145" s="25" t="s">
        <v>686</v>
      </c>
      <c r="D145" s="27">
        <v>102</v>
      </c>
      <c r="E145" s="27">
        <v>102</v>
      </c>
      <c r="H145" s="26" t="s">
        <v>696</v>
      </c>
      <c r="M145" s="25" t="s">
        <v>990</v>
      </c>
      <c r="N145" s="25" t="s">
        <v>695</v>
      </c>
      <c r="O145" s="25" t="s">
        <v>694</v>
      </c>
      <c r="P145" s="25" t="s">
        <v>693</v>
      </c>
      <c r="R145" s="25" t="s">
        <v>692</v>
      </c>
      <c r="S145" s="25" t="s">
        <v>691</v>
      </c>
      <c r="U145" s="26">
        <v>0</v>
      </c>
      <c r="V145" s="25" t="s">
        <v>849</v>
      </c>
    </row>
    <row r="146" spans="1:22">
      <c r="A146" s="25" t="s">
        <v>697</v>
      </c>
      <c r="B146" s="25" t="s">
        <v>39</v>
      </c>
      <c r="C146" s="25" t="s">
        <v>686</v>
      </c>
      <c r="D146" s="27">
        <v>103</v>
      </c>
      <c r="E146" s="27">
        <v>103</v>
      </c>
      <c r="H146" s="26" t="s">
        <v>696</v>
      </c>
      <c r="M146" s="25" t="s">
        <v>991</v>
      </c>
      <c r="N146" s="25" t="s">
        <v>695</v>
      </c>
      <c r="O146" s="25" t="s">
        <v>694</v>
      </c>
      <c r="P146" s="25" t="s">
        <v>693</v>
      </c>
      <c r="R146" s="25" t="s">
        <v>692</v>
      </c>
      <c r="S146" s="25" t="s">
        <v>691</v>
      </c>
      <c r="U146" s="26">
        <v>0</v>
      </c>
      <c r="V146" s="25" t="s">
        <v>849</v>
      </c>
    </row>
    <row r="147" spans="1:22">
      <c r="A147" s="25" t="s">
        <v>697</v>
      </c>
      <c r="B147" s="25" t="s">
        <v>39</v>
      </c>
      <c r="C147" s="25" t="s">
        <v>686</v>
      </c>
      <c r="D147" s="27">
        <v>601</v>
      </c>
      <c r="E147" s="27">
        <v>601</v>
      </c>
      <c r="H147" s="26" t="s">
        <v>696</v>
      </c>
      <c r="M147" s="25" t="s">
        <v>992</v>
      </c>
      <c r="N147" s="25" t="s">
        <v>695</v>
      </c>
      <c r="O147" s="25" t="s">
        <v>694</v>
      </c>
      <c r="P147" s="25" t="s">
        <v>693</v>
      </c>
      <c r="R147" s="25" t="s">
        <v>692</v>
      </c>
      <c r="S147" s="25" t="s">
        <v>691</v>
      </c>
      <c r="U147" s="26">
        <v>0</v>
      </c>
      <c r="V147" s="25" t="s">
        <v>849</v>
      </c>
    </row>
    <row r="148" spans="1:22">
      <c r="A148" s="25" t="s">
        <v>697</v>
      </c>
      <c r="B148" s="25" t="s">
        <v>39</v>
      </c>
      <c r="C148" s="25" t="s">
        <v>686</v>
      </c>
      <c r="D148" s="27">
        <v>603</v>
      </c>
      <c r="E148" s="27">
        <v>603</v>
      </c>
      <c r="H148" s="26" t="s">
        <v>696</v>
      </c>
      <c r="M148" s="25" t="s">
        <v>993</v>
      </c>
      <c r="N148" s="25" t="s">
        <v>695</v>
      </c>
      <c r="O148" s="25" t="s">
        <v>694</v>
      </c>
      <c r="P148" s="25" t="s">
        <v>693</v>
      </c>
      <c r="R148" s="25" t="s">
        <v>692</v>
      </c>
      <c r="S148" s="25" t="s">
        <v>691</v>
      </c>
      <c r="U148" s="26">
        <v>0</v>
      </c>
      <c r="V148" s="25" t="s">
        <v>849</v>
      </c>
    </row>
    <row r="149" spans="1:22">
      <c r="A149" s="25" t="s">
        <v>697</v>
      </c>
      <c r="B149" s="25" t="s">
        <v>39</v>
      </c>
      <c r="C149" s="25" t="s">
        <v>687</v>
      </c>
      <c r="D149" s="27">
        <v>101</v>
      </c>
      <c r="E149" s="27">
        <v>101</v>
      </c>
      <c r="H149" s="26" t="s">
        <v>696</v>
      </c>
      <c r="M149" s="25" t="s">
        <v>994</v>
      </c>
      <c r="N149" s="25" t="s">
        <v>695</v>
      </c>
      <c r="O149" s="25" t="s">
        <v>694</v>
      </c>
      <c r="P149" s="25" t="s">
        <v>693</v>
      </c>
      <c r="R149" s="25" t="s">
        <v>692</v>
      </c>
      <c r="S149" s="25" t="s">
        <v>691</v>
      </c>
      <c r="U149" s="26">
        <v>0</v>
      </c>
      <c r="V149" s="25" t="s">
        <v>849</v>
      </c>
    </row>
    <row r="150" spans="1:22">
      <c r="A150" s="25" t="s">
        <v>697</v>
      </c>
      <c r="B150" s="25" t="s">
        <v>39</v>
      </c>
      <c r="C150" s="25" t="s">
        <v>687</v>
      </c>
      <c r="D150" s="27">
        <v>102</v>
      </c>
      <c r="E150" s="27">
        <v>102</v>
      </c>
      <c r="H150" s="26" t="s">
        <v>696</v>
      </c>
      <c r="M150" s="25" t="s">
        <v>995</v>
      </c>
      <c r="N150" s="25" t="s">
        <v>695</v>
      </c>
      <c r="O150" s="25" t="s">
        <v>694</v>
      </c>
      <c r="P150" s="25" t="s">
        <v>693</v>
      </c>
      <c r="R150" s="25" t="s">
        <v>692</v>
      </c>
      <c r="S150" s="25" t="s">
        <v>691</v>
      </c>
      <c r="U150" s="26">
        <v>0</v>
      </c>
      <c r="V150" s="25" t="s">
        <v>849</v>
      </c>
    </row>
    <row r="151" spans="1:22">
      <c r="A151" s="25" t="s">
        <v>697</v>
      </c>
      <c r="B151" s="25" t="s">
        <v>39</v>
      </c>
      <c r="C151" s="25" t="s">
        <v>687</v>
      </c>
      <c r="D151" s="27">
        <v>103</v>
      </c>
      <c r="E151" s="27">
        <v>103</v>
      </c>
      <c r="H151" s="26" t="s">
        <v>696</v>
      </c>
      <c r="M151" s="25" t="s">
        <v>996</v>
      </c>
      <c r="N151" s="25" t="s">
        <v>695</v>
      </c>
      <c r="O151" s="25" t="s">
        <v>694</v>
      </c>
      <c r="P151" s="25" t="s">
        <v>693</v>
      </c>
      <c r="R151" s="25" t="s">
        <v>692</v>
      </c>
      <c r="S151" s="25" t="s">
        <v>691</v>
      </c>
      <c r="U151" s="26">
        <v>0</v>
      </c>
      <c r="V151" s="25" t="s">
        <v>849</v>
      </c>
    </row>
    <row r="152" spans="1:22">
      <c r="A152" s="25" t="s">
        <v>697</v>
      </c>
      <c r="B152" s="25" t="s">
        <v>39</v>
      </c>
      <c r="C152" s="25" t="s">
        <v>687</v>
      </c>
      <c r="D152" s="27">
        <v>601</v>
      </c>
      <c r="E152" s="27">
        <v>601</v>
      </c>
      <c r="H152" s="26" t="s">
        <v>696</v>
      </c>
      <c r="M152" s="25" t="s">
        <v>997</v>
      </c>
      <c r="N152" s="25" t="s">
        <v>695</v>
      </c>
      <c r="O152" s="25" t="s">
        <v>694</v>
      </c>
      <c r="P152" s="25" t="s">
        <v>693</v>
      </c>
      <c r="R152" s="25" t="s">
        <v>692</v>
      </c>
      <c r="S152" s="25" t="s">
        <v>691</v>
      </c>
      <c r="U152" s="26">
        <v>0</v>
      </c>
      <c r="V152" s="25" t="s">
        <v>849</v>
      </c>
    </row>
    <row r="153" spans="1:22">
      <c r="A153" s="25" t="s">
        <v>697</v>
      </c>
      <c r="B153" s="25" t="s">
        <v>39</v>
      </c>
      <c r="C153" s="25" t="s">
        <v>687</v>
      </c>
      <c r="D153" s="27">
        <v>603</v>
      </c>
      <c r="E153" s="27">
        <v>603</v>
      </c>
      <c r="H153" s="26" t="s">
        <v>696</v>
      </c>
      <c r="M153" s="25" t="s">
        <v>998</v>
      </c>
      <c r="N153" s="25" t="s">
        <v>695</v>
      </c>
      <c r="O153" s="25" t="s">
        <v>694</v>
      </c>
      <c r="P153" s="25" t="s">
        <v>693</v>
      </c>
      <c r="R153" s="25" t="s">
        <v>692</v>
      </c>
      <c r="S153" s="25" t="s">
        <v>691</v>
      </c>
      <c r="U153" s="26">
        <v>0</v>
      </c>
      <c r="V153" s="25" t="s">
        <v>849</v>
      </c>
    </row>
  </sheetData>
  <autoFilter ref="U1:U343" xr:uid="{00000000-0009-0000-0000-000000000000}"/>
  <phoneticPr fontId="12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643"/>
  <sheetViews>
    <sheetView topLeftCell="U1" zoomScale="85" zoomScaleNormal="85" workbookViewId="0">
      <selection activeCell="D13" sqref="D13"/>
    </sheetView>
  </sheetViews>
  <sheetFormatPr defaultColWidth="21" defaultRowHeight="13.5"/>
  <cols>
    <col min="1" max="6" width="21" style="1" customWidth="1"/>
    <col min="7" max="7" width="21" style="1"/>
    <col min="8" max="12" width="21" style="1" customWidth="1"/>
    <col min="13" max="13" width="21" style="1"/>
    <col min="14" max="16" width="21" style="1" customWidth="1"/>
    <col min="17" max="17" width="21" style="1"/>
    <col min="18" max="33" width="21" style="1" customWidth="1"/>
    <col min="34" max="16384" width="21" style="1"/>
  </cols>
  <sheetData>
    <row r="1" spans="1:33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21" t="s">
        <v>5</v>
      </c>
      <c r="G1" s="21" t="s">
        <v>6</v>
      </c>
      <c r="H1" s="21" t="s">
        <v>7</v>
      </c>
      <c r="I1" s="22" t="s">
        <v>8</v>
      </c>
      <c r="J1" s="21" t="s">
        <v>9</v>
      </c>
      <c r="K1" s="21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21" t="s">
        <v>15</v>
      </c>
      <c r="Q1" s="16" t="s">
        <v>16</v>
      </c>
      <c r="R1" s="17" t="s">
        <v>17</v>
      </c>
      <c r="S1" s="17" t="s">
        <v>18</v>
      </c>
      <c r="T1" s="17" t="s">
        <v>19</v>
      </c>
      <c r="U1" s="21" t="s">
        <v>20</v>
      </c>
      <c r="V1" s="16" t="s">
        <v>21</v>
      </c>
      <c r="W1" s="16" t="s">
        <v>22</v>
      </c>
      <c r="X1" s="21" t="s">
        <v>23</v>
      </c>
      <c r="Y1" s="16" t="s">
        <v>24</v>
      </c>
      <c r="Z1" s="16" t="s">
        <v>25</v>
      </c>
      <c r="AA1" s="23" t="s">
        <v>26</v>
      </c>
      <c r="AB1" s="16" t="s">
        <v>27</v>
      </c>
      <c r="AC1" s="21" t="s">
        <v>28</v>
      </c>
      <c r="AD1" s="21" t="s">
        <v>29</v>
      </c>
      <c r="AE1" s="16" t="s">
        <v>30</v>
      </c>
      <c r="AF1" s="16" t="s">
        <v>31</v>
      </c>
      <c r="AG1" s="16" t="s">
        <v>32</v>
      </c>
    </row>
    <row r="2" spans="1:33" ht="17.25" customHeight="1">
      <c r="A2" s="4" t="str">
        <f>TEXT(ROW(A1),"000")</f>
        <v>001</v>
      </c>
      <c r="B2" s="5" t="s">
        <v>33</v>
      </c>
      <c r="C2" s="6" t="s">
        <v>38</v>
      </c>
      <c r="D2" s="15" t="s">
        <v>686</v>
      </c>
      <c r="E2" s="6">
        <v>101</v>
      </c>
      <c r="F2" s="4"/>
      <c r="G2" s="6">
        <v>101</v>
      </c>
      <c r="H2" s="4"/>
      <c r="I2" s="9"/>
      <c r="J2" s="4"/>
      <c r="K2" s="4"/>
      <c r="L2" s="10"/>
      <c r="M2" s="10" t="s">
        <v>46</v>
      </c>
      <c r="N2" s="10"/>
      <c r="O2" s="4"/>
      <c r="P2" s="4"/>
      <c r="Q2" s="18" t="s">
        <v>35</v>
      </c>
      <c r="R2" s="12"/>
      <c r="S2" s="4"/>
      <c r="T2" s="10"/>
      <c r="U2" s="4"/>
      <c r="V2" s="4"/>
      <c r="W2" s="13"/>
      <c r="X2" s="13"/>
      <c r="Y2" s="24"/>
      <c r="Z2" s="24"/>
      <c r="AA2" s="11"/>
      <c r="AB2" s="24"/>
      <c r="AC2" s="24"/>
      <c r="AD2" s="24"/>
      <c r="AE2" s="4"/>
      <c r="AF2" s="4"/>
      <c r="AG2" s="4"/>
    </row>
    <row r="3" spans="1:33" ht="15">
      <c r="A3" s="4" t="str">
        <f t="shared" ref="A3:A66" si="0">TEXT(ROW(A2),"000")</f>
        <v>002</v>
      </c>
      <c r="B3" s="1" t="s">
        <v>33</v>
      </c>
      <c r="C3" s="6" t="s">
        <v>38</v>
      </c>
      <c r="D3" s="15" t="s">
        <v>686</v>
      </c>
      <c r="E3" s="6">
        <v>102</v>
      </c>
      <c r="F3" s="4"/>
      <c r="G3" s="6">
        <v>102</v>
      </c>
      <c r="H3" s="4"/>
      <c r="I3" s="9"/>
      <c r="J3" s="4"/>
      <c r="K3" s="4"/>
      <c r="L3" s="10"/>
      <c r="M3" s="10" t="s">
        <v>46</v>
      </c>
      <c r="N3" s="10"/>
      <c r="O3" s="4"/>
      <c r="P3" s="4"/>
      <c r="Q3" s="18" t="s">
        <v>47</v>
      </c>
    </row>
    <row r="4" spans="1:33" ht="15">
      <c r="A4" s="4" t="str">
        <f t="shared" si="0"/>
        <v>003</v>
      </c>
      <c r="B4" s="1" t="s">
        <v>33</v>
      </c>
      <c r="C4" s="6" t="s">
        <v>38</v>
      </c>
      <c r="D4" s="15" t="s">
        <v>686</v>
      </c>
      <c r="E4" s="6">
        <v>103</v>
      </c>
      <c r="F4" s="4"/>
      <c r="G4" s="6">
        <v>103</v>
      </c>
      <c r="H4" s="4"/>
      <c r="I4" s="9"/>
      <c r="J4" s="4"/>
      <c r="K4" s="4"/>
      <c r="L4" s="10"/>
      <c r="M4" s="10" t="s">
        <v>46</v>
      </c>
      <c r="N4" s="10"/>
      <c r="O4" s="4"/>
      <c r="P4" s="4"/>
      <c r="Q4" s="18" t="s">
        <v>48</v>
      </c>
    </row>
    <row r="5" spans="1:33" ht="15">
      <c r="A5" s="4" t="str">
        <f t="shared" si="0"/>
        <v>004</v>
      </c>
      <c r="B5" s="1" t="s">
        <v>33</v>
      </c>
      <c r="C5" s="6" t="s">
        <v>38</v>
      </c>
      <c r="D5" s="15" t="s">
        <v>686</v>
      </c>
      <c r="E5" s="6">
        <v>104</v>
      </c>
      <c r="F5" s="4"/>
      <c r="G5" s="6">
        <v>104</v>
      </c>
      <c r="H5" s="4"/>
      <c r="I5" s="9"/>
      <c r="J5" s="4"/>
      <c r="K5" s="4"/>
      <c r="L5" s="10"/>
      <c r="M5" s="10" t="s">
        <v>46</v>
      </c>
      <c r="N5" s="10"/>
      <c r="O5" s="4"/>
      <c r="P5" s="4"/>
      <c r="Q5" s="18" t="s">
        <v>49</v>
      </c>
    </row>
    <row r="6" spans="1:33" ht="15">
      <c r="A6" s="4" t="str">
        <f t="shared" si="0"/>
        <v>005</v>
      </c>
      <c r="B6" s="1" t="s">
        <v>33</v>
      </c>
      <c r="C6" s="6" t="s">
        <v>38</v>
      </c>
      <c r="D6" s="15" t="s">
        <v>686</v>
      </c>
      <c r="E6" s="6">
        <v>201</v>
      </c>
      <c r="F6" s="4"/>
      <c r="G6" s="6">
        <v>201</v>
      </c>
      <c r="H6" s="4"/>
      <c r="I6" s="9"/>
      <c r="J6" s="4"/>
      <c r="K6" s="4"/>
      <c r="L6" s="10"/>
      <c r="M6" s="10" t="s">
        <v>46</v>
      </c>
      <c r="N6" s="10"/>
      <c r="O6" s="4"/>
      <c r="P6" s="4"/>
      <c r="Q6" s="18" t="s">
        <v>50</v>
      </c>
    </row>
    <row r="7" spans="1:33" ht="15">
      <c r="A7" s="4" t="str">
        <f t="shared" si="0"/>
        <v>006</v>
      </c>
      <c r="B7" s="1" t="s">
        <v>33</v>
      </c>
      <c r="C7" s="6" t="s">
        <v>38</v>
      </c>
      <c r="D7" s="15" t="s">
        <v>686</v>
      </c>
      <c r="E7" s="6">
        <v>202</v>
      </c>
      <c r="F7" s="4"/>
      <c r="G7" s="6">
        <v>202</v>
      </c>
      <c r="H7" s="4"/>
      <c r="I7" s="9"/>
      <c r="J7" s="4"/>
      <c r="K7" s="4"/>
      <c r="L7" s="10"/>
      <c r="M7" s="10" t="s">
        <v>46</v>
      </c>
      <c r="N7" s="10"/>
      <c r="O7" s="4"/>
      <c r="P7" s="4"/>
      <c r="Q7" s="18" t="s">
        <v>51</v>
      </c>
    </row>
    <row r="8" spans="1:33" ht="15">
      <c r="A8" s="4" t="str">
        <f t="shared" si="0"/>
        <v>007</v>
      </c>
      <c r="B8" s="1" t="s">
        <v>33</v>
      </c>
      <c r="C8" s="6" t="s">
        <v>38</v>
      </c>
      <c r="D8" s="15" t="s">
        <v>686</v>
      </c>
      <c r="E8" s="6">
        <v>203</v>
      </c>
      <c r="F8" s="4"/>
      <c r="G8" s="6">
        <v>203</v>
      </c>
      <c r="H8" s="4"/>
      <c r="I8" s="9"/>
      <c r="J8" s="4"/>
      <c r="K8" s="4"/>
      <c r="L8" s="10"/>
      <c r="M8" s="10" t="s">
        <v>46</v>
      </c>
      <c r="N8" s="10"/>
      <c r="O8" s="4"/>
      <c r="P8" s="4"/>
      <c r="Q8" s="18" t="s">
        <v>52</v>
      </c>
    </row>
    <row r="9" spans="1:33" ht="15">
      <c r="A9" s="4" t="str">
        <f t="shared" si="0"/>
        <v>008</v>
      </c>
      <c r="B9" s="1" t="s">
        <v>33</v>
      </c>
      <c r="C9" s="6" t="s">
        <v>38</v>
      </c>
      <c r="D9" s="15" t="s">
        <v>686</v>
      </c>
      <c r="E9" s="6">
        <v>204</v>
      </c>
      <c r="F9" s="4"/>
      <c r="G9" s="6">
        <v>204</v>
      </c>
      <c r="H9" s="4"/>
      <c r="I9" s="9"/>
      <c r="J9" s="4"/>
      <c r="K9" s="4"/>
      <c r="L9" s="10"/>
      <c r="M9" s="10" t="s">
        <v>46</v>
      </c>
      <c r="N9" s="10"/>
      <c r="O9" s="4"/>
      <c r="P9" s="4"/>
      <c r="Q9" s="18" t="s">
        <v>53</v>
      </c>
    </row>
    <row r="10" spans="1:33" ht="15">
      <c r="A10" s="4" t="str">
        <f t="shared" si="0"/>
        <v>009</v>
      </c>
      <c r="B10" s="1" t="s">
        <v>33</v>
      </c>
      <c r="C10" s="6" t="s">
        <v>38</v>
      </c>
      <c r="D10" s="15" t="s">
        <v>686</v>
      </c>
      <c r="E10" s="6">
        <v>301</v>
      </c>
      <c r="F10" s="4"/>
      <c r="G10" s="6">
        <v>301</v>
      </c>
      <c r="H10" s="4"/>
      <c r="I10" s="9"/>
      <c r="J10" s="4"/>
      <c r="K10" s="4"/>
      <c r="L10" s="10"/>
      <c r="M10" s="10" t="s">
        <v>46</v>
      </c>
      <c r="N10" s="10"/>
      <c r="O10" s="4"/>
      <c r="P10" s="4"/>
      <c r="Q10" s="18" t="s">
        <v>54</v>
      </c>
    </row>
    <row r="11" spans="1:33" ht="15">
      <c r="A11" s="4" t="str">
        <f t="shared" si="0"/>
        <v>010</v>
      </c>
      <c r="B11" s="1" t="s">
        <v>33</v>
      </c>
      <c r="C11" s="6" t="s">
        <v>38</v>
      </c>
      <c r="D11" s="15" t="s">
        <v>686</v>
      </c>
      <c r="E11" s="6">
        <v>302</v>
      </c>
      <c r="F11" s="4"/>
      <c r="G11" s="6">
        <v>302</v>
      </c>
      <c r="H11" s="4"/>
      <c r="I11" s="9"/>
      <c r="J11" s="4"/>
      <c r="K11" s="4"/>
      <c r="L11" s="10"/>
      <c r="M11" s="10" t="s">
        <v>46</v>
      </c>
      <c r="N11" s="10"/>
      <c r="O11" s="4"/>
      <c r="P11" s="4"/>
      <c r="Q11" s="18" t="s">
        <v>55</v>
      </c>
    </row>
    <row r="12" spans="1:33" ht="15">
      <c r="A12" s="4" t="str">
        <f t="shared" si="0"/>
        <v>011</v>
      </c>
      <c r="B12" s="1" t="s">
        <v>33</v>
      </c>
      <c r="C12" s="6" t="s">
        <v>38</v>
      </c>
      <c r="D12" s="15" t="s">
        <v>686</v>
      </c>
      <c r="E12" s="6">
        <v>303</v>
      </c>
      <c r="F12" s="4"/>
      <c r="G12" s="6">
        <v>303</v>
      </c>
      <c r="H12" s="4"/>
      <c r="I12" s="9"/>
      <c r="J12" s="4"/>
      <c r="K12" s="4"/>
      <c r="L12" s="10"/>
      <c r="M12" s="10" t="s">
        <v>46</v>
      </c>
      <c r="N12" s="10"/>
      <c r="O12" s="4"/>
      <c r="P12" s="4"/>
      <c r="Q12" s="18" t="s">
        <v>56</v>
      </c>
    </row>
    <row r="13" spans="1:33" ht="15">
      <c r="A13" s="4" t="str">
        <f t="shared" si="0"/>
        <v>012</v>
      </c>
      <c r="B13" s="1" t="s">
        <v>33</v>
      </c>
      <c r="C13" s="6" t="s">
        <v>38</v>
      </c>
      <c r="D13" s="15" t="s">
        <v>686</v>
      </c>
      <c r="E13" s="6">
        <v>304</v>
      </c>
      <c r="F13" s="4"/>
      <c r="G13" s="6">
        <v>304</v>
      </c>
      <c r="H13" s="4"/>
      <c r="I13" s="9"/>
      <c r="J13" s="4"/>
      <c r="K13" s="4"/>
      <c r="L13" s="10"/>
      <c r="M13" s="10" t="s">
        <v>46</v>
      </c>
      <c r="N13" s="10"/>
      <c r="O13" s="4"/>
      <c r="P13" s="4"/>
      <c r="Q13" s="18" t="s">
        <v>57</v>
      </c>
    </row>
    <row r="14" spans="1:33" ht="15">
      <c r="A14" s="4" t="str">
        <f t="shared" si="0"/>
        <v>013</v>
      </c>
      <c r="B14" s="1" t="s">
        <v>33</v>
      </c>
      <c r="C14" s="6" t="s">
        <v>38</v>
      </c>
      <c r="D14" s="15" t="s">
        <v>686</v>
      </c>
      <c r="E14" s="6">
        <v>401</v>
      </c>
      <c r="F14" s="4"/>
      <c r="G14" s="6">
        <v>401</v>
      </c>
      <c r="H14" s="4"/>
      <c r="I14" s="9"/>
      <c r="J14" s="4"/>
      <c r="K14" s="4"/>
      <c r="L14" s="10"/>
      <c r="M14" s="10" t="s">
        <v>46</v>
      </c>
      <c r="N14" s="10"/>
      <c r="O14" s="4"/>
      <c r="P14" s="4"/>
      <c r="Q14" s="18" t="s">
        <v>58</v>
      </c>
    </row>
    <row r="15" spans="1:33" ht="15">
      <c r="A15" s="4" t="str">
        <f t="shared" si="0"/>
        <v>014</v>
      </c>
      <c r="B15" s="1" t="s">
        <v>33</v>
      </c>
      <c r="C15" s="6" t="s">
        <v>38</v>
      </c>
      <c r="D15" s="15" t="s">
        <v>686</v>
      </c>
      <c r="E15" s="6">
        <v>402</v>
      </c>
      <c r="F15" s="4"/>
      <c r="G15" s="6">
        <v>402</v>
      </c>
      <c r="H15" s="4"/>
      <c r="I15" s="9"/>
      <c r="J15" s="4"/>
      <c r="K15" s="4"/>
      <c r="L15" s="10"/>
      <c r="M15" s="10" t="s">
        <v>46</v>
      </c>
      <c r="N15" s="10"/>
      <c r="O15" s="4"/>
      <c r="P15" s="4"/>
      <c r="Q15" s="18" t="s">
        <v>59</v>
      </c>
    </row>
    <row r="16" spans="1:33" ht="15">
      <c r="A16" s="4" t="str">
        <f t="shared" si="0"/>
        <v>015</v>
      </c>
      <c r="B16" s="1" t="s">
        <v>33</v>
      </c>
      <c r="C16" s="6" t="s">
        <v>38</v>
      </c>
      <c r="D16" s="15" t="s">
        <v>686</v>
      </c>
      <c r="E16" s="6">
        <v>403</v>
      </c>
      <c r="F16" s="4"/>
      <c r="G16" s="6">
        <v>403</v>
      </c>
      <c r="H16" s="4"/>
      <c r="I16" s="9"/>
      <c r="J16" s="4"/>
      <c r="K16" s="4"/>
      <c r="L16" s="10"/>
      <c r="M16" s="10" t="s">
        <v>46</v>
      </c>
      <c r="N16" s="10"/>
      <c r="O16" s="4"/>
      <c r="P16" s="4"/>
      <c r="Q16" s="18" t="s">
        <v>60</v>
      </c>
    </row>
    <row r="17" spans="1:17" ht="15">
      <c r="A17" s="4" t="str">
        <f t="shared" si="0"/>
        <v>016</v>
      </c>
      <c r="B17" s="1" t="s">
        <v>33</v>
      </c>
      <c r="C17" s="6" t="s">
        <v>38</v>
      </c>
      <c r="D17" s="15" t="s">
        <v>686</v>
      </c>
      <c r="E17" s="6">
        <v>404</v>
      </c>
      <c r="F17" s="4"/>
      <c r="G17" s="6">
        <v>404</v>
      </c>
      <c r="H17" s="4"/>
      <c r="I17" s="9"/>
      <c r="J17" s="4"/>
      <c r="K17" s="4"/>
      <c r="L17" s="10"/>
      <c r="M17" s="10" t="s">
        <v>46</v>
      </c>
      <c r="N17" s="10"/>
      <c r="O17" s="4"/>
      <c r="P17" s="4"/>
      <c r="Q17" s="18" t="s">
        <v>61</v>
      </c>
    </row>
    <row r="18" spans="1:17" ht="15">
      <c r="A18" s="4" t="str">
        <f t="shared" si="0"/>
        <v>017</v>
      </c>
      <c r="B18" s="1" t="s">
        <v>33</v>
      </c>
      <c r="C18" s="6" t="s">
        <v>38</v>
      </c>
      <c r="D18" s="15" t="s">
        <v>686</v>
      </c>
      <c r="E18" s="6">
        <v>501</v>
      </c>
      <c r="F18" s="4"/>
      <c r="G18" s="6">
        <v>501</v>
      </c>
      <c r="H18" s="4"/>
      <c r="I18" s="9"/>
      <c r="J18" s="4"/>
      <c r="K18" s="4"/>
      <c r="L18" s="10"/>
      <c r="M18" s="10" t="s">
        <v>46</v>
      </c>
      <c r="N18" s="10"/>
      <c r="O18" s="4"/>
      <c r="P18" s="4"/>
      <c r="Q18" s="18" t="s">
        <v>137</v>
      </c>
    </row>
    <row r="19" spans="1:17" ht="15">
      <c r="A19" s="4" t="str">
        <f t="shared" si="0"/>
        <v>018</v>
      </c>
      <c r="B19" s="1" t="s">
        <v>33</v>
      </c>
      <c r="C19" s="6" t="s">
        <v>38</v>
      </c>
      <c r="D19" s="15" t="s">
        <v>686</v>
      </c>
      <c r="E19" s="6">
        <v>502</v>
      </c>
      <c r="F19" s="4"/>
      <c r="G19" s="6">
        <v>502</v>
      </c>
      <c r="H19" s="4"/>
      <c r="I19" s="9"/>
      <c r="J19" s="4"/>
      <c r="K19" s="4"/>
      <c r="L19" s="10"/>
      <c r="M19" s="10" t="s">
        <v>46</v>
      </c>
      <c r="N19" s="10"/>
      <c r="O19" s="4"/>
      <c r="P19" s="4"/>
      <c r="Q19" s="18" t="s">
        <v>138</v>
      </c>
    </row>
    <row r="20" spans="1:17" ht="15">
      <c r="A20" s="4" t="str">
        <f t="shared" si="0"/>
        <v>019</v>
      </c>
      <c r="B20" s="1" t="s">
        <v>33</v>
      </c>
      <c r="C20" s="6" t="s">
        <v>38</v>
      </c>
      <c r="D20" s="15" t="s">
        <v>686</v>
      </c>
      <c r="E20" s="6">
        <v>503</v>
      </c>
      <c r="F20" s="4"/>
      <c r="G20" s="6">
        <v>503</v>
      </c>
      <c r="H20" s="4"/>
      <c r="I20" s="9"/>
      <c r="J20" s="4"/>
      <c r="K20" s="4"/>
      <c r="L20" s="10"/>
      <c r="M20" s="10" t="s">
        <v>46</v>
      </c>
      <c r="N20" s="10"/>
      <c r="O20" s="4"/>
      <c r="P20" s="4"/>
      <c r="Q20" s="18" t="s">
        <v>139</v>
      </c>
    </row>
    <row r="21" spans="1:17" ht="15">
      <c r="A21" s="4" t="str">
        <f t="shared" si="0"/>
        <v>020</v>
      </c>
      <c r="B21" s="1" t="s">
        <v>33</v>
      </c>
      <c r="C21" s="6" t="s">
        <v>38</v>
      </c>
      <c r="D21" s="15" t="s">
        <v>686</v>
      </c>
      <c r="E21" s="6">
        <v>504</v>
      </c>
      <c r="F21" s="4"/>
      <c r="G21" s="6">
        <v>504</v>
      </c>
      <c r="H21" s="4"/>
      <c r="I21" s="9"/>
      <c r="J21" s="4"/>
      <c r="K21" s="4"/>
      <c r="L21" s="10"/>
      <c r="M21" s="10" t="s">
        <v>46</v>
      </c>
      <c r="N21" s="10"/>
      <c r="O21" s="4"/>
      <c r="P21" s="4"/>
      <c r="Q21" s="18" t="s">
        <v>140</v>
      </c>
    </row>
    <row r="22" spans="1:17" ht="15">
      <c r="A22" s="4" t="str">
        <f t="shared" si="0"/>
        <v>021</v>
      </c>
      <c r="B22" s="1" t="s">
        <v>33</v>
      </c>
      <c r="C22" s="6" t="s">
        <v>38</v>
      </c>
      <c r="D22" s="15" t="s">
        <v>686</v>
      </c>
      <c r="E22" s="6">
        <v>601</v>
      </c>
      <c r="F22" s="4"/>
      <c r="G22" s="6">
        <v>601</v>
      </c>
      <c r="H22" s="4"/>
      <c r="I22" s="9"/>
      <c r="J22" s="4"/>
      <c r="K22" s="4"/>
      <c r="L22" s="10"/>
      <c r="M22" s="10" t="s">
        <v>46</v>
      </c>
      <c r="N22" s="10"/>
      <c r="O22" s="4"/>
      <c r="P22" s="4"/>
      <c r="Q22" s="18" t="s">
        <v>141</v>
      </c>
    </row>
    <row r="23" spans="1:17" ht="15">
      <c r="A23" s="4" t="str">
        <f t="shared" si="0"/>
        <v>022</v>
      </c>
      <c r="B23" s="1" t="s">
        <v>33</v>
      </c>
      <c r="C23" s="6" t="s">
        <v>38</v>
      </c>
      <c r="D23" s="15" t="s">
        <v>686</v>
      </c>
      <c r="E23" s="6">
        <v>602</v>
      </c>
      <c r="F23" s="4"/>
      <c r="G23" s="6">
        <v>602</v>
      </c>
      <c r="H23" s="4"/>
      <c r="I23" s="9"/>
      <c r="J23" s="4"/>
      <c r="K23" s="4"/>
      <c r="L23" s="10"/>
      <c r="M23" s="10" t="s">
        <v>46</v>
      </c>
      <c r="N23" s="10"/>
      <c r="O23" s="4"/>
      <c r="P23" s="4"/>
      <c r="Q23" s="18" t="s">
        <v>142</v>
      </c>
    </row>
    <row r="24" spans="1:17" ht="15">
      <c r="A24" s="4" t="str">
        <f t="shared" si="0"/>
        <v>023</v>
      </c>
      <c r="B24" s="1" t="s">
        <v>33</v>
      </c>
      <c r="C24" s="6" t="s">
        <v>38</v>
      </c>
      <c r="D24" s="15" t="s">
        <v>686</v>
      </c>
      <c r="E24" s="6">
        <v>603</v>
      </c>
      <c r="F24" s="4"/>
      <c r="G24" s="6">
        <v>603</v>
      </c>
      <c r="H24" s="4"/>
      <c r="I24" s="9"/>
      <c r="J24" s="4"/>
      <c r="K24" s="4"/>
      <c r="L24" s="10"/>
      <c r="M24" s="10" t="s">
        <v>46</v>
      </c>
      <c r="N24" s="10"/>
      <c r="O24" s="4"/>
      <c r="P24" s="4"/>
      <c r="Q24" s="18" t="s">
        <v>143</v>
      </c>
    </row>
    <row r="25" spans="1:17" ht="15">
      <c r="A25" s="4" t="str">
        <f t="shared" si="0"/>
        <v>024</v>
      </c>
      <c r="B25" s="1" t="s">
        <v>33</v>
      </c>
      <c r="C25" s="6" t="s">
        <v>38</v>
      </c>
      <c r="D25" s="15" t="s">
        <v>686</v>
      </c>
      <c r="E25" s="6">
        <v>604</v>
      </c>
      <c r="F25" s="4"/>
      <c r="G25" s="6">
        <v>604</v>
      </c>
      <c r="H25" s="4"/>
      <c r="I25" s="9"/>
      <c r="J25" s="4"/>
      <c r="K25" s="4"/>
      <c r="L25" s="10"/>
      <c r="M25" s="10" t="s">
        <v>46</v>
      </c>
      <c r="N25" s="10"/>
      <c r="O25" s="4"/>
      <c r="P25" s="4"/>
      <c r="Q25" s="18" t="s">
        <v>144</v>
      </c>
    </row>
    <row r="26" spans="1:17" ht="15">
      <c r="A26" s="4" t="str">
        <f t="shared" si="0"/>
        <v>025</v>
      </c>
      <c r="B26" s="1" t="s">
        <v>33</v>
      </c>
      <c r="C26" s="6" t="s">
        <v>38</v>
      </c>
      <c r="D26" s="15" t="s">
        <v>687</v>
      </c>
      <c r="E26" s="6">
        <v>101</v>
      </c>
      <c r="F26" s="4"/>
      <c r="G26" s="6">
        <v>101</v>
      </c>
      <c r="H26" s="4"/>
      <c r="I26" s="9"/>
      <c r="J26" s="4"/>
      <c r="K26" s="4"/>
      <c r="L26" s="10"/>
      <c r="M26" s="10" t="s">
        <v>46</v>
      </c>
      <c r="N26" s="10"/>
      <c r="O26" s="4"/>
      <c r="P26" s="4"/>
      <c r="Q26" s="18" t="s">
        <v>145</v>
      </c>
    </row>
    <row r="27" spans="1:17" ht="15">
      <c r="A27" s="4" t="str">
        <f t="shared" si="0"/>
        <v>026</v>
      </c>
      <c r="B27" s="1" t="s">
        <v>33</v>
      </c>
      <c r="C27" s="6" t="s">
        <v>38</v>
      </c>
      <c r="D27" s="15" t="s">
        <v>687</v>
      </c>
      <c r="E27" s="6">
        <v>102</v>
      </c>
      <c r="F27" s="4"/>
      <c r="G27" s="6">
        <v>102</v>
      </c>
      <c r="H27" s="4"/>
      <c r="I27" s="9"/>
      <c r="J27" s="4"/>
      <c r="K27" s="4"/>
      <c r="L27" s="10"/>
      <c r="M27" s="10" t="s">
        <v>46</v>
      </c>
      <c r="N27" s="10"/>
      <c r="O27" s="4"/>
      <c r="P27" s="4"/>
      <c r="Q27" s="18" t="s">
        <v>146</v>
      </c>
    </row>
    <row r="28" spans="1:17" ht="15">
      <c r="A28" s="4" t="str">
        <f t="shared" si="0"/>
        <v>027</v>
      </c>
      <c r="B28" s="1" t="s">
        <v>33</v>
      </c>
      <c r="C28" s="6" t="s">
        <v>38</v>
      </c>
      <c r="D28" s="15" t="s">
        <v>687</v>
      </c>
      <c r="E28" s="6">
        <v>103</v>
      </c>
      <c r="F28" s="4"/>
      <c r="G28" s="6">
        <v>103</v>
      </c>
      <c r="H28" s="4"/>
      <c r="I28" s="9"/>
      <c r="J28" s="4"/>
      <c r="K28" s="4"/>
      <c r="L28" s="10"/>
      <c r="M28" s="10" t="s">
        <v>46</v>
      </c>
      <c r="N28" s="10"/>
      <c r="O28" s="4"/>
      <c r="P28" s="4"/>
      <c r="Q28" s="18" t="s">
        <v>147</v>
      </c>
    </row>
    <row r="29" spans="1:17" ht="15">
      <c r="A29" s="4" t="str">
        <f t="shared" si="0"/>
        <v>028</v>
      </c>
      <c r="B29" s="1" t="s">
        <v>33</v>
      </c>
      <c r="C29" s="6" t="s">
        <v>38</v>
      </c>
      <c r="D29" s="15" t="s">
        <v>687</v>
      </c>
      <c r="E29" s="6">
        <v>104</v>
      </c>
      <c r="F29" s="4"/>
      <c r="G29" s="6">
        <v>104</v>
      </c>
      <c r="H29" s="4"/>
      <c r="I29" s="9"/>
      <c r="J29" s="4"/>
      <c r="K29" s="4"/>
      <c r="L29" s="10"/>
      <c r="M29" s="10" t="s">
        <v>46</v>
      </c>
      <c r="N29" s="10"/>
      <c r="O29" s="4"/>
      <c r="P29" s="4"/>
      <c r="Q29" s="18" t="s">
        <v>148</v>
      </c>
    </row>
    <row r="30" spans="1:17" ht="15">
      <c r="A30" s="4" t="str">
        <f t="shared" si="0"/>
        <v>029</v>
      </c>
      <c r="B30" s="1" t="s">
        <v>33</v>
      </c>
      <c r="C30" s="6" t="s">
        <v>38</v>
      </c>
      <c r="D30" s="15" t="s">
        <v>687</v>
      </c>
      <c r="E30" s="6">
        <v>201</v>
      </c>
      <c r="F30" s="4"/>
      <c r="G30" s="6">
        <v>201</v>
      </c>
      <c r="H30" s="4"/>
      <c r="I30" s="9"/>
      <c r="J30" s="4"/>
      <c r="K30" s="4"/>
      <c r="L30" s="10"/>
      <c r="M30" s="10" t="s">
        <v>46</v>
      </c>
      <c r="N30" s="10"/>
      <c r="O30" s="4"/>
      <c r="P30" s="4"/>
      <c r="Q30" s="18" t="s">
        <v>149</v>
      </c>
    </row>
    <row r="31" spans="1:17" ht="15">
      <c r="A31" s="4" t="str">
        <f t="shared" si="0"/>
        <v>030</v>
      </c>
      <c r="B31" s="1" t="s">
        <v>33</v>
      </c>
      <c r="C31" s="6" t="s">
        <v>38</v>
      </c>
      <c r="D31" s="15" t="s">
        <v>687</v>
      </c>
      <c r="E31" s="6">
        <v>202</v>
      </c>
      <c r="F31" s="4"/>
      <c r="G31" s="6">
        <v>202</v>
      </c>
      <c r="H31" s="4"/>
      <c r="I31" s="9"/>
      <c r="J31" s="4"/>
      <c r="K31" s="4"/>
      <c r="L31" s="10"/>
      <c r="M31" s="10" t="s">
        <v>46</v>
      </c>
      <c r="N31" s="10"/>
      <c r="O31" s="4"/>
      <c r="P31" s="4"/>
      <c r="Q31" s="18" t="s">
        <v>150</v>
      </c>
    </row>
    <row r="32" spans="1:17" ht="15">
      <c r="A32" s="4" t="str">
        <f t="shared" si="0"/>
        <v>031</v>
      </c>
      <c r="B32" s="1" t="s">
        <v>33</v>
      </c>
      <c r="C32" s="6" t="s">
        <v>38</v>
      </c>
      <c r="D32" s="15" t="s">
        <v>687</v>
      </c>
      <c r="E32" s="6">
        <v>203</v>
      </c>
      <c r="F32" s="4"/>
      <c r="G32" s="6">
        <v>203</v>
      </c>
      <c r="H32" s="4"/>
      <c r="I32" s="9"/>
      <c r="J32" s="4"/>
      <c r="K32" s="4"/>
      <c r="L32" s="10"/>
      <c r="M32" s="10" t="s">
        <v>46</v>
      </c>
      <c r="N32" s="10"/>
      <c r="O32" s="4"/>
      <c r="P32" s="4"/>
      <c r="Q32" s="18" t="s">
        <v>151</v>
      </c>
    </row>
    <row r="33" spans="1:17" ht="15">
      <c r="A33" s="4" t="str">
        <f t="shared" si="0"/>
        <v>032</v>
      </c>
      <c r="B33" s="1" t="s">
        <v>33</v>
      </c>
      <c r="C33" s="6" t="s">
        <v>38</v>
      </c>
      <c r="D33" s="15" t="s">
        <v>687</v>
      </c>
      <c r="E33" s="6">
        <v>204</v>
      </c>
      <c r="F33" s="4"/>
      <c r="G33" s="6">
        <v>204</v>
      </c>
      <c r="H33" s="4"/>
      <c r="I33" s="9"/>
      <c r="J33" s="4"/>
      <c r="K33" s="4"/>
      <c r="L33" s="10"/>
      <c r="M33" s="10" t="s">
        <v>46</v>
      </c>
      <c r="N33" s="10"/>
      <c r="O33" s="4"/>
      <c r="P33" s="4"/>
      <c r="Q33" s="18" t="s">
        <v>152</v>
      </c>
    </row>
    <row r="34" spans="1:17" ht="15">
      <c r="A34" s="4" t="str">
        <f t="shared" si="0"/>
        <v>033</v>
      </c>
      <c r="B34" s="1" t="s">
        <v>33</v>
      </c>
      <c r="C34" s="6" t="s">
        <v>38</v>
      </c>
      <c r="D34" s="15" t="s">
        <v>687</v>
      </c>
      <c r="E34" s="6">
        <v>301</v>
      </c>
      <c r="F34" s="4"/>
      <c r="G34" s="6">
        <v>301</v>
      </c>
      <c r="H34" s="4"/>
      <c r="I34" s="9"/>
      <c r="J34" s="4"/>
      <c r="K34" s="4"/>
      <c r="L34" s="10"/>
      <c r="M34" s="10" t="s">
        <v>46</v>
      </c>
      <c r="N34" s="10"/>
      <c r="O34" s="4"/>
      <c r="P34" s="4"/>
      <c r="Q34" s="18" t="s">
        <v>349</v>
      </c>
    </row>
    <row r="35" spans="1:17" ht="15">
      <c r="A35" s="4" t="str">
        <f t="shared" si="0"/>
        <v>034</v>
      </c>
      <c r="B35" s="1" t="s">
        <v>33</v>
      </c>
      <c r="C35" s="6" t="s">
        <v>38</v>
      </c>
      <c r="D35" s="15" t="s">
        <v>687</v>
      </c>
      <c r="E35" s="6">
        <v>302</v>
      </c>
      <c r="F35" s="4"/>
      <c r="G35" s="6">
        <v>302</v>
      </c>
      <c r="H35" s="4"/>
      <c r="I35" s="9"/>
      <c r="J35" s="4"/>
      <c r="K35" s="4"/>
      <c r="L35" s="10"/>
      <c r="M35" s="10" t="s">
        <v>46</v>
      </c>
      <c r="N35" s="10"/>
      <c r="O35" s="4"/>
      <c r="P35" s="4"/>
      <c r="Q35" s="18" t="s">
        <v>118</v>
      </c>
    </row>
    <row r="36" spans="1:17" ht="15">
      <c r="A36" s="4" t="str">
        <f t="shared" si="0"/>
        <v>035</v>
      </c>
      <c r="B36" s="1" t="s">
        <v>33</v>
      </c>
      <c r="C36" s="6" t="s">
        <v>38</v>
      </c>
      <c r="D36" s="15" t="s">
        <v>687</v>
      </c>
      <c r="E36" s="6">
        <v>303</v>
      </c>
      <c r="F36" s="4"/>
      <c r="G36" s="6">
        <v>303</v>
      </c>
      <c r="H36" s="4"/>
      <c r="I36" s="9"/>
      <c r="J36" s="4"/>
      <c r="K36" s="4"/>
      <c r="L36" s="10"/>
      <c r="M36" s="10" t="s">
        <v>46</v>
      </c>
      <c r="N36" s="10"/>
      <c r="O36" s="4"/>
      <c r="P36" s="4"/>
      <c r="Q36" s="18" t="s">
        <v>119</v>
      </c>
    </row>
    <row r="37" spans="1:17" ht="15">
      <c r="A37" s="4" t="str">
        <f t="shared" si="0"/>
        <v>036</v>
      </c>
      <c r="B37" s="1" t="s">
        <v>33</v>
      </c>
      <c r="C37" s="6" t="s">
        <v>38</v>
      </c>
      <c r="D37" s="15" t="s">
        <v>687</v>
      </c>
      <c r="E37" s="6">
        <v>304</v>
      </c>
      <c r="F37" s="4"/>
      <c r="G37" s="6">
        <v>304</v>
      </c>
      <c r="H37" s="4"/>
      <c r="I37" s="9"/>
      <c r="J37" s="4"/>
      <c r="K37" s="4"/>
      <c r="L37" s="10"/>
      <c r="M37" s="10" t="s">
        <v>46</v>
      </c>
      <c r="N37" s="10"/>
      <c r="O37" s="4"/>
      <c r="P37" s="4"/>
      <c r="Q37" s="18" t="s">
        <v>120</v>
      </c>
    </row>
    <row r="38" spans="1:17" ht="15">
      <c r="A38" s="4" t="str">
        <f t="shared" si="0"/>
        <v>037</v>
      </c>
      <c r="B38" s="1" t="s">
        <v>33</v>
      </c>
      <c r="C38" s="6" t="s">
        <v>38</v>
      </c>
      <c r="D38" s="15" t="s">
        <v>687</v>
      </c>
      <c r="E38" s="6">
        <v>401</v>
      </c>
      <c r="F38" s="4"/>
      <c r="G38" s="6">
        <v>401</v>
      </c>
      <c r="H38" s="4"/>
      <c r="I38" s="9"/>
      <c r="J38" s="4"/>
      <c r="K38" s="4"/>
      <c r="L38" s="10"/>
      <c r="M38" s="10" t="s">
        <v>46</v>
      </c>
      <c r="N38" s="10"/>
      <c r="O38" s="4"/>
      <c r="P38" s="4"/>
      <c r="Q38" s="18" t="s">
        <v>121</v>
      </c>
    </row>
    <row r="39" spans="1:17" ht="15">
      <c r="A39" s="4" t="str">
        <f t="shared" si="0"/>
        <v>038</v>
      </c>
      <c r="B39" s="1" t="s">
        <v>33</v>
      </c>
      <c r="C39" s="6" t="s">
        <v>38</v>
      </c>
      <c r="D39" s="15" t="s">
        <v>687</v>
      </c>
      <c r="E39" s="6">
        <v>402</v>
      </c>
      <c r="F39" s="4"/>
      <c r="G39" s="6">
        <v>402</v>
      </c>
      <c r="H39" s="4"/>
      <c r="I39" s="9"/>
      <c r="J39" s="4"/>
      <c r="K39" s="4"/>
      <c r="L39" s="10"/>
      <c r="M39" s="10" t="s">
        <v>46</v>
      </c>
      <c r="N39" s="10"/>
      <c r="O39" s="4"/>
      <c r="P39" s="4"/>
      <c r="Q39" s="18" t="s">
        <v>122</v>
      </c>
    </row>
    <row r="40" spans="1:17" ht="15">
      <c r="A40" s="4" t="str">
        <f t="shared" si="0"/>
        <v>039</v>
      </c>
      <c r="B40" s="1" t="s">
        <v>33</v>
      </c>
      <c r="C40" s="6" t="s">
        <v>38</v>
      </c>
      <c r="D40" s="15" t="s">
        <v>687</v>
      </c>
      <c r="E40" s="6">
        <v>403</v>
      </c>
      <c r="F40" s="4"/>
      <c r="G40" s="6">
        <v>403</v>
      </c>
      <c r="H40" s="4"/>
      <c r="I40" s="9"/>
      <c r="J40" s="4"/>
      <c r="K40" s="4"/>
      <c r="L40" s="10"/>
      <c r="M40" s="10" t="s">
        <v>46</v>
      </c>
      <c r="N40" s="10"/>
      <c r="O40" s="4"/>
      <c r="P40" s="4"/>
      <c r="Q40" s="18" t="s">
        <v>123</v>
      </c>
    </row>
    <row r="41" spans="1:17" ht="15">
      <c r="A41" s="4" t="str">
        <f t="shared" si="0"/>
        <v>040</v>
      </c>
      <c r="B41" s="1" t="s">
        <v>33</v>
      </c>
      <c r="C41" s="6" t="s">
        <v>38</v>
      </c>
      <c r="D41" s="15" t="s">
        <v>687</v>
      </c>
      <c r="E41" s="6">
        <v>404</v>
      </c>
      <c r="F41" s="4"/>
      <c r="G41" s="6">
        <v>404</v>
      </c>
      <c r="H41" s="4"/>
      <c r="I41" s="9"/>
      <c r="J41" s="4"/>
      <c r="K41" s="4"/>
      <c r="L41" s="10"/>
      <c r="M41" s="10" t="s">
        <v>46</v>
      </c>
      <c r="N41" s="10"/>
      <c r="O41" s="4"/>
      <c r="P41" s="4"/>
      <c r="Q41" s="18" t="s">
        <v>124</v>
      </c>
    </row>
    <row r="42" spans="1:17" ht="15">
      <c r="A42" s="4" t="str">
        <f t="shared" si="0"/>
        <v>041</v>
      </c>
      <c r="B42" s="1" t="s">
        <v>33</v>
      </c>
      <c r="C42" s="6" t="s">
        <v>38</v>
      </c>
      <c r="D42" s="15" t="s">
        <v>687</v>
      </c>
      <c r="E42" s="6">
        <v>501</v>
      </c>
      <c r="F42" s="4"/>
      <c r="G42" s="6">
        <v>501</v>
      </c>
      <c r="H42" s="4"/>
      <c r="I42" s="9"/>
      <c r="J42" s="4"/>
      <c r="K42" s="4"/>
      <c r="L42" s="10"/>
      <c r="M42" s="10" t="s">
        <v>46</v>
      </c>
      <c r="N42" s="10"/>
      <c r="O42" s="4"/>
      <c r="P42" s="4"/>
      <c r="Q42" s="18" t="s">
        <v>125</v>
      </c>
    </row>
    <row r="43" spans="1:17" ht="15">
      <c r="A43" s="4" t="str">
        <f t="shared" si="0"/>
        <v>042</v>
      </c>
      <c r="B43" s="1" t="s">
        <v>33</v>
      </c>
      <c r="C43" s="6" t="s">
        <v>38</v>
      </c>
      <c r="D43" s="15" t="s">
        <v>687</v>
      </c>
      <c r="E43" s="6">
        <v>502</v>
      </c>
      <c r="F43" s="4"/>
      <c r="G43" s="6">
        <v>502</v>
      </c>
      <c r="H43" s="4"/>
      <c r="I43" s="9"/>
      <c r="J43" s="4"/>
      <c r="K43" s="4"/>
      <c r="L43" s="10"/>
      <c r="M43" s="10" t="s">
        <v>46</v>
      </c>
      <c r="N43" s="10"/>
      <c r="O43" s="4"/>
      <c r="P43" s="4"/>
      <c r="Q43" s="18" t="s">
        <v>126</v>
      </c>
    </row>
    <row r="44" spans="1:17" ht="15">
      <c r="A44" s="4" t="str">
        <f t="shared" si="0"/>
        <v>043</v>
      </c>
      <c r="B44" s="1" t="s">
        <v>33</v>
      </c>
      <c r="C44" s="6" t="s">
        <v>38</v>
      </c>
      <c r="D44" s="15" t="s">
        <v>687</v>
      </c>
      <c r="E44" s="6">
        <v>503</v>
      </c>
      <c r="F44" s="4"/>
      <c r="G44" s="6">
        <v>503</v>
      </c>
      <c r="H44" s="4"/>
      <c r="I44" s="9"/>
      <c r="J44" s="4"/>
      <c r="K44" s="4"/>
      <c r="L44" s="10"/>
      <c r="M44" s="10" t="s">
        <v>46</v>
      </c>
      <c r="N44" s="10"/>
      <c r="O44" s="4"/>
      <c r="P44" s="4"/>
      <c r="Q44" s="18" t="s">
        <v>127</v>
      </c>
    </row>
    <row r="45" spans="1:17" ht="15">
      <c r="A45" s="4" t="str">
        <f t="shared" si="0"/>
        <v>044</v>
      </c>
      <c r="B45" s="1" t="s">
        <v>33</v>
      </c>
      <c r="C45" s="6" t="s">
        <v>38</v>
      </c>
      <c r="D45" s="15" t="s">
        <v>687</v>
      </c>
      <c r="E45" s="6">
        <v>504</v>
      </c>
      <c r="F45" s="4"/>
      <c r="G45" s="6">
        <v>504</v>
      </c>
      <c r="H45" s="4"/>
      <c r="I45" s="9"/>
      <c r="J45" s="4"/>
      <c r="K45" s="4"/>
      <c r="L45" s="10"/>
      <c r="M45" s="10" t="s">
        <v>46</v>
      </c>
      <c r="N45" s="10"/>
      <c r="O45" s="4"/>
      <c r="P45" s="4"/>
      <c r="Q45" s="18" t="s">
        <v>128</v>
      </c>
    </row>
    <row r="46" spans="1:17" ht="15">
      <c r="A46" s="4" t="str">
        <f t="shared" si="0"/>
        <v>045</v>
      </c>
      <c r="B46" s="1" t="s">
        <v>33</v>
      </c>
      <c r="C46" s="6" t="s">
        <v>38</v>
      </c>
      <c r="D46" s="15" t="s">
        <v>687</v>
      </c>
      <c r="E46" s="6">
        <v>601</v>
      </c>
      <c r="F46" s="4"/>
      <c r="G46" s="6">
        <v>601</v>
      </c>
      <c r="H46" s="4"/>
      <c r="I46" s="9"/>
      <c r="J46" s="4"/>
      <c r="K46" s="4"/>
      <c r="L46" s="10"/>
      <c r="M46" s="10" t="s">
        <v>46</v>
      </c>
      <c r="N46" s="10"/>
      <c r="O46" s="4"/>
      <c r="P46" s="4"/>
      <c r="Q46" s="18" t="s">
        <v>129</v>
      </c>
    </row>
    <row r="47" spans="1:17" ht="15">
      <c r="A47" s="4" t="str">
        <f t="shared" si="0"/>
        <v>046</v>
      </c>
      <c r="B47" s="1" t="s">
        <v>33</v>
      </c>
      <c r="C47" s="6" t="s">
        <v>38</v>
      </c>
      <c r="D47" s="15" t="s">
        <v>687</v>
      </c>
      <c r="E47" s="6">
        <v>602</v>
      </c>
      <c r="F47" s="4"/>
      <c r="G47" s="6">
        <v>602</v>
      </c>
      <c r="H47" s="4"/>
      <c r="I47" s="9"/>
      <c r="J47" s="4"/>
      <c r="K47" s="4"/>
      <c r="L47" s="10"/>
      <c r="M47" s="10" t="s">
        <v>46</v>
      </c>
      <c r="N47" s="10"/>
      <c r="O47" s="4"/>
      <c r="P47" s="4"/>
      <c r="Q47" s="18" t="s">
        <v>130</v>
      </c>
    </row>
    <row r="48" spans="1:17" ht="15">
      <c r="A48" s="4" t="str">
        <f t="shared" si="0"/>
        <v>047</v>
      </c>
      <c r="B48" s="1" t="s">
        <v>33</v>
      </c>
      <c r="C48" s="6" t="s">
        <v>38</v>
      </c>
      <c r="D48" s="15" t="s">
        <v>687</v>
      </c>
      <c r="E48" s="6">
        <v>603</v>
      </c>
      <c r="F48" s="4"/>
      <c r="G48" s="6">
        <v>603</v>
      </c>
      <c r="H48" s="4"/>
      <c r="I48" s="9"/>
      <c r="J48" s="4"/>
      <c r="K48" s="4"/>
      <c r="L48" s="10"/>
      <c r="M48" s="10" t="s">
        <v>46</v>
      </c>
      <c r="N48" s="10"/>
      <c r="O48" s="4"/>
      <c r="P48" s="4"/>
      <c r="Q48" s="18" t="s">
        <v>131</v>
      </c>
    </row>
    <row r="49" spans="1:17" ht="15">
      <c r="A49" s="4" t="str">
        <f t="shared" si="0"/>
        <v>048</v>
      </c>
      <c r="B49" s="1" t="s">
        <v>33</v>
      </c>
      <c r="C49" s="6" t="s">
        <v>38</v>
      </c>
      <c r="D49" s="15" t="s">
        <v>687</v>
      </c>
      <c r="E49" s="6">
        <v>604</v>
      </c>
      <c r="F49" s="4"/>
      <c r="G49" s="6">
        <v>604</v>
      </c>
      <c r="H49" s="4"/>
      <c r="I49" s="9"/>
      <c r="J49" s="4"/>
      <c r="K49" s="4"/>
      <c r="L49" s="10"/>
      <c r="M49" s="10" t="s">
        <v>46</v>
      </c>
      <c r="N49" s="10"/>
      <c r="O49" s="4"/>
      <c r="P49" s="4"/>
      <c r="Q49" s="18" t="s">
        <v>132</v>
      </c>
    </row>
    <row r="50" spans="1:17" ht="15">
      <c r="A50" s="4" t="str">
        <f t="shared" si="0"/>
        <v>049</v>
      </c>
      <c r="B50" s="1" t="s">
        <v>33</v>
      </c>
      <c r="C50" s="6" t="s">
        <v>38</v>
      </c>
      <c r="D50" s="15" t="s">
        <v>688</v>
      </c>
      <c r="E50" s="6">
        <v>101</v>
      </c>
      <c r="F50" s="4"/>
      <c r="G50" s="6">
        <v>101</v>
      </c>
      <c r="H50" s="4"/>
      <c r="I50" s="9"/>
      <c r="J50" s="4"/>
      <c r="K50" s="4"/>
      <c r="L50" s="10"/>
      <c r="M50" s="10" t="s">
        <v>46</v>
      </c>
      <c r="N50" s="10"/>
      <c r="O50" s="4"/>
      <c r="P50" s="4"/>
      <c r="Q50" s="18" t="s">
        <v>133</v>
      </c>
    </row>
    <row r="51" spans="1:17" ht="15">
      <c r="A51" s="4" t="str">
        <f t="shared" si="0"/>
        <v>050</v>
      </c>
      <c r="B51" s="1" t="s">
        <v>33</v>
      </c>
      <c r="C51" s="6" t="s">
        <v>38</v>
      </c>
      <c r="D51" s="15" t="s">
        <v>688</v>
      </c>
      <c r="E51" s="6">
        <v>102</v>
      </c>
      <c r="F51" s="4"/>
      <c r="G51" s="6">
        <v>102</v>
      </c>
      <c r="H51" s="4"/>
      <c r="I51" s="9"/>
      <c r="J51" s="4"/>
      <c r="K51" s="4"/>
      <c r="L51" s="10"/>
      <c r="M51" s="10" t="s">
        <v>46</v>
      </c>
      <c r="N51" s="10"/>
      <c r="O51" s="4"/>
      <c r="P51" s="4"/>
      <c r="Q51" s="18" t="s">
        <v>134</v>
      </c>
    </row>
    <row r="52" spans="1:17" ht="15">
      <c r="A52" s="4" t="str">
        <f t="shared" si="0"/>
        <v>051</v>
      </c>
      <c r="B52" s="1" t="s">
        <v>33</v>
      </c>
      <c r="C52" s="6" t="s">
        <v>38</v>
      </c>
      <c r="D52" s="15" t="s">
        <v>688</v>
      </c>
      <c r="E52" s="6">
        <v>103</v>
      </c>
      <c r="F52" s="4"/>
      <c r="G52" s="6">
        <v>103</v>
      </c>
      <c r="H52" s="4"/>
      <c r="I52" s="9"/>
      <c r="J52" s="4"/>
      <c r="K52" s="4"/>
      <c r="L52" s="10"/>
      <c r="M52" s="10" t="s">
        <v>46</v>
      </c>
      <c r="N52" s="10"/>
      <c r="O52" s="4"/>
      <c r="P52" s="4"/>
      <c r="Q52" s="18" t="s">
        <v>135</v>
      </c>
    </row>
    <row r="53" spans="1:17" ht="15">
      <c r="A53" s="4" t="str">
        <f t="shared" si="0"/>
        <v>052</v>
      </c>
      <c r="B53" s="1" t="s">
        <v>33</v>
      </c>
      <c r="C53" s="6" t="s">
        <v>38</v>
      </c>
      <c r="D53" s="15" t="s">
        <v>688</v>
      </c>
      <c r="E53" s="6">
        <v>104</v>
      </c>
      <c r="F53" s="4"/>
      <c r="G53" s="6">
        <v>104</v>
      </c>
      <c r="H53" s="4"/>
      <c r="I53" s="9"/>
      <c r="J53" s="4"/>
      <c r="K53" s="4"/>
      <c r="L53" s="10"/>
      <c r="M53" s="10" t="s">
        <v>46</v>
      </c>
      <c r="N53" s="10"/>
      <c r="O53" s="4"/>
      <c r="P53" s="4"/>
      <c r="Q53" s="18" t="s">
        <v>136</v>
      </c>
    </row>
    <row r="54" spans="1:17" ht="15">
      <c r="A54" s="4" t="str">
        <f t="shared" si="0"/>
        <v>053</v>
      </c>
      <c r="B54" s="1" t="s">
        <v>33</v>
      </c>
      <c r="C54" s="6" t="s">
        <v>38</v>
      </c>
      <c r="D54" s="15" t="s">
        <v>688</v>
      </c>
      <c r="E54" s="6">
        <v>201</v>
      </c>
      <c r="F54" s="4"/>
      <c r="G54" s="6">
        <v>201</v>
      </c>
      <c r="H54" s="4"/>
      <c r="I54" s="9"/>
      <c r="J54" s="4"/>
      <c r="K54" s="4"/>
      <c r="L54" s="10"/>
      <c r="M54" s="10" t="s">
        <v>46</v>
      </c>
      <c r="N54" s="10"/>
      <c r="O54" s="4"/>
      <c r="P54" s="4"/>
      <c r="Q54" s="18" t="s">
        <v>62</v>
      </c>
    </row>
    <row r="55" spans="1:17" ht="15">
      <c r="A55" s="4" t="str">
        <f t="shared" si="0"/>
        <v>054</v>
      </c>
      <c r="B55" s="1" t="s">
        <v>33</v>
      </c>
      <c r="C55" s="6" t="s">
        <v>38</v>
      </c>
      <c r="D55" s="15" t="s">
        <v>688</v>
      </c>
      <c r="E55" s="6">
        <v>202</v>
      </c>
      <c r="F55" s="4"/>
      <c r="G55" s="6">
        <v>202</v>
      </c>
      <c r="H55" s="4"/>
      <c r="I55" s="9"/>
      <c r="J55" s="4"/>
      <c r="K55" s="4"/>
      <c r="L55" s="10"/>
      <c r="M55" s="10" t="s">
        <v>46</v>
      </c>
      <c r="N55" s="10"/>
      <c r="O55" s="4"/>
      <c r="P55" s="4"/>
      <c r="Q55" s="18" t="s">
        <v>63</v>
      </c>
    </row>
    <row r="56" spans="1:17" ht="15">
      <c r="A56" s="4" t="str">
        <f t="shared" si="0"/>
        <v>055</v>
      </c>
      <c r="B56" s="1" t="s">
        <v>33</v>
      </c>
      <c r="C56" s="6" t="s">
        <v>38</v>
      </c>
      <c r="D56" s="15" t="s">
        <v>688</v>
      </c>
      <c r="E56" s="6">
        <v>203</v>
      </c>
      <c r="F56" s="4"/>
      <c r="G56" s="6">
        <v>203</v>
      </c>
      <c r="H56" s="4"/>
      <c r="I56" s="9"/>
      <c r="J56" s="4"/>
      <c r="K56" s="4"/>
      <c r="L56" s="10"/>
      <c r="M56" s="10" t="s">
        <v>46</v>
      </c>
      <c r="N56" s="10"/>
      <c r="O56" s="4"/>
      <c r="P56" s="4"/>
      <c r="Q56" s="18" t="s">
        <v>64</v>
      </c>
    </row>
    <row r="57" spans="1:17" ht="15">
      <c r="A57" s="4" t="str">
        <f t="shared" si="0"/>
        <v>056</v>
      </c>
      <c r="B57" s="1" t="s">
        <v>33</v>
      </c>
      <c r="C57" s="6" t="s">
        <v>38</v>
      </c>
      <c r="D57" s="15" t="s">
        <v>688</v>
      </c>
      <c r="E57" s="6">
        <v>204</v>
      </c>
      <c r="F57" s="4"/>
      <c r="G57" s="6">
        <v>204</v>
      </c>
      <c r="H57" s="4"/>
      <c r="I57" s="9"/>
      <c r="J57" s="4"/>
      <c r="K57" s="4"/>
      <c r="L57" s="10"/>
      <c r="M57" s="10" t="s">
        <v>46</v>
      </c>
      <c r="N57" s="10"/>
      <c r="O57" s="4"/>
      <c r="P57" s="4"/>
      <c r="Q57" s="18" t="s">
        <v>65</v>
      </c>
    </row>
    <row r="58" spans="1:17" ht="15">
      <c r="A58" s="4" t="str">
        <f t="shared" si="0"/>
        <v>057</v>
      </c>
      <c r="B58" s="1" t="s">
        <v>33</v>
      </c>
      <c r="C58" s="6" t="s">
        <v>38</v>
      </c>
      <c r="D58" s="15" t="s">
        <v>688</v>
      </c>
      <c r="E58" s="6">
        <v>301</v>
      </c>
      <c r="F58" s="4"/>
      <c r="G58" s="6">
        <v>301</v>
      </c>
      <c r="H58" s="4"/>
      <c r="I58" s="9"/>
      <c r="J58" s="4"/>
      <c r="K58" s="4"/>
      <c r="L58" s="10"/>
      <c r="M58" s="10" t="s">
        <v>46</v>
      </c>
      <c r="N58" s="10"/>
      <c r="O58" s="4"/>
      <c r="P58" s="4"/>
      <c r="Q58" s="18" t="s">
        <v>66</v>
      </c>
    </row>
    <row r="59" spans="1:17" ht="15">
      <c r="A59" s="4" t="str">
        <f t="shared" si="0"/>
        <v>058</v>
      </c>
      <c r="B59" s="1" t="s">
        <v>33</v>
      </c>
      <c r="C59" s="6" t="s">
        <v>38</v>
      </c>
      <c r="D59" s="15" t="s">
        <v>688</v>
      </c>
      <c r="E59" s="6">
        <v>302</v>
      </c>
      <c r="F59" s="4"/>
      <c r="G59" s="6">
        <v>302</v>
      </c>
      <c r="H59" s="4"/>
      <c r="I59" s="9"/>
      <c r="J59" s="4"/>
      <c r="K59" s="4"/>
      <c r="L59" s="10"/>
      <c r="M59" s="10" t="s">
        <v>46</v>
      </c>
      <c r="N59" s="10"/>
      <c r="O59" s="4"/>
      <c r="P59" s="4"/>
      <c r="Q59" s="18" t="s">
        <v>67</v>
      </c>
    </row>
    <row r="60" spans="1:17" ht="15">
      <c r="A60" s="4" t="str">
        <f t="shared" si="0"/>
        <v>059</v>
      </c>
      <c r="B60" s="1" t="s">
        <v>33</v>
      </c>
      <c r="C60" s="6" t="s">
        <v>38</v>
      </c>
      <c r="D60" s="15" t="s">
        <v>688</v>
      </c>
      <c r="E60" s="6">
        <v>303</v>
      </c>
      <c r="F60" s="4"/>
      <c r="G60" s="6">
        <v>303</v>
      </c>
      <c r="H60" s="4"/>
      <c r="I60" s="9"/>
      <c r="J60" s="4"/>
      <c r="K60" s="4"/>
      <c r="L60" s="10"/>
      <c r="M60" s="10" t="s">
        <v>46</v>
      </c>
      <c r="N60" s="10"/>
      <c r="O60" s="4"/>
      <c r="P60" s="4"/>
      <c r="Q60" s="18" t="s">
        <v>68</v>
      </c>
    </row>
    <row r="61" spans="1:17" ht="15">
      <c r="A61" s="4" t="str">
        <f t="shared" si="0"/>
        <v>060</v>
      </c>
      <c r="B61" s="1" t="s">
        <v>33</v>
      </c>
      <c r="C61" s="6" t="s">
        <v>38</v>
      </c>
      <c r="D61" s="15" t="s">
        <v>688</v>
      </c>
      <c r="E61" s="6">
        <v>304</v>
      </c>
      <c r="F61" s="4"/>
      <c r="G61" s="6">
        <v>304</v>
      </c>
      <c r="H61" s="4"/>
      <c r="I61" s="9"/>
      <c r="J61" s="4"/>
      <c r="K61" s="4"/>
      <c r="L61" s="10"/>
      <c r="M61" s="10" t="s">
        <v>46</v>
      </c>
      <c r="N61" s="10"/>
      <c r="O61" s="4"/>
      <c r="P61" s="4"/>
      <c r="Q61" s="18" t="s">
        <v>69</v>
      </c>
    </row>
    <row r="62" spans="1:17" ht="15">
      <c r="A62" s="4" t="str">
        <f t="shared" si="0"/>
        <v>061</v>
      </c>
      <c r="B62" s="1" t="s">
        <v>33</v>
      </c>
      <c r="C62" s="6" t="s">
        <v>38</v>
      </c>
      <c r="D62" s="15" t="s">
        <v>688</v>
      </c>
      <c r="E62" s="6">
        <v>401</v>
      </c>
      <c r="F62" s="4"/>
      <c r="G62" s="6">
        <v>401</v>
      </c>
      <c r="H62" s="4"/>
      <c r="I62" s="9"/>
      <c r="J62" s="4"/>
      <c r="K62" s="4"/>
      <c r="L62" s="10"/>
      <c r="M62" s="10" t="s">
        <v>46</v>
      </c>
      <c r="N62" s="10"/>
      <c r="O62" s="4"/>
      <c r="P62" s="4"/>
      <c r="Q62" s="18" t="s">
        <v>70</v>
      </c>
    </row>
    <row r="63" spans="1:17" ht="15">
      <c r="A63" s="4" t="str">
        <f t="shared" si="0"/>
        <v>062</v>
      </c>
      <c r="B63" s="1" t="s">
        <v>33</v>
      </c>
      <c r="C63" s="6" t="s">
        <v>38</v>
      </c>
      <c r="D63" s="15" t="s">
        <v>688</v>
      </c>
      <c r="E63" s="6">
        <v>402</v>
      </c>
      <c r="F63" s="4"/>
      <c r="G63" s="6">
        <v>402</v>
      </c>
      <c r="H63" s="4"/>
      <c r="I63" s="9"/>
      <c r="J63" s="4"/>
      <c r="K63" s="4"/>
      <c r="L63" s="10"/>
      <c r="M63" s="10" t="s">
        <v>46</v>
      </c>
      <c r="N63" s="10"/>
      <c r="O63" s="4"/>
      <c r="P63" s="4"/>
      <c r="Q63" s="18" t="s">
        <v>71</v>
      </c>
    </row>
    <row r="64" spans="1:17" ht="15">
      <c r="A64" s="4" t="str">
        <f t="shared" si="0"/>
        <v>063</v>
      </c>
      <c r="B64" s="1" t="s">
        <v>33</v>
      </c>
      <c r="C64" s="6" t="s">
        <v>38</v>
      </c>
      <c r="D64" s="15" t="s">
        <v>688</v>
      </c>
      <c r="E64" s="6">
        <v>403</v>
      </c>
      <c r="F64" s="4"/>
      <c r="G64" s="6">
        <v>403</v>
      </c>
      <c r="H64" s="4"/>
      <c r="I64" s="9"/>
      <c r="J64" s="4"/>
      <c r="K64" s="4"/>
      <c r="L64" s="10"/>
      <c r="M64" s="10" t="s">
        <v>46</v>
      </c>
      <c r="N64" s="10"/>
      <c r="O64" s="4"/>
      <c r="P64" s="4"/>
      <c r="Q64" s="18" t="s">
        <v>72</v>
      </c>
    </row>
    <row r="65" spans="1:17" ht="15">
      <c r="A65" s="4" t="str">
        <f t="shared" si="0"/>
        <v>064</v>
      </c>
      <c r="B65" s="1" t="s">
        <v>33</v>
      </c>
      <c r="C65" s="6" t="s">
        <v>38</v>
      </c>
      <c r="D65" s="15" t="s">
        <v>688</v>
      </c>
      <c r="E65" s="6">
        <v>404</v>
      </c>
      <c r="F65" s="4"/>
      <c r="G65" s="6">
        <v>404</v>
      </c>
      <c r="H65" s="4"/>
      <c r="I65" s="9"/>
      <c r="J65" s="4"/>
      <c r="K65" s="4"/>
      <c r="L65" s="10"/>
      <c r="M65" s="10" t="s">
        <v>46</v>
      </c>
      <c r="N65" s="10"/>
      <c r="O65" s="4"/>
      <c r="P65" s="4"/>
      <c r="Q65" s="18" t="s">
        <v>73</v>
      </c>
    </row>
    <row r="66" spans="1:17" ht="15">
      <c r="A66" s="4" t="str">
        <f t="shared" si="0"/>
        <v>065</v>
      </c>
      <c r="B66" s="1" t="s">
        <v>33</v>
      </c>
      <c r="C66" s="6" t="s">
        <v>38</v>
      </c>
      <c r="D66" s="15" t="s">
        <v>688</v>
      </c>
      <c r="E66" s="6">
        <v>501</v>
      </c>
      <c r="F66" s="4"/>
      <c r="G66" s="6">
        <v>501</v>
      </c>
      <c r="H66" s="4"/>
      <c r="I66" s="9"/>
      <c r="J66" s="4"/>
      <c r="K66" s="4"/>
      <c r="L66" s="10"/>
      <c r="M66" s="10" t="s">
        <v>46</v>
      </c>
      <c r="N66" s="10"/>
      <c r="O66" s="4"/>
      <c r="P66" s="4"/>
      <c r="Q66" s="18" t="s">
        <v>74</v>
      </c>
    </row>
    <row r="67" spans="1:17" ht="15">
      <c r="A67" s="4" t="str">
        <f t="shared" ref="A67:A130" si="1">TEXT(ROW(A66),"000")</f>
        <v>066</v>
      </c>
      <c r="B67" s="1" t="s">
        <v>33</v>
      </c>
      <c r="C67" s="6" t="s">
        <v>38</v>
      </c>
      <c r="D67" s="15" t="s">
        <v>688</v>
      </c>
      <c r="E67" s="6">
        <v>502</v>
      </c>
      <c r="F67" s="4"/>
      <c r="G67" s="6">
        <v>502</v>
      </c>
      <c r="H67" s="4"/>
      <c r="I67" s="9"/>
      <c r="J67" s="4"/>
      <c r="K67" s="4"/>
      <c r="L67" s="10"/>
      <c r="M67" s="10" t="s">
        <v>46</v>
      </c>
      <c r="N67" s="10"/>
      <c r="O67" s="4"/>
      <c r="P67" s="4"/>
      <c r="Q67" s="18" t="s">
        <v>75</v>
      </c>
    </row>
    <row r="68" spans="1:17" ht="15">
      <c r="A68" s="4" t="str">
        <f t="shared" si="1"/>
        <v>067</v>
      </c>
      <c r="B68" s="1" t="s">
        <v>33</v>
      </c>
      <c r="C68" s="6" t="s">
        <v>38</v>
      </c>
      <c r="D68" s="15" t="s">
        <v>688</v>
      </c>
      <c r="E68" s="6">
        <v>503</v>
      </c>
      <c r="F68" s="4"/>
      <c r="G68" s="6">
        <v>503</v>
      </c>
      <c r="H68" s="4"/>
      <c r="I68" s="9"/>
      <c r="J68" s="4"/>
      <c r="K68" s="4"/>
      <c r="L68" s="10"/>
      <c r="M68" s="10" t="s">
        <v>46</v>
      </c>
      <c r="N68" s="10"/>
      <c r="O68" s="4"/>
      <c r="P68" s="4"/>
      <c r="Q68" s="18" t="s">
        <v>76</v>
      </c>
    </row>
    <row r="69" spans="1:17" ht="15">
      <c r="A69" s="4" t="str">
        <f t="shared" si="1"/>
        <v>068</v>
      </c>
      <c r="B69" s="1" t="s">
        <v>33</v>
      </c>
      <c r="C69" s="6" t="s">
        <v>38</v>
      </c>
      <c r="D69" s="15" t="s">
        <v>688</v>
      </c>
      <c r="E69" s="6">
        <v>504</v>
      </c>
      <c r="F69" s="4"/>
      <c r="G69" s="6">
        <v>504</v>
      </c>
      <c r="H69" s="4"/>
      <c r="I69" s="9"/>
      <c r="J69" s="4"/>
      <c r="K69" s="4"/>
      <c r="L69" s="10"/>
      <c r="M69" s="10" t="s">
        <v>46</v>
      </c>
      <c r="N69" s="10"/>
      <c r="O69" s="4"/>
      <c r="P69" s="4"/>
      <c r="Q69" s="18" t="s">
        <v>77</v>
      </c>
    </row>
    <row r="70" spans="1:17" ht="15">
      <c r="A70" s="4" t="str">
        <f t="shared" si="1"/>
        <v>069</v>
      </c>
      <c r="B70" s="1" t="s">
        <v>33</v>
      </c>
      <c r="C70" s="6" t="s">
        <v>38</v>
      </c>
      <c r="D70" s="15" t="s">
        <v>688</v>
      </c>
      <c r="E70" s="6">
        <v>601</v>
      </c>
      <c r="F70" s="4"/>
      <c r="G70" s="6">
        <v>601</v>
      </c>
      <c r="H70" s="4"/>
      <c r="I70" s="9"/>
      <c r="J70" s="4"/>
      <c r="K70" s="4"/>
      <c r="L70" s="10"/>
      <c r="M70" s="10" t="s">
        <v>46</v>
      </c>
      <c r="N70" s="10"/>
      <c r="O70" s="4"/>
      <c r="P70" s="4"/>
      <c r="Q70" s="18" t="s">
        <v>78</v>
      </c>
    </row>
    <row r="71" spans="1:17" ht="15">
      <c r="A71" s="4" t="str">
        <f t="shared" si="1"/>
        <v>070</v>
      </c>
      <c r="B71" s="1" t="s">
        <v>33</v>
      </c>
      <c r="C71" s="6" t="s">
        <v>38</v>
      </c>
      <c r="D71" s="15" t="s">
        <v>688</v>
      </c>
      <c r="E71" s="6">
        <v>602</v>
      </c>
      <c r="F71" s="4"/>
      <c r="G71" s="6">
        <v>602</v>
      </c>
      <c r="H71" s="4"/>
      <c r="I71" s="9"/>
      <c r="J71" s="4"/>
      <c r="K71" s="4"/>
      <c r="L71" s="10"/>
      <c r="M71" s="10" t="s">
        <v>46</v>
      </c>
      <c r="N71" s="10"/>
      <c r="O71" s="4"/>
      <c r="P71" s="4"/>
      <c r="Q71" s="18" t="s">
        <v>79</v>
      </c>
    </row>
    <row r="72" spans="1:17" ht="15">
      <c r="A72" s="4" t="str">
        <f t="shared" si="1"/>
        <v>071</v>
      </c>
      <c r="B72" s="1" t="s">
        <v>33</v>
      </c>
      <c r="C72" s="6" t="s">
        <v>38</v>
      </c>
      <c r="D72" s="15" t="s">
        <v>688</v>
      </c>
      <c r="E72" s="6">
        <v>603</v>
      </c>
      <c r="F72" s="4"/>
      <c r="G72" s="6">
        <v>603</v>
      </c>
      <c r="H72" s="4"/>
      <c r="I72" s="9"/>
      <c r="J72" s="4"/>
      <c r="K72" s="4"/>
      <c r="L72" s="10"/>
      <c r="M72" s="10" t="s">
        <v>46</v>
      </c>
      <c r="N72" s="10"/>
      <c r="O72" s="4"/>
      <c r="P72" s="4"/>
      <c r="Q72" s="18" t="s">
        <v>80</v>
      </c>
    </row>
    <row r="73" spans="1:17" ht="15">
      <c r="A73" s="4" t="str">
        <f t="shared" si="1"/>
        <v>072</v>
      </c>
      <c r="B73" s="1" t="s">
        <v>33</v>
      </c>
      <c r="C73" s="6" t="s">
        <v>38</v>
      </c>
      <c r="D73" s="15" t="s">
        <v>688</v>
      </c>
      <c r="E73" s="6">
        <v>604</v>
      </c>
      <c r="F73" s="4"/>
      <c r="G73" s="6">
        <v>604</v>
      </c>
      <c r="H73" s="4"/>
      <c r="I73" s="9"/>
      <c r="J73" s="4"/>
      <c r="K73" s="4"/>
      <c r="L73" s="10"/>
      <c r="M73" s="10" t="s">
        <v>46</v>
      </c>
      <c r="N73" s="10"/>
      <c r="O73" s="4"/>
      <c r="P73" s="4"/>
      <c r="Q73" s="18" t="s">
        <v>81</v>
      </c>
    </row>
    <row r="74" spans="1:17" ht="15">
      <c r="A74" s="4" t="str">
        <f t="shared" si="1"/>
        <v>073</v>
      </c>
      <c r="B74" s="1" t="s">
        <v>33</v>
      </c>
      <c r="C74" s="6" t="s">
        <v>679</v>
      </c>
      <c r="D74" s="15" t="s">
        <v>686</v>
      </c>
      <c r="E74" s="6">
        <v>201</v>
      </c>
      <c r="F74" s="4"/>
      <c r="G74" s="6">
        <v>201</v>
      </c>
      <c r="H74" s="4"/>
      <c r="I74" s="9"/>
      <c r="J74" s="4"/>
      <c r="K74" s="4"/>
      <c r="L74" s="10"/>
      <c r="M74" s="10" t="s">
        <v>46</v>
      </c>
      <c r="N74" s="10"/>
      <c r="O74" s="4"/>
      <c r="P74" s="4"/>
      <c r="Q74" s="18" t="s">
        <v>350</v>
      </c>
    </row>
    <row r="75" spans="1:17" ht="15">
      <c r="A75" s="4" t="str">
        <f t="shared" si="1"/>
        <v>074</v>
      </c>
      <c r="B75" s="1" t="s">
        <v>33</v>
      </c>
      <c r="C75" s="6" t="s">
        <v>679</v>
      </c>
      <c r="D75" s="15" t="s">
        <v>686</v>
      </c>
      <c r="E75" s="6">
        <v>202</v>
      </c>
      <c r="F75" s="4"/>
      <c r="G75" s="6">
        <v>202</v>
      </c>
      <c r="H75" s="4"/>
      <c r="I75" s="9"/>
      <c r="J75" s="4"/>
      <c r="K75" s="4"/>
      <c r="L75" s="10"/>
      <c r="M75" s="10" t="s">
        <v>46</v>
      </c>
      <c r="N75" s="10"/>
      <c r="O75" s="4"/>
      <c r="P75" s="4"/>
      <c r="Q75" s="18" t="s">
        <v>351</v>
      </c>
    </row>
    <row r="76" spans="1:17" ht="15">
      <c r="A76" s="4" t="str">
        <f t="shared" si="1"/>
        <v>075</v>
      </c>
      <c r="B76" s="1" t="s">
        <v>33</v>
      </c>
      <c r="C76" s="6" t="s">
        <v>679</v>
      </c>
      <c r="D76" s="15" t="s">
        <v>686</v>
      </c>
      <c r="E76" s="6">
        <v>203</v>
      </c>
      <c r="F76" s="4"/>
      <c r="G76" s="6">
        <v>203</v>
      </c>
      <c r="H76" s="4"/>
      <c r="I76" s="9"/>
      <c r="J76" s="4"/>
      <c r="K76" s="4"/>
      <c r="L76" s="10"/>
      <c r="M76" s="10" t="s">
        <v>46</v>
      </c>
      <c r="N76" s="10"/>
      <c r="O76" s="4"/>
      <c r="P76" s="4"/>
      <c r="Q76" s="18" t="s">
        <v>352</v>
      </c>
    </row>
    <row r="77" spans="1:17" ht="15">
      <c r="A77" s="4" t="str">
        <f t="shared" si="1"/>
        <v>076</v>
      </c>
      <c r="B77" s="1" t="s">
        <v>33</v>
      </c>
      <c r="C77" s="6" t="s">
        <v>679</v>
      </c>
      <c r="D77" s="15" t="s">
        <v>686</v>
      </c>
      <c r="E77" s="6">
        <v>204</v>
      </c>
      <c r="F77" s="4"/>
      <c r="G77" s="6">
        <v>204</v>
      </c>
      <c r="H77" s="4"/>
      <c r="I77" s="9"/>
      <c r="J77" s="4"/>
      <c r="K77" s="4"/>
      <c r="L77" s="10"/>
      <c r="M77" s="10" t="s">
        <v>46</v>
      </c>
      <c r="N77" s="10"/>
      <c r="O77" s="4"/>
      <c r="P77" s="4"/>
      <c r="Q77" s="18" t="s">
        <v>353</v>
      </c>
    </row>
    <row r="78" spans="1:17" ht="15">
      <c r="A78" s="4" t="str">
        <f t="shared" si="1"/>
        <v>077</v>
      </c>
      <c r="B78" s="1" t="s">
        <v>33</v>
      </c>
      <c r="C78" s="6" t="s">
        <v>679</v>
      </c>
      <c r="D78" s="15" t="s">
        <v>686</v>
      </c>
      <c r="E78" s="6">
        <v>301</v>
      </c>
      <c r="F78" s="4"/>
      <c r="G78" s="6">
        <v>301</v>
      </c>
      <c r="H78" s="4"/>
      <c r="I78" s="9"/>
      <c r="J78" s="4"/>
      <c r="K78" s="4"/>
      <c r="L78" s="10"/>
      <c r="M78" s="10" t="s">
        <v>46</v>
      </c>
      <c r="N78" s="10"/>
      <c r="O78" s="4"/>
      <c r="P78" s="4"/>
      <c r="Q78" s="18" t="s">
        <v>354</v>
      </c>
    </row>
    <row r="79" spans="1:17" ht="15">
      <c r="A79" s="4" t="str">
        <f t="shared" si="1"/>
        <v>078</v>
      </c>
      <c r="B79" s="1" t="s">
        <v>33</v>
      </c>
      <c r="C79" s="6" t="s">
        <v>679</v>
      </c>
      <c r="D79" s="15" t="s">
        <v>686</v>
      </c>
      <c r="E79" s="6">
        <v>302</v>
      </c>
      <c r="F79" s="4"/>
      <c r="G79" s="6">
        <v>302</v>
      </c>
      <c r="H79" s="4"/>
      <c r="I79" s="9"/>
      <c r="J79" s="4"/>
      <c r="K79" s="4"/>
      <c r="L79" s="10"/>
      <c r="M79" s="10" t="s">
        <v>46</v>
      </c>
      <c r="N79" s="10"/>
      <c r="O79" s="4"/>
      <c r="P79" s="4"/>
      <c r="Q79" s="18" t="s">
        <v>355</v>
      </c>
    </row>
    <row r="80" spans="1:17" ht="15">
      <c r="A80" s="4" t="str">
        <f t="shared" si="1"/>
        <v>079</v>
      </c>
      <c r="B80" s="1" t="s">
        <v>33</v>
      </c>
      <c r="C80" s="6" t="s">
        <v>679</v>
      </c>
      <c r="D80" s="15" t="s">
        <v>686</v>
      </c>
      <c r="E80" s="6">
        <v>303</v>
      </c>
      <c r="F80" s="4"/>
      <c r="G80" s="6">
        <v>303</v>
      </c>
      <c r="H80" s="4"/>
      <c r="I80" s="9"/>
      <c r="J80" s="4"/>
      <c r="K80" s="4"/>
      <c r="L80" s="10"/>
      <c r="M80" s="10" t="s">
        <v>46</v>
      </c>
      <c r="N80" s="10"/>
      <c r="O80" s="4"/>
      <c r="P80" s="4"/>
      <c r="Q80" s="18" t="s">
        <v>356</v>
      </c>
    </row>
    <row r="81" spans="1:17" ht="15">
      <c r="A81" s="4" t="str">
        <f t="shared" si="1"/>
        <v>080</v>
      </c>
      <c r="B81" s="1" t="s">
        <v>33</v>
      </c>
      <c r="C81" s="6" t="s">
        <v>679</v>
      </c>
      <c r="D81" s="15" t="s">
        <v>686</v>
      </c>
      <c r="E81" s="6">
        <v>304</v>
      </c>
      <c r="F81" s="4"/>
      <c r="G81" s="6">
        <v>304</v>
      </c>
      <c r="H81" s="4"/>
      <c r="I81" s="9"/>
      <c r="J81" s="4"/>
      <c r="K81" s="4"/>
      <c r="L81" s="10"/>
      <c r="M81" s="10" t="s">
        <v>46</v>
      </c>
      <c r="N81" s="10"/>
      <c r="O81" s="4"/>
      <c r="P81" s="4"/>
      <c r="Q81" s="18" t="s">
        <v>357</v>
      </c>
    </row>
    <row r="82" spans="1:17" ht="15">
      <c r="A82" s="4" t="str">
        <f t="shared" si="1"/>
        <v>081</v>
      </c>
      <c r="B82" s="1" t="s">
        <v>33</v>
      </c>
      <c r="C82" s="6" t="s">
        <v>679</v>
      </c>
      <c r="D82" s="15" t="s">
        <v>686</v>
      </c>
      <c r="E82" s="6">
        <v>401</v>
      </c>
      <c r="F82" s="4"/>
      <c r="G82" s="6">
        <v>401</v>
      </c>
      <c r="H82" s="4"/>
      <c r="I82" s="9"/>
      <c r="J82" s="4"/>
      <c r="K82" s="4"/>
      <c r="L82" s="10"/>
      <c r="M82" s="10" t="s">
        <v>46</v>
      </c>
      <c r="N82" s="10"/>
      <c r="O82" s="4"/>
      <c r="P82" s="4"/>
      <c r="Q82" s="18" t="s">
        <v>358</v>
      </c>
    </row>
    <row r="83" spans="1:17" ht="15">
      <c r="A83" s="4" t="str">
        <f t="shared" si="1"/>
        <v>082</v>
      </c>
      <c r="B83" s="1" t="s">
        <v>33</v>
      </c>
      <c r="C83" s="6" t="s">
        <v>679</v>
      </c>
      <c r="D83" s="15" t="s">
        <v>686</v>
      </c>
      <c r="E83" s="6">
        <v>402</v>
      </c>
      <c r="F83" s="4"/>
      <c r="G83" s="6">
        <v>402</v>
      </c>
      <c r="H83" s="4"/>
      <c r="I83" s="9"/>
      <c r="J83" s="4"/>
      <c r="K83" s="4"/>
      <c r="L83" s="10"/>
      <c r="M83" s="10" t="s">
        <v>46</v>
      </c>
      <c r="N83" s="10"/>
      <c r="O83" s="4"/>
      <c r="P83" s="4"/>
      <c r="Q83" s="18" t="s">
        <v>359</v>
      </c>
    </row>
    <row r="84" spans="1:17" ht="15">
      <c r="A84" s="4" t="str">
        <f t="shared" si="1"/>
        <v>083</v>
      </c>
      <c r="B84" s="1" t="s">
        <v>33</v>
      </c>
      <c r="C84" s="6" t="s">
        <v>679</v>
      </c>
      <c r="D84" s="15" t="s">
        <v>686</v>
      </c>
      <c r="E84" s="6">
        <v>403</v>
      </c>
      <c r="F84" s="4"/>
      <c r="G84" s="6">
        <v>403</v>
      </c>
      <c r="H84" s="4"/>
      <c r="I84" s="9"/>
      <c r="J84" s="4"/>
      <c r="K84" s="4"/>
      <c r="L84" s="10"/>
      <c r="M84" s="10" t="s">
        <v>46</v>
      </c>
      <c r="N84" s="10"/>
      <c r="O84" s="4"/>
      <c r="P84" s="4"/>
      <c r="Q84" s="18" t="s">
        <v>360</v>
      </c>
    </row>
    <row r="85" spans="1:17" ht="15">
      <c r="A85" s="4" t="str">
        <f t="shared" si="1"/>
        <v>084</v>
      </c>
      <c r="B85" s="1" t="s">
        <v>33</v>
      </c>
      <c r="C85" s="6" t="s">
        <v>679</v>
      </c>
      <c r="D85" s="15" t="s">
        <v>686</v>
      </c>
      <c r="E85" s="6">
        <v>404</v>
      </c>
      <c r="F85" s="4"/>
      <c r="G85" s="6">
        <v>404</v>
      </c>
      <c r="H85" s="4"/>
      <c r="I85" s="9"/>
      <c r="J85" s="4"/>
      <c r="K85" s="4"/>
      <c r="L85" s="10"/>
      <c r="M85" s="10" t="s">
        <v>46</v>
      </c>
      <c r="N85" s="10"/>
      <c r="O85" s="4"/>
      <c r="P85" s="4"/>
      <c r="Q85" s="18" t="s">
        <v>361</v>
      </c>
    </row>
    <row r="86" spans="1:17" ht="15">
      <c r="A86" s="4" t="str">
        <f t="shared" si="1"/>
        <v>085</v>
      </c>
      <c r="B86" s="1" t="s">
        <v>33</v>
      </c>
      <c r="C86" s="6" t="s">
        <v>679</v>
      </c>
      <c r="D86" s="15" t="s">
        <v>686</v>
      </c>
      <c r="E86" s="6">
        <v>501</v>
      </c>
      <c r="F86" s="4"/>
      <c r="G86" s="6">
        <v>501</v>
      </c>
      <c r="H86" s="4"/>
      <c r="I86" s="9"/>
      <c r="J86" s="4"/>
      <c r="K86" s="4"/>
      <c r="L86" s="10"/>
      <c r="M86" s="10" t="s">
        <v>46</v>
      </c>
      <c r="N86" s="10"/>
      <c r="O86" s="4"/>
      <c r="P86" s="4"/>
      <c r="Q86" s="18" t="s">
        <v>362</v>
      </c>
    </row>
    <row r="87" spans="1:17" ht="15">
      <c r="A87" s="4" t="str">
        <f t="shared" si="1"/>
        <v>086</v>
      </c>
      <c r="B87" s="1" t="s">
        <v>33</v>
      </c>
      <c r="C87" s="6" t="s">
        <v>679</v>
      </c>
      <c r="D87" s="15" t="s">
        <v>686</v>
      </c>
      <c r="E87" s="6">
        <v>502</v>
      </c>
      <c r="F87" s="4"/>
      <c r="G87" s="6">
        <v>502</v>
      </c>
      <c r="H87" s="4"/>
      <c r="I87" s="9"/>
      <c r="J87" s="4"/>
      <c r="K87" s="4"/>
      <c r="L87" s="10"/>
      <c r="M87" s="10" t="s">
        <v>46</v>
      </c>
      <c r="N87" s="10"/>
      <c r="O87" s="4"/>
      <c r="P87" s="4"/>
      <c r="Q87" s="18" t="s">
        <v>363</v>
      </c>
    </row>
    <row r="88" spans="1:17" ht="15">
      <c r="A88" s="4" t="str">
        <f t="shared" si="1"/>
        <v>087</v>
      </c>
      <c r="B88" s="1" t="s">
        <v>33</v>
      </c>
      <c r="C88" s="6" t="s">
        <v>679</v>
      </c>
      <c r="D88" s="15" t="s">
        <v>686</v>
      </c>
      <c r="E88" s="6">
        <v>503</v>
      </c>
      <c r="F88" s="4"/>
      <c r="G88" s="6">
        <v>503</v>
      </c>
      <c r="H88" s="4"/>
      <c r="I88" s="9"/>
      <c r="J88" s="4"/>
      <c r="K88" s="4"/>
      <c r="L88" s="10"/>
      <c r="M88" s="10" t="s">
        <v>46</v>
      </c>
      <c r="N88" s="10"/>
      <c r="O88" s="4"/>
      <c r="P88" s="4"/>
      <c r="Q88" s="18" t="s">
        <v>364</v>
      </c>
    </row>
    <row r="89" spans="1:17" ht="15">
      <c r="A89" s="4" t="str">
        <f t="shared" si="1"/>
        <v>088</v>
      </c>
      <c r="B89" s="1" t="s">
        <v>33</v>
      </c>
      <c r="C89" s="6" t="s">
        <v>679</v>
      </c>
      <c r="D89" s="15" t="s">
        <v>686</v>
      </c>
      <c r="E89" s="6">
        <v>504</v>
      </c>
      <c r="F89" s="4"/>
      <c r="G89" s="6">
        <v>504</v>
      </c>
      <c r="H89" s="4"/>
      <c r="I89" s="9"/>
      <c r="J89" s="4"/>
      <c r="K89" s="4"/>
      <c r="L89" s="10"/>
      <c r="M89" s="10" t="s">
        <v>46</v>
      </c>
      <c r="N89" s="10"/>
      <c r="O89" s="4"/>
      <c r="P89" s="4"/>
      <c r="Q89" s="18" t="s">
        <v>365</v>
      </c>
    </row>
    <row r="90" spans="1:17" ht="15">
      <c r="A90" s="4" t="str">
        <f t="shared" si="1"/>
        <v>089</v>
      </c>
      <c r="B90" s="1" t="s">
        <v>33</v>
      </c>
      <c r="C90" s="6" t="s">
        <v>679</v>
      </c>
      <c r="D90" s="15" t="s">
        <v>686</v>
      </c>
      <c r="E90" s="6">
        <v>601</v>
      </c>
      <c r="F90" s="4"/>
      <c r="G90" s="6">
        <v>601</v>
      </c>
      <c r="H90" s="4"/>
      <c r="I90" s="9"/>
      <c r="J90" s="4"/>
      <c r="K90" s="4"/>
      <c r="L90" s="10"/>
      <c r="M90" s="10" t="s">
        <v>46</v>
      </c>
      <c r="N90" s="10"/>
      <c r="O90" s="4"/>
      <c r="P90" s="4"/>
      <c r="Q90" s="18" t="s">
        <v>366</v>
      </c>
    </row>
    <row r="91" spans="1:17" ht="15">
      <c r="A91" s="4" t="str">
        <f t="shared" si="1"/>
        <v>090</v>
      </c>
      <c r="B91" s="1" t="s">
        <v>33</v>
      </c>
      <c r="C91" s="6" t="s">
        <v>679</v>
      </c>
      <c r="D91" s="15" t="s">
        <v>686</v>
      </c>
      <c r="E91" s="6">
        <v>602</v>
      </c>
      <c r="F91" s="4"/>
      <c r="G91" s="6">
        <v>602</v>
      </c>
      <c r="H91" s="4"/>
      <c r="I91" s="9"/>
      <c r="J91" s="4"/>
      <c r="K91" s="4"/>
      <c r="L91" s="10"/>
      <c r="M91" s="10" t="s">
        <v>46</v>
      </c>
      <c r="N91" s="10"/>
      <c r="O91" s="4"/>
      <c r="P91" s="4"/>
      <c r="Q91" s="18" t="s">
        <v>367</v>
      </c>
    </row>
    <row r="92" spans="1:17" ht="15">
      <c r="A92" s="4" t="str">
        <f t="shared" si="1"/>
        <v>091</v>
      </c>
      <c r="B92" s="1" t="s">
        <v>33</v>
      </c>
      <c r="C92" s="6" t="s">
        <v>679</v>
      </c>
      <c r="D92" s="15" t="s">
        <v>686</v>
      </c>
      <c r="E92" s="6">
        <v>603</v>
      </c>
      <c r="F92" s="4"/>
      <c r="G92" s="6">
        <v>603</v>
      </c>
      <c r="H92" s="4"/>
      <c r="I92" s="9"/>
      <c r="J92" s="4"/>
      <c r="K92" s="4"/>
      <c r="L92" s="10"/>
      <c r="M92" s="10" t="s">
        <v>46</v>
      </c>
      <c r="N92" s="10"/>
      <c r="O92" s="4"/>
      <c r="P92" s="4"/>
      <c r="Q92" s="18" t="s">
        <v>368</v>
      </c>
    </row>
    <row r="93" spans="1:17" ht="15">
      <c r="A93" s="4" t="str">
        <f t="shared" si="1"/>
        <v>092</v>
      </c>
      <c r="B93" s="1" t="s">
        <v>33</v>
      </c>
      <c r="C93" s="6" t="s">
        <v>679</v>
      </c>
      <c r="D93" s="15" t="s">
        <v>686</v>
      </c>
      <c r="E93" s="6">
        <v>604</v>
      </c>
      <c r="F93" s="4"/>
      <c r="G93" s="6">
        <v>604</v>
      </c>
      <c r="H93" s="4"/>
      <c r="I93" s="9"/>
      <c r="J93" s="4"/>
      <c r="K93" s="4"/>
      <c r="L93" s="10"/>
      <c r="M93" s="10" t="s">
        <v>46</v>
      </c>
      <c r="N93" s="10"/>
      <c r="O93" s="4"/>
      <c r="P93" s="4"/>
      <c r="Q93" s="18" t="s">
        <v>369</v>
      </c>
    </row>
    <row r="94" spans="1:17" ht="15">
      <c r="A94" s="4" t="str">
        <f t="shared" si="1"/>
        <v>093</v>
      </c>
      <c r="B94" s="1" t="s">
        <v>33</v>
      </c>
      <c r="C94" s="6" t="s">
        <v>679</v>
      </c>
      <c r="D94" s="15" t="s">
        <v>687</v>
      </c>
      <c r="E94" s="6">
        <v>201</v>
      </c>
      <c r="F94" s="4"/>
      <c r="G94" s="6">
        <v>201</v>
      </c>
      <c r="H94" s="4"/>
      <c r="I94" s="9"/>
      <c r="J94" s="4"/>
      <c r="K94" s="4"/>
      <c r="L94" s="10"/>
      <c r="M94" s="10" t="s">
        <v>46</v>
      </c>
      <c r="N94" s="10"/>
      <c r="O94" s="4"/>
      <c r="P94" s="4"/>
      <c r="Q94" s="18" t="s">
        <v>370</v>
      </c>
    </row>
    <row r="95" spans="1:17" ht="15">
      <c r="A95" s="4" t="str">
        <f t="shared" si="1"/>
        <v>094</v>
      </c>
      <c r="B95" s="1" t="s">
        <v>33</v>
      </c>
      <c r="C95" s="6" t="s">
        <v>679</v>
      </c>
      <c r="D95" s="15" t="s">
        <v>687</v>
      </c>
      <c r="E95" s="6">
        <v>202</v>
      </c>
      <c r="F95" s="4"/>
      <c r="G95" s="6">
        <v>202</v>
      </c>
      <c r="H95" s="4"/>
      <c r="I95" s="9"/>
      <c r="J95" s="4"/>
      <c r="K95" s="4"/>
      <c r="L95" s="10"/>
      <c r="M95" s="10" t="s">
        <v>46</v>
      </c>
      <c r="N95" s="10"/>
      <c r="O95" s="4"/>
      <c r="P95" s="4"/>
      <c r="Q95" s="18" t="s">
        <v>371</v>
      </c>
    </row>
    <row r="96" spans="1:17" ht="15">
      <c r="A96" s="4" t="str">
        <f t="shared" si="1"/>
        <v>095</v>
      </c>
      <c r="B96" s="1" t="s">
        <v>33</v>
      </c>
      <c r="C96" s="6" t="s">
        <v>679</v>
      </c>
      <c r="D96" s="15" t="s">
        <v>687</v>
      </c>
      <c r="E96" s="6">
        <v>203</v>
      </c>
      <c r="F96" s="4"/>
      <c r="G96" s="6">
        <v>203</v>
      </c>
      <c r="H96" s="4"/>
      <c r="I96" s="9"/>
      <c r="J96" s="4"/>
      <c r="K96" s="4"/>
      <c r="L96" s="10"/>
      <c r="M96" s="10" t="s">
        <v>46</v>
      </c>
      <c r="N96" s="10"/>
      <c r="O96" s="4"/>
      <c r="P96" s="4"/>
      <c r="Q96" s="18" t="s">
        <v>372</v>
      </c>
    </row>
    <row r="97" spans="1:17" ht="15">
      <c r="A97" s="4" t="str">
        <f t="shared" si="1"/>
        <v>096</v>
      </c>
      <c r="B97" s="1" t="s">
        <v>33</v>
      </c>
      <c r="C97" s="6" t="s">
        <v>679</v>
      </c>
      <c r="D97" s="15" t="s">
        <v>687</v>
      </c>
      <c r="E97" s="6">
        <v>204</v>
      </c>
      <c r="F97" s="4"/>
      <c r="G97" s="6">
        <v>204</v>
      </c>
      <c r="H97" s="4"/>
      <c r="I97" s="9"/>
      <c r="J97" s="4"/>
      <c r="K97" s="4"/>
      <c r="L97" s="10"/>
      <c r="M97" s="10" t="s">
        <v>46</v>
      </c>
      <c r="N97" s="10"/>
      <c r="O97" s="4"/>
      <c r="P97" s="4"/>
      <c r="Q97" s="18" t="s">
        <v>373</v>
      </c>
    </row>
    <row r="98" spans="1:17" ht="15">
      <c r="A98" s="4" t="str">
        <f t="shared" si="1"/>
        <v>097</v>
      </c>
      <c r="B98" s="1" t="s">
        <v>33</v>
      </c>
      <c r="C98" s="6" t="s">
        <v>679</v>
      </c>
      <c r="D98" s="15" t="s">
        <v>687</v>
      </c>
      <c r="E98" s="6">
        <v>301</v>
      </c>
      <c r="F98" s="4"/>
      <c r="G98" s="6">
        <v>301</v>
      </c>
      <c r="H98" s="4"/>
      <c r="I98" s="9"/>
      <c r="J98" s="4"/>
      <c r="K98" s="4"/>
      <c r="L98" s="10"/>
      <c r="M98" s="10" t="s">
        <v>46</v>
      </c>
      <c r="N98" s="10"/>
      <c r="O98" s="4"/>
      <c r="P98" s="4"/>
      <c r="Q98" s="18" t="s">
        <v>374</v>
      </c>
    </row>
    <row r="99" spans="1:17" ht="15">
      <c r="A99" s="4" t="str">
        <f t="shared" si="1"/>
        <v>098</v>
      </c>
      <c r="B99" s="1" t="s">
        <v>33</v>
      </c>
      <c r="C99" s="6" t="s">
        <v>679</v>
      </c>
      <c r="D99" s="15" t="s">
        <v>687</v>
      </c>
      <c r="E99" s="6">
        <v>302</v>
      </c>
      <c r="F99" s="4"/>
      <c r="G99" s="6">
        <v>302</v>
      </c>
      <c r="H99" s="4"/>
      <c r="I99" s="9"/>
      <c r="J99" s="4"/>
      <c r="K99" s="4"/>
      <c r="L99" s="10"/>
      <c r="M99" s="10" t="s">
        <v>46</v>
      </c>
      <c r="N99" s="10"/>
      <c r="O99" s="4"/>
      <c r="P99" s="4"/>
      <c r="Q99" s="18" t="s">
        <v>375</v>
      </c>
    </row>
    <row r="100" spans="1:17" ht="15">
      <c r="A100" s="4" t="str">
        <f t="shared" si="1"/>
        <v>099</v>
      </c>
      <c r="B100" s="1" t="s">
        <v>33</v>
      </c>
      <c r="C100" s="6" t="s">
        <v>679</v>
      </c>
      <c r="D100" s="15" t="s">
        <v>687</v>
      </c>
      <c r="E100" s="6">
        <v>303</v>
      </c>
      <c r="F100" s="4"/>
      <c r="G100" s="6">
        <v>303</v>
      </c>
      <c r="H100" s="4"/>
      <c r="I100" s="9"/>
      <c r="J100" s="4"/>
      <c r="K100" s="4"/>
      <c r="L100" s="10"/>
      <c r="M100" s="10" t="s">
        <v>46</v>
      </c>
      <c r="N100" s="10"/>
      <c r="O100" s="4"/>
      <c r="P100" s="4"/>
      <c r="Q100" s="18" t="s">
        <v>376</v>
      </c>
    </row>
    <row r="101" spans="1:17" ht="15">
      <c r="A101" s="4" t="str">
        <f t="shared" si="1"/>
        <v>100</v>
      </c>
      <c r="B101" s="1" t="s">
        <v>33</v>
      </c>
      <c r="C101" s="6" t="s">
        <v>679</v>
      </c>
      <c r="D101" s="15" t="s">
        <v>687</v>
      </c>
      <c r="E101" s="6">
        <v>304</v>
      </c>
      <c r="F101" s="4"/>
      <c r="G101" s="6">
        <v>304</v>
      </c>
      <c r="H101" s="4"/>
      <c r="I101" s="9"/>
      <c r="J101" s="4"/>
      <c r="K101" s="4"/>
      <c r="L101" s="10"/>
      <c r="M101" s="10" t="s">
        <v>46</v>
      </c>
      <c r="N101" s="10"/>
      <c r="O101" s="4"/>
      <c r="P101" s="4"/>
      <c r="Q101" s="18" t="s">
        <v>377</v>
      </c>
    </row>
    <row r="102" spans="1:17" ht="15">
      <c r="A102" s="4" t="str">
        <f t="shared" si="1"/>
        <v>101</v>
      </c>
      <c r="B102" s="1" t="s">
        <v>33</v>
      </c>
      <c r="C102" s="6" t="s">
        <v>679</v>
      </c>
      <c r="D102" s="15" t="s">
        <v>687</v>
      </c>
      <c r="E102" s="6">
        <v>401</v>
      </c>
      <c r="F102" s="4"/>
      <c r="G102" s="6">
        <v>401</v>
      </c>
      <c r="H102" s="4"/>
      <c r="I102" s="9"/>
      <c r="J102" s="4"/>
      <c r="K102" s="4"/>
      <c r="L102" s="10"/>
      <c r="M102" s="10" t="s">
        <v>46</v>
      </c>
      <c r="N102" s="10"/>
      <c r="O102" s="4"/>
      <c r="P102" s="4"/>
      <c r="Q102" s="18" t="s">
        <v>378</v>
      </c>
    </row>
    <row r="103" spans="1:17" ht="15">
      <c r="A103" s="4" t="str">
        <f t="shared" si="1"/>
        <v>102</v>
      </c>
      <c r="B103" s="1" t="s">
        <v>33</v>
      </c>
      <c r="C103" s="6" t="s">
        <v>679</v>
      </c>
      <c r="D103" s="15" t="s">
        <v>687</v>
      </c>
      <c r="E103" s="6">
        <v>402</v>
      </c>
      <c r="F103" s="4"/>
      <c r="G103" s="6">
        <v>402</v>
      </c>
      <c r="H103" s="4"/>
      <c r="I103" s="9"/>
      <c r="J103" s="4"/>
      <c r="K103" s="4"/>
      <c r="L103" s="10"/>
      <c r="M103" s="10" t="s">
        <v>46</v>
      </c>
      <c r="N103" s="10"/>
      <c r="O103" s="4"/>
      <c r="P103" s="4"/>
      <c r="Q103" s="18" t="s">
        <v>379</v>
      </c>
    </row>
    <row r="104" spans="1:17" ht="15">
      <c r="A104" s="4" t="str">
        <f t="shared" si="1"/>
        <v>103</v>
      </c>
      <c r="B104" s="1" t="s">
        <v>33</v>
      </c>
      <c r="C104" s="6" t="s">
        <v>679</v>
      </c>
      <c r="D104" s="15" t="s">
        <v>687</v>
      </c>
      <c r="E104" s="6">
        <v>403</v>
      </c>
      <c r="F104" s="4"/>
      <c r="G104" s="6">
        <v>403</v>
      </c>
      <c r="H104" s="4"/>
      <c r="I104" s="9"/>
      <c r="J104" s="4"/>
      <c r="K104" s="4"/>
      <c r="L104" s="10"/>
      <c r="M104" s="10" t="s">
        <v>46</v>
      </c>
      <c r="N104" s="10"/>
      <c r="O104" s="4"/>
      <c r="P104" s="4"/>
      <c r="Q104" s="18" t="s">
        <v>380</v>
      </c>
    </row>
    <row r="105" spans="1:17" ht="15">
      <c r="A105" s="4" t="str">
        <f t="shared" si="1"/>
        <v>104</v>
      </c>
      <c r="B105" s="1" t="s">
        <v>33</v>
      </c>
      <c r="C105" s="6" t="s">
        <v>679</v>
      </c>
      <c r="D105" s="15" t="s">
        <v>687</v>
      </c>
      <c r="E105" s="6">
        <v>404</v>
      </c>
      <c r="F105" s="4"/>
      <c r="G105" s="6">
        <v>404</v>
      </c>
      <c r="H105" s="4"/>
      <c r="I105" s="9"/>
      <c r="J105" s="4"/>
      <c r="K105" s="4"/>
      <c r="L105" s="10"/>
      <c r="M105" s="10" t="s">
        <v>46</v>
      </c>
      <c r="N105" s="10"/>
      <c r="O105" s="4"/>
      <c r="P105" s="4"/>
      <c r="Q105" s="18" t="s">
        <v>381</v>
      </c>
    </row>
    <row r="106" spans="1:17" ht="15">
      <c r="A106" s="4" t="str">
        <f t="shared" si="1"/>
        <v>105</v>
      </c>
      <c r="B106" s="1" t="s">
        <v>33</v>
      </c>
      <c r="C106" s="6" t="s">
        <v>679</v>
      </c>
      <c r="D106" s="15" t="s">
        <v>687</v>
      </c>
      <c r="E106" s="6">
        <v>501</v>
      </c>
      <c r="F106" s="4"/>
      <c r="G106" s="6">
        <v>501</v>
      </c>
      <c r="H106" s="4"/>
      <c r="I106" s="9"/>
      <c r="J106" s="4"/>
      <c r="K106" s="4"/>
      <c r="L106" s="10"/>
      <c r="M106" s="10" t="s">
        <v>46</v>
      </c>
      <c r="N106" s="10"/>
      <c r="O106" s="4"/>
      <c r="P106" s="4"/>
      <c r="Q106" s="18" t="s">
        <v>382</v>
      </c>
    </row>
    <row r="107" spans="1:17" ht="15">
      <c r="A107" s="4" t="str">
        <f t="shared" si="1"/>
        <v>106</v>
      </c>
      <c r="B107" s="1" t="s">
        <v>33</v>
      </c>
      <c r="C107" s="6" t="s">
        <v>679</v>
      </c>
      <c r="D107" s="15" t="s">
        <v>687</v>
      </c>
      <c r="E107" s="6">
        <v>502</v>
      </c>
      <c r="F107" s="4"/>
      <c r="G107" s="6">
        <v>502</v>
      </c>
      <c r="H107" s="4"/>
      <c r="I107" s="9"/>
      <c r="J107" s="4"/>
      <c r="K107" s="4"/>
      <c r="L107" s="10"/>
      <c r="M107" s="10" t="s">
        <v>46</v>
      </c>
      <c r="N107" s="10"/>
      <c r="O107" s="4"/>
      <c r="P107" s="4"/>
      <c r="Q107" s="18" t="s">
        <v>383</v>
      </c>
    </row>
    <row r="108" spans="1:17" ht="15">
      <c r="A108" s="4" t="str">
        <f t="shared" si="1"/>
        <v>107</v>
      </c>
      <c r="B108" s="1" t="s">
        <v>33</v>
      </c>
      <c r="C108" s="6" t="s">
        <v>679</v>
      </c>
      <c r="D108" s="15" t="s">
        <v>687</v>
      </c>
      <c r="E108" s="6">
        <v>503</v>
      </c>
      <c r="F108" s="4"/>
      <c r="G108" s="6">
        <v>503</v>
      </c>
      <c r="H108" s="4"/>
      <c r="I108" s="9"/>
      <c r="J108" s="4"/>
      <c r="K108" s="4"/>
      <c r="L108" s="10"/>
      <c r="M108" s="10" t="s">
        <v>46</v>
      </c>
      <c r="N108" s="10"/>
      <c r="O108" s="4"/>
      <c r="P108" s="4"/>
      <c r="Q108" s="18" t="s">
        <v>384</v>
      </c>
    </row>
    <row r="109" spans="1:17" ht="15">
      <c r="A109" s="4" t="str">
        <f t="shared" si="1"/>
        <v>108</v>
      </c>
      <c r="B109" s="1" t="s">
        <v>33</v>
      </c>
      <c r="C109" s="6" t="s">
        <v>679</v>
      </c>
      <c r="D109" s="15" t="s">
        <v>687</v>
      </c>
      <c r="E109" s="6">
        <v>504</v>
      </c>
      <c r="F109" s="4"/>
      <c r="G109" s="6">
        <v>504</v>
      </c>
      <c r="H109" s="4"/>
      <c r="I109" s="9"/>
      <c r="J109" s="4"/>
      <c r="K109" s="4"/>
      <c r="L109" s="10"/>
      <c r="M109" s="10" t="s">
        <v>46</v>
      </c>
      <c r="N109" s="10"/>
      <c r="O109" s="4"/>
      <c r="P109" s="4"/>
      <c r="Q109" s="18" t="s">
        <v>385</v>
      </c>
    </row>
    <row r="110" spans="1:17" ht="15">
      <c r="A110" s="4" t="str">
        <f t="shared" si="1"/>
        <v>109</v>
      </c>
      <c r="B110" s="1" t="s">
        <v>33</v>
      </c>
      <c r="C110" s="6" t="s">
        <v>679</v>
      </c>
      <c r="D110" s="15" t="s">
        <v>687</v>
      </c>
      <c r="E110" s="6">
        <v>601</v>
      </c>
      <c r="F110" s="4"/>
      <c r="G110" s="6">
        <v>601</v>
      </c>
      <c r="H110" s="4"/>
      <c r="I110" s="9"/>
      <c r="J110" s="4"/>
      <c r="K110" s="4"/>
      <c r="L110" s="10"/>
      <c r="M110" s="10" t="s">
        <v>46</v>
      </c>
      <c r="N110" s="10"/>
      <c r="O110" s="4"/>
      <c r="P110" s="4"/>
      <c r="Q110" s="18" t="s">
        <v>386</v>
      </c>
    </row>
    <row r="111" spans="1:17" ht="15">
      <c r="A111" s="4" t="str">
        <f t="shared" si="1"/>
        <v>110</v>
      </c>
      <c r="B111" s="1" t="s">
        <v>33</v>
      </c>
      <c r="C111" s="6" t="s">
        <v>679</v>
      </c>
      <c r="D111" s="15" t="s">
        <v>687</v>
      </c>
      <c r="E111" s="6">
        <v>602</v>
      </c>
      <c r="F111" s="4"/>
      <c r="G111" s="6">
        <v>602</v>
      </c>
      <c r="H111" s="4"/>
      <c r="I111" s="9"/>
      <c r="J111" s="4"/>
      <c r="K111" s="4"/>
      <c r="L111" s="10"/>
      <c r="M111" s="10" t="s">
        <v>46</v>
      </c>
      <c r="N111" s="10"/>
      <c r="O111" s="4"/>
      <c r="P111" s="4"/>
      <c r="Q111" s="18" t="s">
        <v>387</v>
      </c>
    </row>
    <row r="112" spans="1:17" ht="15">
      <c r="A112" s="4" t="str">
        <f t="shared" si="1"/>
        <v>111</v>
      </c>
      <c r="B112" s="1" t="s">
        <v>33</v>
      </c>
      <c r="C112" s="6" t="s">
        <v>679</v>
      </c>
      <c r="D112" s="15" t="s">
        <v>687</v>
      </c>
      <c r="E112" s="6">
        <v>603</v>
      </c>
      <c r="F112" s="4"/>
      <c r="G112" s="6">
        <v>603</v>
      </c>
      <c r="H112" s="4"/>
      <c r="I112" s="9"/>
      <c r="J112" s="4"/>
      <c r="K112" s="4"/>
      <c r="L112" s="10"/>
      <c r="M112" s="10" t="s">
        <v>46</v>
      </c>
      <c r="N112" s="10"/>
      <c r="O112" s="4"/>
      <c r="P112" s="4"/>
      <c r="Q112" s="18" t="s">
        <v>388</v>
      </c>
    </row>
    <row r="113" spans="1:17" ht="15">
      <c r="A113" s="4" t="str">
        <f t="shared" si="1"/>
        <v>112</v>
      </c>
      <c r="B113" s="1" t="s">
        <v>33</v>
      </c>
      <c r="C113" s="6" t="s">
        <v>679</v>
      </c>
      <c r="D113" s="15" t="s">
        <v>687</v>
      </c>
      <c r="E113" s="6">
        <v>604</v>
      </c>
      <c r="F113" s="4"/>
      <c r="G113" s="6">
        <v>604</v>
      </c>
      <c r="H113" s="4"/>
      <c r="I113" s="9"/>
      <c r="J113" s="4"/>
      <c r="K113" s="4"/>
      <c r="L113" s="10"/>
      <c r="M113" s="10" t="s">
        <v>46</v>
      </c>
      <c r="N113" s="10"/>
      <c r="O113" s="4"/>
      <c r="P113" s="4"/>
      <c r="Q113" s="18" t="s">
        <v>389</v>
      </c>
    </row>
    <row r="114" spans="1:17" ht="15">
      <c r="A114" s="4" t="str">
        <f t="shared" si="1"/>
        <v>113</v>
      </c>
      <c r="B114" s="1" t="s">
        <v>33</v>
      </c>
      <c r="C114" s="6" t="s">
        <v>43</v>
      </c>
      <c r="D114" s="15" t="s">
        <v>686</v>
      </c>
      <c r="E114" s="6">
        <v>201</v>
      </c>
      <c r="F114" s="4"/>
      <c r="G114" s="6">
        <v>201</v>
      </c>
      <c r="H114" s="4"/>
      <c r="I114" s="9"/>
      <c r="J114" s="4"/>
      <c r="K114" s="4"/>
      <c r="L114" s="10"/>
      <c r="M114" s="10" t="s">
        <v>46</v>
      </c>
      <c r="N114" s="10"/>
      <c r="O114" s="4"/>
      <c r="P114" s="4"/>
      <c r="Q114" s="18" t="s">
        <v>101</v>
      </c>
    </row>
    <row r="115" spans="1:17" ht="15">
      <c r="A115" s="4" t="str">
        <f t="shared" si="1"/>
        <v>114</v>
      </c>
      <c r="B115" s="1" t="s">
        <v>33</v>
      </c>
      <c r="C115" s="6" t="s">
        <v>43</v>
      </c>
      <c r="D115" s="15" t="s">
        <v>686</v>
      </c>
      <c r="E115" s="6">
        <v>202</v>
      </c>
      <c r="F115" s="4"/>
      <c r="G115" s="6">
        <v>202</v>
      </c>
      <c r="H115" s="4"/>
      <c r="I115" s="9"/>
      <c r="J115" s="4"/>
      <c r="K115" s="4"/>
      <c r="L115" s="10"/>
      <c r="M115" s="10" t="s">
        <v>46</v>
      </c>
      <c r="N115" s="10"/>
      <c r="O115" s="4"/>
      <c r="P115" s="4"/>
      <c r="Q115" s="18" t="s">
        <v>102</v>
      </c>
    </row>
    <row r="116" spans="1:17" ht="15">
      <c r="A116" s="4" t="str">
        <f t="shared" si="1"/>
        <v>115</v>
      </c>
      <c r="B116" s="1" t="s">
        <v>33</v>
      </c>
      <c r="C116" s="6" t="s">
        <v>43</v>
      </c>
      <c r="D116" s="15" t="s">
        <v>686</v>
      </c>
      <c r="E116" s="6">
        <v>203</v>
      </c>
      <c r="F116" s="4"/>
      <c r="G116" s="6">
        <v>203</v>
      </c>
      <c r="H116" s="4"/>
      <c r="I116" s="9"/>
      <c r="J116" s="4"/>
      <c r="K116" s="4"/>
      <c r="L116" s="10"/>
      <c r="M116" s="10" t="s">
        <v>46</v>
      </c>
      <c r="N116" s="10"/>
      <c r="O116" s="4"/>
      <c r="P116" s="4"/>
      <c r="Q116" s="18" t="s">
        <v>103</v>
      </c>
    </row>
    <row r="117" spans="1:17" ht="15">
      <c r="A117" s="4" t="str">
        <f t="shared" si="1"/>
        <v>116</v>
      </c>
      <c r="B117" s="1" t="s">
        <v>33</v>
      </c>
      <c r="C117" s="6" t="s">
        <v>43</v>
      </c>
      <c r="D117" s="15" t="s">
        <v>686</v>
      </c>
      <c r="E117" s="6">
        <v>204</v>
      </c>
      <c r="F117" s="4"/>
      <c r="G117" s="6">
        <v>204</v>
      </c>
      <c r="H117" s="4"/>
      <c r="I117" s="9"/>
      <c r="J117" s="4"/>
      <c r="K117" s="4"/>
      <c r="L117" s="10"/>
      <c r="M117" s="10" t="s">
        <v>46</v>
      </c>
      <c r="N117" s="10"/>
      <c r="O117" s="4"/>
      <c r="P117" s="4"/>
      <c r="Q117" s="18" t="s">
        <v>104</v>
      </c>
    </row>
    <row r="118" spans="1:17" ht="15">
      <c r="A118" s="4" t="str">
        <f t="shared" si="1"/>
        <v>117</v>
      </c>
      <c r="B118" s="1" t="s">
        <v>33</v>
      </c>
      <c r="C118" s="6" t="s">
        <v>43</v>
      </c>
      <c r="D118" s="15" t="s">
        <v>686</v>
      </c>
      <c r="E118" s="6">
        <v>301</v>
      </c>
      <c r="F118" s="4"/>
      <c r="G118" s="6">
        <v>301</v>
      </c>
      <c r="H118" s="4"/>
      <c r="I118" s="9"/>
      <c r="J118" s="4"/>
      <c r="K118" s="4"/>
      <c r="L118" s="10"/>
      <c r="M118" s="10" t="s">
        <v>46</v>
      </c>
      <c r="N118" s="10"/>
      <c r="O118" s="4"/>
      <c r="P118" s="4"/>
      <c r="Q118" s="18" t="s">
        <v>105</v>
      </c>
    </row>
    <row r="119" spans="1:17" ht="15">
      <c r="A119" s="4" t="str">
        <f t="shared" si="1"/>
        <v>118</v>
      </c>
      <c r="B119" s="1" t="s">
        <v>33</v>
      </c>
      <c r="C119" s="6" t="s">
        <v>43</v>
      </c>
      <c r="D119" s="15" t="s">
        <v>686</v>
      </c>
      <c r="E119" s="6">
        <v>302</v>
      </c>
      <c r="F119" s="4"/>
      <c r="G119" s="6">
        <v>302</v>
      </c>
      <c r="H119" s="4"/>
      <c r="I119" s="9"/>
      <c r="J119" s="4"/>
      <c r="K119" s="4"/>
      <c r="L119" s="10"/>
      <c r="M119" s="10" t="s">
        <v>46</v>
      </c>
      <c r="N119" s="10"/>
      <c r="O119" s="4"/>
      <c r="P119" s="4"/>
      <c r="Q119" s="18" t="s">
        <v>106</v>
      </c>
    </row>
    <row r="120" spans="1:17" ht="15">
      <c r="A120" s="4" t="str">
        <f t="shared" si="1"/>
        <v>119</v>
      </c>
      <c r="B120" s="1" t="s">
        <v>33</v>
      </c>
      <c r="C120" s="6" t="s">
        <v>43</v>
      </c>
      <c r="D120" s="15" t="s">
        <v>686</v>
      </c>
      <c r="E120" s="6">
        <v>303</v>
      </c>
      <c r="F120" s="4"/>
      <c r="G120" s="6">
        <v>303</v>
      </c>
      <c r="H120" s="4"/>
      <c r="I120" s="9"/>
      <c r="J120" s="4"/>
      <c r="K120" s="4"/>
      <c r="L120" s="10"/>
      <c r="M120" s="10" t="s">
        <v>46</v>
      </c>
      <c r="N120" s="10"/>
      <c r="O120" s="4"/>
      <c r="P120" s="4"/>
      <c r="Q120" s="18" t="s">
        <v>107</v>
      </c>
    </row>
    <row r="121" spans="1:17" ht="15">
      <c r="A121" s="4" t="str">
        <f t="shared" si="1"/>
        <v>120</v>
      </c>
      <c r="B121" s="1" t="s">
        <v>33</v>
      </c>
      <c r="C121" s="6" t="s">
        <v>43</v>
      </c>
      <c r="D121" s="15" t="s">
        <v>686</v>
      </c>
      <c r="E121" s="6">
        <v>304</v>
      </c>
      <c r="F121" s="4"/>
      <c r="G121" s="6">
        <v>304</v>
      </c>
      <c r="H121" s="4"/>
      <c r="I121" s="9"/>
      <c r="J121" s="4"/>
      <c r="K121" s="4"/>
      <c r="L121" s="10"/>
      <c r="M121" s="10" t="s">
        <v>46</v>
      </c>
      <c r="N121" s="10"/>
      <c r="O121" s="4"/>
      <c r="P121" s="4"/>
      <c r="Q121" s="18" t="s">
        <v>108</v>
      </c>
    </row>
    <row r="122" spans="1:17" ht="15">
      <c r="A122" s="4" t="str">
        <f t="shared" si="1"/>
        <v>121</v>
      </c>
      <c r="B122" s="1" t="s">
        <v>33</v>
      </c>
      <c r="C122" s="6" t="s">
        <v>43</v>
      </c>
      <c r="D122" s="15" t="s">
        <v>686</v>
      </c>
      <c r="E122" s="6">
        <v>401</v>
      </c>
      <c r="F122" s="4"/>
      <c r="G122" s="6">
        <v>401</v>
      </c>
      <c r="H122" s="4"/>
      <c r="I122" s="9"/>
      <c r="J122" s="4"/>
      <c r="K122" s="4"/>
      <c r="L122" s="10"/>
      <c r="M122" s="10" t="s">
        <v>46</v>
      </c>
      <c r="N122" s="10"/>
      <c r="O122" s="4"/>
      <c r="P122" s="4"/>
      <c r="Q122" s="18" t="s">
        <v>109</v>
      </c>
    </row>
    <row r="123" spans="1:17" ht="15">
      <c r="A123" s="4" t="str">
        <f t="shared" si="1"/>
        <v>122</v>
      </c>
      <c r="B123" s="1" t="s">
        <v>33</v>
      </c>
      <c r="C123" s="6" t="s">
        <v>43</v>
      </c>
      <c r="D123" s="15" t="s">
        <v>686</v>
      </c>
      <c r="E123" s="6">
        <v>402</v>
      </c>
      <c r="F123" s="4"/>
      <c r="G123" s="6">
        <v>402</v>
      </c>
      <c r="H123" s="4"/>
      <c r="I123" s="9"/>
      <c r="J123" s="4"/>
      <c r="K123" s="4"/>
      <c r="L123" s="10"/>
      <c r="M123" s="10" t="s">
        <v>46</v>
      </c>
      <c r="N123" s="10"/>
      <c r="O123" s="4"/>
      <c r="P123" s="4"/>
      <c r="Q123" s="18" t="s">
        <v>110</v>
      </c>
    </row>
    <row r="124" spans="1:17" ht="15">
      <c r="A124" s="4" t="str">
        <f t="shared" si="1"/>
        <v>123</v>
      </c>
      <c r="B124" s="1" t="s">
        <v>33</v>
      </c>
      <c r="C124" s="6" t="s">
        <v>43</v>
      </c>
      <c r="D124" s="15" t="s">
        <v>686</v>
      </c>
      <c r="E124" s="6">
        <v>403</v>
      </c>
      <c r="F124" s="4"/>
      <c r="G124" s="6">
        <v>403</v>
      </c>
      <c r="H124" s="4"/>
      <c r="I124" s="9"/>
      <c r="J124" s="4"/>
      <c r="K124" s="4"/>
      <c r="L124" s="10"/>
      <c r="M124" s="10" t="s">
        <v>46</v>
      </c>
      <c r="N124" s="10"/>
      <c r="O124" s="4"/>
      <c r="P124" s="4"/>
      <c r="Q124" s="18" t="s">
        <v>111</v>
      </c>
    </row>
    <row r="125" spans="1:17" ht="15">
      <c r="A125" s="4" t="str">
        <f t="shared" si="1"/>
        <v>124</v>
      </c>
      <c r="B125" s="1" t="s">
        <v>33</v>
      </c>
      <c r="C125" s="6" t="s">
        <v>43</v>
      </c>
      <c r="D125" s="15" t="s">
        <v>686</v>
      </c>
      <c r="E125" s="6">
        <v>404</v>
      </c>
      <c r="F125" s="4"/>
      <c r="G125" s="6">
        <v>404</v>
      </c>
      <c r="H125" s="4"/>
      <c r="I125" s="9"/>
      <c r="J125" s="4"/>
      <c r="K125" s="4"/>
      <c r="L125" s="10"/>
      <c r="M125" s="10" t="s">
        <v>46</v>
      </c>
      <c r="N125" s="10"/>
      <c r="O125" s="4"/>
      <c r="P125" s="4"/>
      <c r="Q125" s="18" t="s">
        <v>112</v>
      </c>
    </row>
    <row r="126" spans="1:17" ht="15">
      <c r="A126" s="4" t="str">
        <f t="shared" si="1"/>
        <v>125</v>
      </c>
      <c r="B126" s="1" t="s">
        <v>33</v>
      </c>
      <c r="C126" s="6" t="s">
        <v>43</v>
      </c>
      <c r="D126" s="15" t="s">
        <v>686</v>
      </c>
      <c r="E126" s="6">
        <v>501</v>
      </c>
      <c r="F126" s="4"/>
      <c r="G126" s="6">
        <v>501</v>
      </c>
      <c r="H126" s="4"/>
      <c r="I126" s="9"/>
      <c r="J126" s="4"/>
      <c r="K126" s="4"/>
      <c r="L126" s="10"/>
      <c r="M126" s="10" t="s">
        <v>46</v>
      </c>
      <c r="N126" s="10"/>
      <c r="O126" s="4"/>
      <c r="P126" s="4"/>
      <c r="Q126" s="18" t="s">
        <v>113</v>
      </c>
    </row>
    <row r="127" spans="1:17" ht="15">
      <c r="A127" s="4" t="str">
        <f t="shared" si="1"/>
        <v>126</v>
      </c>
      <c r="B127" s="1" t="s">
        <v>33</v>
      </c>
      <c r="C127" s="6" t="s">
        <v>43</v>
      </c>
      <c r="D127" s="15" t="s">
        <v>686</v>
      </c>
      <c r="E127" s="6">
        <v>502</v>
      </c>
      <c r="F127" s="4"/>
      <c r="G127" s="6">
        <v>502</v>
      </c>
      <c r="H127" s="4"/>
      <c r="I127" s="9"/>
      <c r="J127" s="4"/>
      <c r="K127" s="4"/>
      <c r="L127" s="10"/>
      <c r="M127" s="10" t="s">
        <v>46</v>
      </c>
      <c r="N127" s="10"/>
      <c r="O127" s="4"/>
      <c r="P127" s="4"/>
      <c r="Q127" s="18" t="s">
        <v>114</v>
      </c>
    </row>
    <row r="128" spans="1:17" ht="15">
      <c r="A128" s="4" t="str">
        <f t="shared" si="1"/>
        <v>127</v>
      </c>
      <c r="B128" s="1" t="s">
        <v>33</v>
      </c>
      <c r="C128" s="6" t="s">
        <v>43</v>
      </c>
      <c r="D128" s="15" t="s">
        <v>686</v>
      </c>
      <c r="E128" s="6">
        <v>503</v>
      </c>
      <c r="F128" s="4"/>
      <c r="G128" s="6">
        <v>503</v>
      </c>
      <c r="H128" s="4"/>
      <c r="I128" s="9"/>
      <c r="J128" s="4"/>
      <c r="K128" s="4"/>
      <c r="L128" s="10"/>
      <c r="M128" s="10" t="s">
        <v>46</v>
      </c>
      <c r="N128" s="10"/>
      <c r="O128" s="4"/>
      <c r="P128" s="4"/>
      <c r="Q128" s="18" t="s">
        <v>390</v>
      </c>
    </row>
    <row r="129" spans="1:17" ht="15">
      <c r="A129" s="4" t="str">
        <f t="shared" si="1"/>
        <v>128</v>
      </c>
      <c r="B129" s="1" t="s">
        <v>33</v>
      </c>
      <c r="C129" s="6" t="s">
        <v>43</v>
      </c>
      <c r="D129" s="15" t="s">
        <v>686</v>
      </c>
      <c r="E129" s="6">
        <v>504</v>
      </c>
      <c r="F129" s="4"/>
      <c r="G129" s="6">
        <v>504</v>
      </c>
      <c r="H129" s="4"/>
      <c r="I129" s="9"/>
      <c r="J129" s="4"/>
      <c r="K129" s="4"/>
      <c r="L129" s="10"/>
      <c r="M129" s="10" t="s">
        <v>46</v>
      </c>
      <c r="N129" s="10"/>
      <c r="O129" s="4"/>
      <c r="P129" s="4"/>
      <c r="Q129" s="18" t="s">
        <v>115</v>
      </c>
    </row>
    <row r="130" spans="1:17" ht="15">
      <c r="A130" s="4" t="str">
        <f t="shared" si="1"/>
        <v>129</v>
      </c>
      <c r="B130" s="1" t="s">
        <v>33</v>
      </c>
      <c r="C130" s="6" t="s">
        <v>43</v>
      </c>
      <c r="D130" s="15" t="s">
        <v>686</v>
      </c>
      <c r="E130" s="6">
        <v>601</v>
      </c>
      <c r="F130" s="4"/>
      <c r="G130" s="6">
        <v>601</v>
      </c>
      <c r="H130" s="4"/>
      <c r="I130" s="9"/>
      <c r="J130" s="4"/>
      <c r="K130" s="4"/>
      <c r="L130" s="10"/>
      <c r="M130" s="10" t="s">
        <v>46</v>
      </c>
      <c r="N130" s="10"/>
      <c r="O130" s="4"/>
      <c r="P130" s="4"/>
      <c r="Q130" s="18" t="s">
        <v>116</v>
      </c>
    </row>
    <row r="131" spans="1:17" ht="15">
      <c r="A131" s="4" t="str">
        <f t="shared" ref="A131:A194" si="2">TEXT(ROW(A130),"000")</f>
        <v>130</v>
      </c>
      <c r="B131" s="1" t="s">
        <v>33</v>
      </c>
      <c r="C131" s="6" t="s">
        <v>43</v>
      </c>
      <c r="D131" s="15" t="s">
        <v>686</v>
      </c>
      <c r="E131" s="6">
        <v>602</v>
      </c>
      <c r="F131" s="4"/>
      <c r="G131" s="6">
        <v>602</v>
      </c>
      <c r="H131" s="4"/>
      <c r="I131" s="9"/>
      <c r="J131" s="4"/>
      <c r="K131" s="4"/>
      <c r="L131" s="10"/>
      <c r="M131" s="10" t="s">
        <v>46</v>
      </c>
      <c r="N131" s="10"/>
      <c r="O131" s="4"/>
      <c r="P131" s="4"/>
      <c r="Q131" s="18" t="s">
        <v>117</v>
      </c>
    </row>
    <row r="132" spans="1:17" ht="15">
      <c r="A132" s="4" t="str">
        <f t="shared" si="2"/>
        <v>131</v>
      </c>
      <c r="B132" s="1" t="s">
        <v>33</v>
      </c>
      <c r="C132" s="6" t="s">
        <v>43</v>
      </c>
      <c r="D132" s="15" t="s">
        <v>686</v>
      </c>
      <c r="E132" s="6">
        <v>603</v>
      </c>
      <c r="F132" s="4"/>
      <c r="G132" s="6">
        <v>603</v>
      </c>
      <c r="H132" s="4"/>
      <c r="I132" s="9"/>
      <c r="J132" s="4"/>
      <c r="K132" s="4"/>
      <c r="L132" s="10"/>
      <c r="M132" s="10" t="s">
        <v>46</v>
      </c>
      <c r="N132" s="10"/>
      <c r="O132" s="4"/>
      <c r="P132" s="4"/>
      <c r="Q132" s="18" t="s">
        <v>391</v>
      </c>
    </row>
    <row r="133" spans="1:17" ht="15">
      <c r="A133" s="4" t="str">
        <f t="shared" si="2"/>
        <v>132</v>
      </c>
      <c r="B133" s="1" t="s">
        <v>33</v>
      </c>
      <c r="C133" s="6" t="s">
        <v>43</v>
      </c>
      <c r="D133" s="15" t="s">
        <v>686</v>
      </c>
      <c r="E133" s="6">
        <v>604</v>
      </c>
      <c r="F133" s="4"/>
      <c r="G133" s="6">
        <v>604</v>
      </c>
      <c r="H133" s="4"/>
      <c r="I133" s="9"/>
      <c r="J133" s="4"/>
      <c r="K133" s="4"/>
      <c r="L133" s="10"/>
      <c r="M133" s="10" t="s">
        <v>46</v>
      </c>
      <c r="N133" s="10"/>
      <c r="O133" s="4"/>
      <c r="P133" s="4"/>
      <c r="Q133" s="18" t="s">
        <v>392</v>
      </c>
    </row>
    <row r="134" spans="1:17" ht="15">
      <c r="A134" s="4" t="str">
        <f t="shared" si="2"/>
        <v>133</v>
      </c>
      <c r="B134" s="1" t="s">
        <v>33</v>
      </c>
      <c r="C134" s="6" t="s">
        <v>43</v>
      </c>
      <c r="D134" s="15" t="s">
        <v>687</v>
      </c>
      <c r="E134" s="6">
        <v>201</v>
      </c>
      <c r="F134" s="4"/>
      <c r="G134" s="6">
        <v>201</v>
      </c>
      <c r="H134" s="4"/>
      <c r="I134" s="9"/>
      <c r="J134" s="4"/>
      <c r="K134" s="4"/>
      <c r="L134" s="10"/>
      <c r="M134" s="10" t="s">
        <v>46</v>
      </c>
      <c r="N134" s="10"/>
      <c r="O134" s="4"/>
      <c r="P134" s="4"/>
      <c r="Q134" s="18" t="s">
        <v>82</v>
      </c>
    </row>
    <row r="135" spans="1:17" ht="15">
      <c r="A135" s="4" t="str">
        <f t="shared" si="2"/>
        <v>134</v>
      </c>
      <c r="B135" s="1" t="s">
        <v>33</v>
      </c>
      <c r="C135" s="6" t="s">
        <v>43</v>
      </c>
      <c r="D135" s="15" t="s">
        <v>687</v>
      </c>
      <c r="E135" s="6">
        <v>202</v>
      </c>
      <c r="F135" s="4"/>
      <c r="G135" s="6">
        <v>202</v>
      </c>
      <c r="H135" s="4"/>
      <c r="I135" s="9"/>
      <c r="J135" s="4"/>
      <c r="K135" s="4"/>
      <c r="L135" s="10"/>
      <c r="M135" s="10" t="s">
        <v>46</v>
      </c>
      <c r="N135" s="10"/>
      <c r="O135" s="4"/>
      <c r="P135" s="4"/>
      <c r="Q135" s="18" t="s">
        <v>83</v>
      </c>
    </row>
    <row r="136" spans="1:17" ht="15">
      <c r="A136" s="4" t="str">
        <f t="shared" si="2"/>
        <v>135</v>
      </c>
      <c r="B136" s="1" t="s">
        <v>33</v>
      </c>
      <c r="C136" s="6" t="s">
        <v>43</v>
      </c>
      <c r="D136" s="15" t="s">
        <v>687</v>
      </c>
      <c r="E136" s="6">
        <v>203</v>
      </c>
      <c r="F136" s="4"/>
      <c r="G136" s="6">
        <v>203</v>
      </c>
      <c r="H136" s="4"/>
      <c r="I136" s="9"/>
      <c r="J136" s="4"/>
      <c r="K136" s="4"/>
      <c r="L136" s="10"/>
      <c r="M136" s="10" t="s">
        <v>46</v>
      </c>
      <c r="N136" s="10"/>
      <c r="O136" s="4"/>
      <c r="P136" s="4"/>
      <c r="Q136" s="18" t="s">
        <v>84</v>
      </c>
    </row>
    <row r="137" spans="1:17" ht="15">
      <c r="A137" s="4" t="str">
        <f t="shared" si="2"/>
        <v>136</v>
      </c>
      <c r="B137" s="1" t="s">
        <v>33</v>
      </c>
      <c r="C137" s="6" t="s">
        <v>43</v>
      </c>
      <c r="D137" s="15" t="s">
        <v>687</v>
      </c>
      <c r="E137" s="6">
        <v>204</v>
      </c>
      <c r="F137" s="4"/>
      <c r="G137" s="6">
        <v>204</v>
      </c>
      <c r="H137" s="4"/>
      <c r="I137" s="9"/>
      <c r="J137" s="4"/>
      <c r="K137" s="4"/>
      <c r="L137" s="10"/>
      <c r="M137" s="10" t="s">
        <v>46</v>
      </c>
      <c r="N137" s="10"/>
      <c r="O137" s="4"/>
      <c r="P137" s="4"/>
      <c r="Q137" s="18" t="s">
        <v>85</v>
      </c>
    </row>
    <row r="138" spans="1:17" ht="15">
      <c r="A138" s="4" t="str">
        <f t="shared" si="2"/>
        <v>137</v>
      </c>
      <c r="B138" s="1" t="s">
        <v>33</v>
      </c>
      <c r="C138" s="6" t="s">
        <v>43</v>
      </c>
      <c r="D138" s="15" t="s">
        <v>687</v>
      </c>
      <c r="E138" s="6">
        <v>301</v>
      </c>
      <c r="F138" s="4"/>
      <c r="G138" s="6">
        <v>301</v>
      </c>
      <c r="H138" s="4"/>
      <c r="I138" s="9"/>
      <c r="J138" s="4"/>
      <c r="K138" s="4"/>
      <c r="L138" s="10"/>
      <c r="M138" s="10" t="s">
        <v>46</v>
      </c>
      <c r="N138" s="10"/>
      <c r="O138" s="4"/>
      <c r="P138" s="4"/>
      <c r="Q138" s="18" t="s">
        <v>86</v>
      </c>
    </row>
    <row r="139" spans="1:17" ht="15">
      <c r="A139" s="4" t="str">
        <f t="shared" si="2"/>
        <v>138</v>
      </c>
      <c r="B139" s="1" t="s">
        <v>33</v>
      </c>
      <c r="C139" s="6" t="s">
        <v>43</v>
      </c>
      <c r="D139" s="15" t="s">
        <v>687</v>
      </c>
      <c r="E139" s="6">
        <v>302</v>
      </c>
      <c r="F139" s="4"/>
      <c r="G139" s="6">
        <v>302</v>
      </c>
      <c r="H139" s="4"/>
      <c r="I139" s="9"/>
      <c r="J139" s="4"/>
      <c r="K139" s="4"/>
      <c r="L139" s="10"/>
      <c r="M139" s="10" t="s">
        <v>46</v>
      </c>
      <c r="N139" s="10"/>
      <c r="O139" s="4"/>
      <c r="P139" s="4"/>
      <c r="Q139" s="18" t="s">
        <v>87</v>
      </c>
    </row>
    <row r="140" spans="1:17" ht="15">
      <c r="A140" s="4" t="str">
        <f t="shared" si="2"/>
        <v>139</v>
      </c>
      <c r="B140" s="1" t="s">
        <v>33</v>
      </c>
      <c r="C140" s="6" t="s">
        <v>43</v>
      </c>
      <c r="D140" s="15" t="s">
        <v>687</v>
      </c>
      <c r="E140" s="6">
        <v>303</v>
      </c>
      <c r="F140" s="4"/>
      <c r="G140" s="6">
        <v>303</v>
      </c>
      <c r="H140" s="4"/>
      <c r="I140" s="9"/>
      <c r="J140" s="4"/>
      <c r="K140" s="4"/>
      <c r="L140" s="10"/>
      <c r="M140" s="10" t="s">
        <v>46</v>
      </c>
      <c r="N140" s="10"/>
      <c r="O140" s="4"/>
      <c r="P140" s="4"/>
      <c r="Q140" s="18" t="s">
        <v>88</v>
      </c>
    </row>
    <row r="141" spans="1:17" ht="15">
      <c r="A141" s="4" t="str">
        <f t="shared" si="2"/>
        <v>140</v>
      </c>
      <c r="B141" s="1" t="s">
        <v>33</v>
      </c>
      <c r="C141" s="6" t="s">
        <v>43</v>
      </c>
      <c r="D141" s="15" t="s">
        <v>687</v>
      </c>
      <c r="E141" s="6">
        <v>304</v>
      </c>
      <c r="F141" s="4"/>
      <c r="G141" s="6">
        <v>304</v>
      </c>
      <c r="H141" s="4"/>
      <c r="I141" s="9"/>
      <c r="J141" s="4"/>
      <c r="K141" s="4"/>
      <c r="L141" s="10"/>
      <c r="M141" s="10" t="s">
        <v>46</v>
      </c>
      <c r="N141" s="10"/>
      <c r="O141" s="4"/>
      <c r="P141" s="4"/>
      <c r="Q141" s="18" t="s">
        <v>89</v>
      </c>
    </row>
    <row r="142" spans="1:17" ht="15">
      <c r="A142" s="4" t="str">
        <f t="shared" si="2"/>
        <v>141</v>
      </c>
      <c r="B142" s="1" t="s">
        <v>33</v>
      </c>
      <c r="C142" s="6" t="s">
        <v>43</v>
      </c>
      <c r="D142" s="15" t="s">
        <v>687</v>
      </c>
      <c r="E142" s="6">
        <v>401</v>
      </c>
      <c r="F142" s="4"/>
      <c r="G142" s="6">
        <v>401</v>
      </c>
      <c r="H142" s="4"/>
      <c r="I142" s="9"/>
      <c r="J142" s="4"/>
      <c r="K142" s="4"/>
      <c r="L142" s="10"/>
      <c r="M142" s="10" t="s">
        <v>46</v>
      </c>
      <c r="N142" s="10"/>
      <c r="O142" s="4"/>
      <c r="P142" s="4"/>
      <c r="Q142" s="18" t="s">
        <v>90</v>
      </c>
    </row>
    <row r="143" spans="1:17" ht="15">
      <c r="A143" s="4" t="str">
        <f t="shared" si="2"/>
        <v>142</v>
      </c>
      <c r="B143" s="1" t="s">
        <v>33</v>
      </c>
      <c r="C143" s="6" t="s">
        <v>43</v>
      </c>
      <c r="D143" s="15" t="s">
        <v>687</v>
      </c>
      <c r="E143" s="6">
        <v>402</v>
      </c>
      <c r="F143" s="4"/>
      <c r="G143" s="6">
        <v>402</v>
      </c>
      <c r="H143" s="4"/>
      <c r="I143" s="9"/>
      <c r="J143" s="4"/>
      <c r="K143" s="4"/>
      <c r="L143" s="10"/>
      <c r="M143" s="10" t="s">
        <v>46</v>
      </c>
      <c r="N143" s="10"/>
      <c r="O143" s="4"/>
      <c r="P143" s="4"/>
      <c r="Q143" s="18" t="s">
        <v>91</v>
      </c>
    </row>
    <row r="144" spans="1:17" ht="15">
      <c r="A144" s="4" t="str">
        <f t="shared" si="2"/>
        <v>143</v>
      </c>
      <c r="B144" s="1" t="s">
        <v>33</v>
      </c>
      <c r="C144" s="6" t="s">
        <v>43</v>
      </c>
      <c r="D144" s="15" t="s">
        <v>687</v>
      </c>
      <c r="E144" s="6">
        <v>403</v>
      </c>
      <c r="F144" s="4"/>
      <c r="G144" s="6">
        <v>403</v>
      </c>
      <c r="H144" s="4"/>
      <c r="I144" s="9"/>
      <c r="J144" s="4"/>
      <c r="K144" s="4"/>
      <c r="L144" s="10"/>
      <c r="M144" s="10" t="s">
        <v>46</v>
      </c>
      <c r="N144" s="10"/>
      <c r="O144" s="4"/>
      <c r="P144" s="4"/>
      <c r="Q144" s="18" t="s">
        <v>92</v>
      </c>
    </row>
    <row r="145" spans="1:17" ht="15">
      <c r="A145" s="4" t="str">
        <f t="shared" si="2"/>
        <v>144</v>
      </c>
      <c r="B145" s="1" t="s">
        <v>33</v>
      </c>
      <c r="C145" s="6" t="s">
        <v>43</v>
      </c>
      <c r="D145" s="15" t="s">
        <v>687</v>
      </c>
      <c r="E145" s="6">
        <v>404</v>
      </c>
      <c r="F145" s="4"/>
      <c r="G145" s="6">
        <v>404</v>
      </c>
      <c r="H145" s="4"/>
      <c r="I145" s="9"/>
      <c r="J145" s="4"/>
      <c r="K145" s="4"/>
      <c r="L145" s="10"/>
      <c r="M145" s="10" t="s">
        <v>46</v>
      </c>
      <c r="N145" s="10"/>
      <c r="O145" s="4"/>
      <c r="P145" s="4"/>
      <c r="Q145" s="18" t="s">
        <v>393</v>
      </c>
    </row>
    <row r="146" spans="1:17" ht="15">
      <c r="A146" s="4" t="str">
        <f t="shared" si="2"/>
        <v>145</v>
      </c>
      <c r="B146" s="1" t="s">
        <v>33</v>
      </c>
      <c r="C146" s="6" t="s">
        <v>43</v>
      </c>
      <c r="D146" s="15" t="s">
        <v>687</v>
      </c>
      <c r="E146" s="6">
        <v>501</v>
      </c>
      <c r="F146" s="4"/>
      <c r="G146" s="6">
        <v>501</v>
      </c>
      <c r="H146" s="4"/>
      <c r="I146" s="9"/>
      <c r="J146" s="4"/>
      <c r="K146" s="4"/>
      <c r="L146" s="10"/>
      <c r="M146" s="10" t="s">
        <v>46</v>
      </c>
      <c r="N146" s="10"/>
      <c r="O146" s="4"/>
      <c r="P146" s="4"/>
      <c r="Q146" s="18" t="s">
        <v>93</v>
      </c>
    </row>
    <row r="147" spans="1:17" ht="15">
      <c r="A147" s="4" t="str">
        <f t="shared" si="2"/>
        <v>146</v>
      </c>
      <c r="B147" s="1" t="s">
        <v>33</v>
      </c>
      <c r="C147" s="6" t="s">
        <v>43</v>
      </c>
      <c r="D147" s="15" t="s">
        <v>687</v>
      </c>
      <c r="E147" s="6">
        <v>502</v>
      </c>
      <c r="F147" s="4"/>
      <c r="G147" s="6">
        <v>502</v>
      </c>
      <c r="H147" s="4"/>
      <c r="I147" s="9"/>
      <c r="J147" s="4"/>
      <c r="K147" s="4"/>
      <c r="L147" s="10"/>
      <c r="M147" s="10" t="s">
        <v>46</v>
      </c>
      <c r="N147" s="10"/>
      <c r="O147" s="4"/>
      <c r="P147" s="4"/>
      <c r="Q147" s="18" t="s">
        <v>94</v>
      </c>
    </row>
    <row r="148" spans="1:17" ht="15">
      <c r="A148" s="4" t="str">
        <f t="shared" si="2"/>
        <v>147</v>
      </c>
      <c r="B148" s="1" t="s">
        <v>33</v>
      </c>
      <c r="C148" s="6" t="s">
        <v>43</v>
      </c>
      <c r="D148" s="15" t="s">
        <v>687</v>
      </c>
      <c r="E148" s="6">
        <v>503</v>
      </c>
      <c r="F148" s="4"/>
      <c r="G148" s="6">
        <v>503</v>
      </c>
      <c r="H148" s="4"/>
      <c r="I148" s="9"/>
      <c r="J148" s="4"/>
      <c r="K148" s="4"/>
      <c r="L148" s="10"/>
      <c r="M148" s="10" t="s">
        <v>46</v>
      </c>
      <c r="N148" s="10"/>
      <c r="O148" s="4"/>
      <c r="P148" s="4"/>
      <c r="Q148" s="18" t="s">
        <v>95</v>
      </c>
    </row>
    <row r="149" spans="1:17" ht="15">
      <c r="A149" s="4" t="str">
        <f t="shared" si="2"/>
        <v>148</v>
      </c>
      <c r="B149" s="1" t="s">
        <v>33</v>
      </c>
      <c r="C149" s="6" t="s">
        <v>43</v>
      </c>
      <c r="D149" s="15" t="s">
        <v>687</v>
      </c>
      <c r="E149" s="6">
        <v>504</v>
      </c>
      <c r="F149" s="4"/>
      <c r="G149" s="6">
        <v>504</v>
      </c>
      <c r="H149" s="4"/>
      <c r="I149" s="9"/>
      <c r="J149" s="4"/>
      <c r="K149" s="4"/>
      <c r="L149" s="10"/>
      <c r="M149" s="10" t="s">
        <v>46</v>
      </c>
      <c r="N149" s="10"/>
      <c r="O149" s="4"/>
      <c r="P149" s="4"/>
      <c r="Q149" s="18" t="s">
        <v>96</v>
      </c>
    </row>
    <row r="150" spans="1:17" ht="15">
      <c r="A150" s="4" t="str">
        <f t="shared" si="2"/>
        <v>149</v>
      </c>
      <c r="B150" s="1" t="s">
        <v>33</v>
      </c>
      <c r="C150" s="6" t="s">
        <v>43</v>
      </c>
      <c r="D150" s="15" t="s">
        <v>687</v>
      </c>
      <c r="E150" s="6">
        <v>601</v>
      </c>
      <c r="F150" s="4"/>
      <c r="G150" s="6">
        <v>601</v>
      </c>
      <c r="H150" s="4"/>
      <c r="I150" s="9"/>
      <c r="J150" s="4"/>
      <c r="K150" s="4"/>
      <c r="L150" s="10"/>
      <c r="M150" s="10" t="s">
        <v>46</v>
      </c>
      <c r="N150" s="10"/>
      <c r="O150" s="4"/>
      <c r="P150" s="4"/>
      <c r="Q150" s="18" t="s">
        <v>97</v>
      </c>
    </row>
    <row r="151" spans="1:17" ht="15">
      <c r="A151" s="4" t="str">
        <f t="shared" si="2"/>
        <v>150</v>
      </c>
      <c r="B151" s="1" t="s">
        <v>33</v>
      </c>
      <c r="C151" s="6" t="s">
        <v>43</v>
      </c>
      <c r="D151" s="15" t="s">
        <v>687</v>
      </c>
      <c r="E151" s="6">
        <v>602</v>
      </c>
      <c r="F151" s="4"/>
      <c r="G151" s="6">
        <v>602</v>
      </c>
      <c r="H151" s="4"/>
      <c r="I151" s="9"/>
      <c r="J151" s="4"/>
      <c r="K151" s="4"/>
      <c r="L151" s="10"/>
      <c r="M151" s="10" t="s">
        <v>46</v>
      </c>
      <c r="N151" s="10"/>
      <c r="O151" s="4"/>
      <c r="P151" s="4"/>
      <c r="Q151" s="18" t="s">
        <v>98</v>
      </c>
    </row>
    <row r="152" spans="1:17" ht="15">
      <c r="A152" s="4" t="str">
        <f t="shared" si="2"/>
        <v>151</v>
      </c>
      <c r="B152" s="1" t="s">
        <v>33</v>
      </c>
      <c r="C152" s="6" t="s">
        <v>43</v>
      </c>
      <c r="D152" s="15" t="s">
        <v>687</v>
      </c>
      <c r="E152" s="6">
        <v>603</v>
      </c>
      <c r="F152" s="4"/>
      <c r="G152" s="6">
        <v>603</v>
      </c>
      <c r="H152" s="4"/>
      <c r="I152" s="9"/>
      <c r="J152" s="4"/>
      <c r="K152" s="4"/>
      <c r="L152" s="10"/>
      <c r="M152" s="10" t="s">
        <v>46</v>
      </c>
      <c r="N152" s="10"/>
      <c r="O152" s="4"/>
      <c r="P152" s="4"/>
      <c r="Q152" s="18" t="s">
        <v>99</v>
      </c>
    </row>
    <row r="153" spans="1:17" ht="15">
      <c r="A153" s="4" t="str">
        <f t="shared" si="2"/>
        <v>152</v>
      </c>
      <c r="B153" s="1" t="s">
        <v>33</v>
      </c>
      <c r="C153" s="6" t="s">
        <v>43</v>
      </c>
      <c r="D153" s="15" t="s">
        <v>687</v>
      </c>
      <c r="E153" s="6">
        <v>604</v>
      </c>
      <c r="F153" s="4"/>
      <c r="G153" s="6">
        <v>604</v>
      </c>
      <c r="H153" s="4"/>
      <c r="I153" s="9"/>
      <c r="J153" s="4"/>
      <c r="K153" s="4"/>
      <c r="L153" s="10"/>
      <c r="M153" s="10" t="s">
        <v>46</v>
      </c>
      <c r="N153" s="10"/>
      <c r="O153" s="4"/>
      <c r="P153" s="4"/>
      <c r="Q153" s="18" t="s">
        <v>100</v>
      </c>
    </row>
    <row r="154" spans="1:17" ht="15">
      <c r="A154" s="4" t="str">
        <f t="shared" si="2"/>
        <v>153</v>
      </c>
      <c r="B154" s="1" t="s">
        <v>33</v>
      </c>
      <c r="C154" s="6" t="s">
        <v>689</v>
      </c>
      <c r="D154" s="15" t="s">
        <v>686</v>
      </c>
      <c r="E154" s="6">
        <v>501</v>
      </c>
      <c r="F154" s="4"/>
      <c r="G154" s="6">
        <v>501</v>
      </c>
      <c r="H154" s="4"/>
      <c r="I154" s="9"/>
      <c r="J154" s="4"/>
      <c r="K154" s="4"/>
      <c r="L154" s="10"/>
      <c r="M154" s="10" t="s">
        <v>46</v>
      </c>
      <c r="N154" s="10"/>
      <c r="O154" s="4"/>
      <c r="P154" s="4"/>
      <c r="Q154" s="18" t="s">
        <v>394</v>
      </c>
    </row>
    <row r="155" spans="1:17" ht="15">
      <c r="A155" s="4" t="str">
        <f t="shared" si="2"/>
        <v>154</v>
      </c>
      <c r="B155" s="1" t="s">
        <v>33</v>
      </c>
      <c r="C155" s="6" t="s">
        <v>689</v>
      </c>
      <c r="D155" s="15" t="s">
        <v>686</v>
      </c>
      <c r="E155" s="6">
        <v>502</v>
      </c>
      <c r="F155" s="4"/>
      <c r="G155" s="6">
        <v>502</v>
      </c>
      <c r="H155" s="4"/>
      <c r="I155" s="9"/>
      <c r="J155" s="4"/>
      <c r="K155" s="4"/>
      <c r="L155" s="10"/>
      <c r="M155" s="10" t="s">
        <v>46</v>
      </c>
      <c r="N155" s="10"/>
      <c r="O155" s="4"/>
      <c r="P155" s="4"/>
      <c r="Q155" s="18" t="s">
        <v>241</v>
      </c>
    </row>
    <row r="156" spans="1:17" ht="15">
      <c r="A156" s="4" t="str">
        <f t="shared" si="2"/>
        <v>155</v>
      </c>
      <c r="B156" s="1" t="s">
        <v>33</v>
      </c>
      <c r="C156" s="6" t="s">
        <v>689</v>
      </c>
      <c r="D156" s="15" t="s">
        <v>686</v>
      </c>
      <c r="E156" s="6">
        <v>503</v>
      </c>
      <c r="F156" s="4"/>
      <c r="G156" s="6">
        <v>503</v>
      </c>
      <c r="H156" s="4"/>
      <c r="I156" s="9"/>
      <c r="J156" s="4"/>
      <c r="K156" s="4"/>
      <c r="L156" s="10"/>
      <c r="M156" s="10" t="s">
        <v>46</v>
      </c>
      <c r="N156" s="10"/>
      <c r="O156" s="4"/>
      <c r="P156" s="4"/>
      <c r="Q156" s="18" t="s">
        <v>395</v>
      </c>
    </row>
    <row r="157" spans="1:17" ht="15">
      <c r="A157" s="4" t="str">
        <f t="shared" si="2"/>
        <v>156</v>
      </c>
      <c r="B157" s="1" t="s">
        <v>33</v>
      </c>
      <c r="C157" s="6" t="s">
        <v>689</v>
      </c>
      <c r="D157" s="15" t="s">
        <v>686</v>
      </c>
      <c r="E157" s="6">
        <v>504</v>
      </c>
      <c r="F157" s="4"/>
      <c r="G157" s="6">
        <v>504</v>
      </c>
      <c r="H157" s="4"/>
      <c r="I157" s="9"/>
      <c r="J157" s="4"/>
      <c r="K157" s="4"/>
      <c r="L157" s="10"/>
      <c r="M157" s="10" t="s">
        <v>46</v>
      </c>
      <c r="N157" s="10"/>
      <c r="O157" s="4"/>
      <c r="P157" s="4"/>
      <c r="Q157" s="18" t="s">
        <v>396</v>
      </c>
    </row>
    <row r="158" spans="1:17" ht="15">
      <c r="A158" s="4" t="str">
        <f t="shared" si="2"/>
        <v>157</v>
      </c>
      <c r="B158" s="1" t="s">
        <v>33</v>
      </c>
      <c r="C158" s="6" t="s">
        <v>689</v>
      </c>
      <c r="D158" s="15" t="s">
        <v>686</v>
      </c>
      <c r="E158" s="6">
        <v>401</v>
      </c>
      <c r="F158" s="4"/>
      <c r="G158" s="6">
        <v>401</v>
      </c>
      <c r="H158" s="4"/>
      <c r="I158" s="9"/>
      <c r="J158" s="4"/>
      <c r="K158" s="4"/>
      <c r="L158" s="10"/>
      <c r="M158" s="10" t="s">
        <v>46</v>
      </c>
      <c r="N158" s="10"/>
      <c r="O158" s="4"/>
      <c r="P158" s="4"/>
      <c r="Q158" s="18" t="s">
        <v>397</v>
      </c>
    </row>
    <row r="159" spans="1:17" ht="15">
      <c r="A159" s="4" t="str">
        <f t="shared" si="2"/>
        <v>158</v>
      </c>
      <c r="B159" s="1" t="s">
        <v>33</v>
      </c>
      <c r="C159" s="6" t="s">
        <v>689</v>
      </c>
      <c r="D159" s="15" t="s">
        <v>686</v>
      </c>
      <c r="E159" s="6">
        <v>402</v>
      </c>
      <c r="F159" s="4"/>
      <c r="G159" s="6">
        <v>402</v>
      </c>
      <c r="H159" s="4"/>
      <c r="I159" s="9"/>
      <c r="J159" s="4"/>
      <c r="K159" s="4"/>
      <c r="L159" s="10"/>
      <c r="M159" s="10" t="s">
        <v>46</v>
      </c>
      <c r="N159" s="10"/>
      <c r="O159" s="4"/>
      <c r="P159" s="4"/>
      <c r="Q159" s="18" t="s">
        <v>398</v>
      </c>
    </row>
    <row r="160" spans="1:17" ht="15">
      <c r="A160" s="4" t="str">
        <f t="shared" si="2"/>
        <v>159</v>
      </c>
      <c r="B160" s="1" t="s">
        <v>33</v>
      </c>
      <c r="C160" s="6" t="s">
        <v>689</v>
      </c>
      <c r="D160" s="15" t="s">
        <v>686</v>
      </c>
      <c r="E160" s="6">
        <v>403</v>
      </c>
      <c r="F160" s="4"/>
      <c r="G160" s="6">
        <v>403</v>
      </c>
      <c r="H160" s="4"/>
      <c r="I160" s="9"/>
      <c r="J160" s="4"/>
      <c r="K160" s="4"/>
      <c r="L160" s="10"/>
      <c r="M160" s="10" t="s">
        <v>46</v>
      </c>
      <c r="N160" s="10"/>
      <c r="O160" s="4"/>
      <c r="P160" s="4"/>
      <c r="Q160" s="18" t="s">
        <v>399</v>
      </c>
    </row>
    <row r="161" spans="1:17" ht="15">
      <c r="A161" s="4" t="str">
        <f t="shared" si="2"/>
        <v>160</v>
      </c>
      <c r="B161" s="1" t="s">
        <v>33</v>
      </c>
      <c r="C161" s="6" t="s">
        <v>689</v>
      </c>
      <c r="D161" s="15" t="s">
        <v>686</v>
      </c>
      <c r="E161" s="6">
        <v>404</v>
      </c>
      <c r="F161" s="4"/>
      <c r="G161" s="6">
        <v>404</v>
      </c>
      <c r="H161" s="4"/>
      <c r="I161" s="9"/>
      <c r="J161" s="4"/>
      <c r="K161" s="4"/>
      <c r="L161" s="10"/>
      <c r="M161" s="10" t="s">
        <v>46</v>
      </c>
      <c r="N161" s="10"/>
      <c r="O161" s="4"/>
      <c r="P161" s="4"/>
      <c r="Q161" s="18" t="s">
        <v>400</v>
      </c>
    </row>
    <row r="162" spans="1:17" ht="15">
      <c r="A162" s="4" t="str">
        <f t="shared" si="2"/>
        <v>161</v>
      </c>
      <c r="B162" s="1" t="s">
        <v>33</v>
      </c>
      <c r="C162" s="6" t="s">
        <v>689</v>
      </c>
      <c r="D162" s="15" t="s">
        <v>686</v>
      </c>
      <c r="E162" s="6">
        <v>301</v>
      </c>
      <c r="F162" s="4"/>
      <c r="G162" s="6">
        <v>301</v>
      </c>
      <c r="H162" s="4"/>
      <c r="I162" s="9"/>
      <c r="J162" s="4"/>
      <c r="K162" s="4"/>
      <c r="L162" s="10"/>
      <c r="M162" s="10" t="s">
        <v>46</v>
      </c>
      <c r="N162" s="10"/>
      <c r="O162" s="4"/>
      <c r="P162" s="4"/>
      <c r="Q162" s="18" t="s">
        <v>401</v>
      </c>
    </row>
    <row r="163" spans="1:17" ht="15">
      <c r="A163" s="4" t="str">
        <f t="shared" si="2"/>
        <v>162</v>
      </c>
      <c r="B163" s="1" t="s">
        <v>33</v>
      </c>
      <c r="C163" s="6" t="s">
        <v>689</v>
      </c>
      <c r="D163" s="15" t="s">
        <v>686</v>
      </c>
      <c r="E163" s="6">
        <v>302</v>
      </c>
      <c r="F163" s="4"/>
      <c r="G163" s="6">
        <v>302</v>
      </c>
      <c r="H163" s="4"/>
      <c r="I163" s="9"/>
      <c r="J163" s="4"/>
      <c r="K163" s="4"/>
      <c r="L163" s="10"/>
      <c r="M163" s="10" t="s">
        <v>46</v>
      </c>
      <c r="N163" s="10"/>
      <c r="O163" s="4"/>
      <c r="P163" s="4"/>
      <c r="Q163" s="18" t="s">
        <v>402</v>
      </c>
    </row>
    <row r="164" spans="1:17" ht="15">
      <c r="A164" s="4" t="str">
        <f t="shared" si="2"/>
        <v>163</v>
      </c>
      <c r="B164" s="1" t="s">
        <v>33</v>
      </c>
      <c r="C164" s="6" t="s">
        <v>689</v>
      </c>
      <c r="D164" s="15" t="s">
        <v>686</v>
      </c>
      <c r="E164" s="6">
        <v>303</v>
      </c>
      <c r="F164" s="4"/>
      <c r="G164" s="6">
        <v>303</v>
      </c>
      <c r="H164" s="4"/>
      <c r="I164" s="9"/>
      <c r="J164" s="4"/>
      <c r="K164" s="4"/>
      <c r="L164" s="10"/>
      <c r="M164" s="10" t="s">
        <v>46</v>
      </c>
      <c r="N164" s="10"/>
      <c r="O164" s="4"/>
      <c r="P164" s="4"/>
      <c r="Q164" s="18" t="s">
        <v>403</v>
      </c>
    </row>
    <row r="165" spans="1:17" ht="15">
      <c r="A165" s="4" t="str">
        <f t="shared" si="2"/>
        <v>164</v>
      </c>
      <c r="B165" s="1" t="s">
        <v>33</v>
      </c>
      <c r="C165" s="6" t="s">
        <v>689</v>
      </c>
      <c r="D165" s="15" t="s">
        <v>686</v>
      </c>
      <c r="E165" s="6">
        <v>304</v>
      </c>
      <c r="F165" s="4"/>
      <c r="G165" s="6">
        <v>304</v>
      </c>
      <c r="H165" s="4"/>
      <c r="I165" s="9"/>
      <c r="J165" s="4"/>
      <c r="K165" s="4"/>
      <c r="L165" s="10"/>
      <c r="M165" s="10" t="s">
        <v>46</v>
      </c>
      <c r="N165" s="10"/>
      <c r="O165" s="4"/>
      <c r="P165" s="4"/>
      <c r="Q165" s="18" t="s">
        <v>404</v>
      </c>
    </row>
    <row r="166" spans="1:17" ht="15">
      <c r="A166" s="4" t="str">
        <f t="shared" si="2"/>
        <v>165</v>
      </c>
      <c r="B166" s="1" t="s">
        <v>33</v>
      </c>
      <c r="C166" s="6" t="s">
        <v>689</v>
      </c>
      <c r="D166" s="15" t="s">
        <v>686</v>
      </c>
      <c r="E166" s="6">
        <v>201</v>
      </c>
      <c r="F166" s="4"/>
      <c r="G166" s="6">
        <v>201</v>
      </c>
      <c r="H166" s="4"/>
      <c r="I166" s="9"/>
      <c r="J166" s="4"/>
      <c r="K166" s="4"/>
      <c r="L166" s="10"/>
      <c r="M166" s="10" t="s">
        <v>46</v>
      </c>
      <c r="N166" s="10"/>
      <c r="O166" s="4"/>
      <c r="P166" s="4"/>
      <c r="Q166" s="18" t="s">
        <v>405</v>
      </c>
    </row>
    <row r="167" spans="1:17" ht="15">
      <c r="A167" s="4" t="str">
        <f t="shared" si="2"/>
        <v>166</v>
      </c>
      <c r="B167" s="1" t="s">
        <v>33</v>
      </c>
      <c r="C167" s="6" t="s">
        <v>689</v>
      </c>
      <c r="D167" s="15" t="s">
        <v>686</v>
      </c>
      <c r="E167" s="6">
        <v>202</v>
      </c>
      <c r="F167" s="4"/>
      <c r="G167" s="6">
        <v>202</v>
      </c>
      <c r="H167" s="4"/>
      <c r="I167" s="9"/>
      <c r="J167" s="4"/>
      <c r="K167" s="4"/>
      <c r="L167" s="10"/>
      <c r="M167" s="10" t="s">
        <v>46</v>
      </c>
      <c r="N167" s="10"/>
      <c r="O167" s="4"/>
      <c r="P167" s="4"/>
      <c r="Q167" s="18" t="s">
        <v>406</v>
      </c>
    </row>
    <row r="168" spans="1:17" ht="15">
      <c r="A168" s="4" t="str">
        <f t="shared" si="2"/>
        <v>167</v>
      </c>
      <c r="B168" s="1" t="s">
        <v>33</v>
      </c>
      <c r="C168" s="6" t="s">
        <v>689</v>
      </c>
      <c r="D168" s="15" t="s">
        <v>686</v>
      </c>
      <c r="E168" s="6">
        <v>203</v>
      </c>
      <c r="F168" s="4"/>
      <c r="G168" s="6">
        <v>203</v>
      </c>
      <c r="H168" s="4"/>
      <c r="I168" s="9"/>
      <c r="J168" s="4"/>
      <c r="K168" s="4"/>
      <c r="L168" s="10"/>
      <c r="M168" s="10" t="s">
        <v>46</v>
      </c>
      <c r="N168" s="10"/>
      <c r="O168" s="4"/>
      <c r="P168" s="4"/>
      <c r="Q168" s="18" t="s">
        <v>407</v>
      </c>
    </row>
    <row r="169" spans="1:17" ht="15">
      <c r="A169" s="4" t="str">
        <f t="shared" si="2"/>
        <v>168</v>
      </c>
      <c r="B169" s="1" t="s">
        <v>33</v>
      </c>
      <c r="C169" s="6" t="s">
        <v>689</v>
      </c>
      <c r="D169" s="15" t="s">
        <v>686</v>
      </c>
      <c r="E169" s="6">
        <v>204</v>
      </c>
      <c r="F169" s="4"/>
      <c r="G169" s="6">
        <v>204</v>
      </c>
      <c r="H169" s="4"/>
      <c r="I169" s="9"/>
      <c r="J169" s="4"/>
      <c r="K169" s="4"/>
      <c r="L169" s="10"/>
      <c r="M169" s="10" t="s">
        <v>46</v>
      </c>
      <c r="N169" s="10"/>
      <c r="O169" s="4"/>
      <c r="P169" s="4"/>
      <c r="Q169" s="18" t="s">
        <v>408</v>
      </c>
    </row>
    <row r="170" spans="1:17" ht="15">
      <c r="A170" s="4" t="str">
        <f t="shared" si="2"/>
        <v>169</v>
      </c>
      <c r="B170" s="1" t="s">
        <v>33</v>
      </c>
      <c r="C170" s="6" t="s">
        <v>689</v>
      </c>
      <c r="D170" s="15" t="s">
        <v>686</v>
      </c>
      <c r="E170" s="6">
        <v>101</v>
      </c>
      <c r="F170" s="4"/>
      <c r="G170" s="6">
        <v>101</v>
      </c>
      <c r="H170" s="4"/>
      <c r="I170" s="9"/>
      <c r="J170" s="4"/>
      <c r="K170" s="4"/>
      <c r="L170" s="10"/>
      <c r="M170" s="10" t="s">
        <v>46</v>
      </c>
      <c r="N170" s="10"/>
      <c r="O170" s="4"/>
      <c r="P170" s="4"/>
      <c r="Q170" s="18" t="s">
        <v>409</v>
      </c>
    </row>
    <row r="171" spans="1:17" ht="15">
      <c r="A171" s="4" t="str">
        <f t="shared" si="2"/>
        <v>170</v>
      </c>
      <c r="B171" s="1" t="s">
        <v>33</v>
      </c>
      <c r="C171" s="6" t="s">
        <v>689</v>
      </c>
      <c r="D171" s="15" t="s">
        <v>686</v>
      </c>
      <c r="E171" s="6">
        <v>102</v>
      </c>
      <c r="F171" s="4"/>
      <c r="G171" s="6">
        <v>102</v>
      </c>
      <c r="H171" s="4"/>
      <c r="I171" s="9"/>
      <c r="J171" s="4"/>
      <c r="K171" s="4"/>
      <c r="L171" s="10"/>
      <c r="M171" s="10" t="s">
        <v>46</v>
      </c>
      <c r="N171" s="10"/>
      <c r="O171" s="4"/>
      <c r="P171" s="4"/>
      <c r="Q171" s="18" t="s">
        <v>410</v>
      </c>
    </row>
    <row r="172" spans="1:17" ht="15">
      <c r="A172" s="4" t="str">
        <f t="shared" si="2"/>
        <v>171</v>
      </c>
      <c r="B172" s="1" t="s">
        <v>33</v>
      </c>
      <c r="C172" s="6" t="s">
        <v>689</v>
      </c>
      <c r="D172" s="15" t="s">
        <v>686</v>
      </c>
      <c r="E172" s="6">
        <v>103</v>
      </c>
      <c r="F172" s="4"/>
      <c r="G172" s="6">
        <v>103</v>
      </c>
      <c r="H172" s="4"/>
      <c r="I172" s="9"/>
      <c r="J172" s="4"/>
      <c r="K172" s="4"/>
      <c r="L172" s="10"/>
      <c r="M172" s="10" t="s">
        <v>46</v>
      </c>
      <c r="N172" s="10"/>
      <c r="O172" s="4"/>
      <c r="P172" s="4"/>
      <c r="Q172" s="18" t="s">
        <v>411</v>
      </c>
    </row>
    <row r="173" spans="1:17" ht="15">
      <c r="A173" s="4" t="str">
        <f t="shared" si="2"/>
        <v>172</v>
      </c>
      <c r="B173" s="1" t="s">
        <v>33</v>
      </c>
      <c r="C173" s="6" t="s">
        <v>689</v>
      </c>
      <c r="D173" s="15" t="s">
        <v>686</v>
      </c>
      <c r="E173" s="6">
        <v>104</v>
      </c>
      <c r="F173" s="4"/>
      <c r="G173" s="6">
        <v>104</v>
      </c>
      <c r="H173" s="4"/>
      <c r="I173" s="9"/>
      <c r="J173" s="4"/>
      <c r="K173" s="4"/>
      <c r="L173" s="10"/>
      <c r="M173" s="10" t="s">
        <v>46</v>
      </c>
      <c r="N173" s="10"/>
      <c r="O173" s="4"/>
      <c r="P173" s="4"/>
      <c r="Q173" s="18" t="s">
        <v>412</v>
      </c>
    </row>
    <row r="174" spans="1:17" ht="15">
      <c r="A174" s="4" t="str">
        <f t="shared" si="2"/>
        <v>173</v>
      </c>
      <c r="B174" s="1" t="s">
        <v>33</v>
      </c>
      <c r="C174" s="6" t="s">
        <v>689</v>
      </c>
      <c r="D174" s="15" t="s">
        <v>687</v>
      </c>
      <c r="E174" s="6">
        <v>501</v>
      </c>
      <c r="F174" s="4"/>
      <c r="G174" s="6">
        <v>501</v>
      </c>
      <c r="H174" s="4"/>
      <c r="I174" s="9"/>
      <c r="J174" s="4"/>
      <c r="K174" s="4"/>
      <c r="L174" s="10"/>
      <c r="M174" s="10" t="s">
        <v>46</v>
      </c>
      <c r="N174" s="10"/>
      <c r="O174" s="4"/>
      <c r="P174" s="4"/>
      <c r="Q174" s="18" t="s">
        <v>252</v>
      </c>
    </row>
    <row r="175" spans="1:17" ht="15">
      <c r="A175" s="4" t="str">
        <f t="shared" si="2"/>
        <v>174</v>
      </c>
      <c r="B175" s="1" t="s">
        <v>33</v>
      </c>
      <c r="C175" s="6" t="s">
        <v>689</v>
      </c>
      <c r="D175" s="15" t="s">
        <v>687</v>
      </c>
      <c r="E175" s="6">
        <v>502</v>
      </c>
      <c r="F175" s="4"/>
      <c r="G175" s="6">
        <v>502</v>
      </c>
      <c r="H175" s="4"/>
      <c r="I175" s="9"/>
      <c r="J175" s="4"/>
      <c r="K175" s="4"/>
      <c r="L175" s="10"/>
      <c r="M175" s="10" t="s">
        <v>46</v>
      </c>
      <c r="N175" s="10"/>
      <c r="O175" s="4"/>
      <c r="P175" s="4"/>
      <c r="Q175" s="18" t="s">
        <v>253</v>
      </c>
    </row>
    <row r="176" spans="1:17" ht="15">
      <c r="A176" s="4" t="str">
        <f t="shared" si="2"/>
        <v>175</v>
      </c>
      <c r="B176" s="1" t="s">
        <v>33</v>
      </c>
      <c r="C176" s="6" t="s">
        <v>689</v>
      </c>
      <c r="D176" s="15" t="s">
        <v>687</v>
      </c>
      <c r="E176" s="6">
        <v>503</v>
      </c>
      <c r="F176" s="4"/>
      <c r="G176" s="6">
        <v>503</v>
      </c>
      <c r="H176" s="4"/>
      <c r="I176" s="9"/>
      <c r="J176" s="4"/>
      <c r="K176" s="4"/>
      <c r="L176" s="10"/>
      <c r="M176" s="10" t="s">
        <v>46</v>
      </c>
      <c r="N176" s="10"/>
      <c r="O176" s="4"/>
      <c r="P176" s="4"/>
      <c r="Q176" s="18" t="s">
        <v>254</v>
      </c>
    </row>
    <row r="177" spans="1:17" ht="15">
      <c r="A177" s="4" t="str">
        <f t="shared" si="2"/>
        <v>176</v>
      </c>
      <c r="B177" s="1" t="s">
        <v>33</v>
      </c>
      <c r="C177" s="6" t="s">
        <v>689</v>
      </c>
      <c r="D177" s="15" t="s">
        <v>687</v>
      </c>
      <c r="E177" s="6">
        <v>504</v>
      </c>
      <c r="F177" s="4"/>
      <c r="G177" s="6">
        <v>504</v>
      </c>
      <c r="H177" s="4"/>
      <c r="I177" s="9"/>
      <c r="J177" s="4"/>
      <c r="K177" s="4"/>
      <c r="L177" s="10"/>
      <c r="M177" s="10" t="s">
        <v>46</v>
      </c>
      <c r="N177" s="10"/>
      <c r="O177" s="4"/>
      <c r="P177" s="4"/>
      <c r="Q177" s="18" t="s">
        <v>255</v>
      </c>
    </row>
    <row r="178" spans="1:17" ht="15">
      <c r="A178" s="4" t="str">
        <f t="shared" si="2"/>
        <v>177</v>
      </c>
      <c r="B178" s="1" t="s">
        <v>33</v>
      </c>
      <c r="C178" s="6" t="s">
        <v>689</v>
      </c>
      <c r="D178" s="15" t="s">
        <v>687</v>
      </c>
      <c r="E178" s="6">
        <v>401</v>
      </c>
      <c r="F178" s="4"/>
      <c r="G178" s="6">
        <v>401</v>
      </c>
      <c r="H178" s="4"/>
      <c r="I178" s="9"/>
      <c r="J178" s="4"/>
      <c r="K178" s="4"/>
      <c r="L178" s="10"/>
      <c r="M178" s="10" t="s">
        <v>46</v>
      </c>
      <c r="N178" s="10"/>
      <c r="O178" s="4"/>
      <c r="P178" s="4"/>
      <c r="Q178" s="18" t="s">
        <v>256</v>
      </c>
    </row>
    <row r="179" spans="1:17" ht="15">
      <c r="A179" s="4" t="str">
        <f t="shared" si="2"/>
        <v>178</v>
      </c>
      <c r="B179" s="1" t="s">
        <v>33</v>
      </c>
      <c r="C179" s="6" t="s">
        <v>689</v>
      </c>
      <c r="D179" s="15" t="s">
        <v>687</v>
      </c>
      <c r="E179" s="6">
        <v>402</v>
      </c>
      <c r="F179" s="4"/>
      <c r="G179" s="6">
        <v>402</v>
      </c>
      <c r="H179" s="4"/>
      <c r="I179" s="9"/>
      <c r="J179" s="4"/>
      <c r="K179" s="4"/>
      <c r="L179" s="10"/>
      <c r="M179" s="10" t="s">
        <v>46</v>
      </c>
      <c r="N179" s="10"/>
      <c r="O179" s="4"/>
      <c r="P179" s="4"/>
      <c r="Q179" s="18" t="s">
        <v>257</v>
      </c>
    </row>
    <row r="180" spans="1:17" ht="15">
      <c r="A180" s="4" t="str">
        <f t="shared" si="2"/>
        <v>179</v>
      </c>
      <c r="B180" s="1" t="s">
        <v>33</v>
      </c>
      <c r="C180" s="6" t="s">
        <v>689</v>
      </c>
      <c r="D180" s="15" t="s">
        <v>687</v>
      </c>
      <c r="E180" s="6">
        <v>403</v>
      </c>
      <c r="F180" s="4"/>
      <c r="G180" s="6">
        <v>403</v>
      </c>
      <c r="H180" s="4"/>
      <c r="I180" s="9"/>
      <c r="J180" s="4"/>
      <c r="K180" s="4"/>
      <c r="L180" s="10"/>
      <c r="M180" s="10" t="s">
        <v>46</v>
      </c>
      <c r="N180" s="10"/>
      <c r="O180" s="4"/>
      <c r="P180" s="4"/>
      <c r="Q180" s="18" t="s">
        <v>258</v>
      </c>
    </row>
    <row r="181" spans="1:17" ht="15">
      <c r="A181" s="4" t="str">
        <f t="shared" si="2"/>
        <v>180</v>
      </c>
      <c r="B181" s="1" t="s">
        <v>33</v>
      </c>
      <c r="C181" s="6" t="s">
        <v>689</v>
      </c>
      <c r="D181" s="15" t="s">
        <v>687</v>
      </c>
      <c r="E181" s="6">
        <v>404</v>
      </c>
      <c r="F181" s="4"/>
      <c r="G181" s="6">
        <v>404</v>
      </c>
      <c r="H181" s="4"/>
      <c r="I181" s="9"/>
      <c r="J181" s="4"/>
      <c r="K181" s="4"/>
      <c r="L181" s="10"/>
      <c r="M181" s="10" t="s">
        <v>46</v>
      </c>
      <c r="N181" s="10"/>
      <c r="O181" s="4"/>
      <c r="P181" s="4"/>
      <c r="Q181" s="18" t="s">
        <v>259</v>
      </c>
    </row>
    <row r="182" spans="1:17" ht="15">
      <c r="A182" s="4" t="str">
        <f t="shared" si="2"/>
        <v>181</v>
      </c>
      <c r="B182" s="1" t="s">
        <v>33</v>
      </c>
      <c r="C182" s="6" t="s">
        <v>689</v>
      </c>
      <c r="D182" s="15" t="s">
        <v>687</v>
      </c>
      <c r="E182" s="6">
        <v>301</v>
      </c>
      <c r="F182" s="4"/>
      <c r="G182" s="6">
        <v>301</v>
      </c>
      <c r="H182" s="4"/>
      <c r="I182" s="9"/>
      <c r="J182" s="4"/>
      <c r="K182" s="4"/>
      <c r="L182" s="10"/>
      <c r="M182" s="10" t="s">
        <v>46</v>
      </c>
      <c r="N182" s="10"/>
      <c r="O182" s="4"/>
      <c r="P182" s="4"/>
      <c r="Q182" s="18" t="s">
        <v>260</v>
      </c>
    </row>
    <row r="183" spans="1:17" ht="15">
      <c r="A183" s="4" t="str">
        <f t="shared" si="2"/>
        <v>182</v>
      </c>
      <c r="B183" s="1" t="s">
        <v>33</v>
      </c>
      <c r="C183" s="6" t="s">
        <v>689</v>
      </c>
      <c r="D183" s="15" t="s">
        <v>687</v>
      </c>
      <c r="E183" s="6">
        <v>302</v>
      </c>
      <c r="F183" s="4"/>
      <c r="G183" s="6">
        <v>302</v>
      </c>
      <c r="H183" s="4"/>
      <c r="I183" s="9"/>
      <c r="J183" s="4"/>
      <c r="K183" s="4"/>
      <c r="L183" s="10"/>
      <c r="M183" s="10" t="s">
        <v>46</v>
      </c>
      <c r="N183" s="10"/>
      <c r="O183" s="4"/>
      <c r="P183" s="4"/>
      <c r="Q183" s="18" t="s">
        <v>261</v>
      </c>
    </row>
    <row r="184" spans="1:17" ht="15">
      <c r="A184" s="4" t="str">
        <f t="shared" si="2"/>
        <v>183</v>
      </c>
      <c r="B184" s="1" t="s">
        <v>33</v>
      </c>
      <c r="C184" s="6" t="s">
        <v>689</v>
      </c>
      <c r="D184" s="15" t="s">
        <v>687</v>
      </c>
      <c r="E184" s="6">
        <v>303</v>
      </c>
      <c r="F184" s="4"/>
      <c r="G184" s="6">
        <v>303</v>
      </c>
      <c r="H184" s="4"/>
      <c r="I184" s="9"/>
      <c r="J184" s="4"/>
      <c r="K184" s="4"/>
      <c r="L184" s="10"/>
      <c r="M184" s="10" t="s">
        <v>46</v>
      </c>
      <c r="N184" s="10"/>
      <c r="O184" s="4"/>
      <c r="P184" s="4"/>
      <c r="Q184" s="18" t="s">
        <v>262</v>
      </c>
    </row>
    <row r="185" spans="1:17" ht="15">
      <c r="A185" s="4" t="str">
        <f t="shared" si="2"/>
        <v>184</v>
      </c>
      <c r="B185" s="1" t="s">
        <v>33</v>
      </c>
      <c r="C185" s="6" t="s">
        <v>689</v>
      </c>
      <c r="D185" s="15" t="s">
        <v>687</v>
      </c>
      <c r="E185" s="6">
        <v>304</v>
      </c>
      <c r="F185" s="4"/>
      <c r="G185" s="6">
        <v>304</v>
      </c>
      <c r="H185" s="4"/>
      <c r="I185" s="9"/>
      <c r="J185" s="4"/>
      <c r="K185" s="4"/>
      <c r="L185" s="10"/>
      <c r="M185" s="10" t="s">
        <v>46</v>
      </c>
      <c r="N185" s="10"/>
      <c r="O185" s="4"/>
      <c r="P185" s="4"/>
      <c r="Q185" s="18" t="s">
        <v>263</v>
      </c>
    </row>
    <row r="186" spans="1:17" ht="15">
      <c r="A186" s="4" t="str">
        <f t="shared" si="2"/>
        <v>185</v>
      </c>
      <c r="B186" s="1" t="s">
        <v>33</v>
      </c>
      <c r="C186" s="6" t="s">
        <v>689</v>
      </c>
      <c r="D186" s="15" t="s">
        <v>687</v>
      </c>
      <c r="E186" s="6">
        <v>201</v>
      </c>
      <c r="F186" s="4"/>
      <c r="G186" s="6">
        <v>201</v>
      </c>
      <c r="H186" s="4"/>
      <c r="I186" s="9"/>
      <c r="J186" s="4"/>
      <c r="K186" s="4"/>
      <c r="L186" s="10"/>
      <c r="M186" s="10" t="s">
        <v>46</v>
      </c>
      <c r="N186" s="10"/>
      <c r="O186" s="4"/>
      <c r="P186" s="4"/>
      <c r="Q186" s="18" t="s">
        <v>264</v>
      </c>
    </row>
    <row r="187" spans="1:17" ht="15">
      <c r="A187" s="4" t="str">
        <f t="shared" si="2"/>
        <v>186</v>
      </c>
      <c r="B187" s="1" t="s">
        <v>33</v>
      </c>
      <c r="C187" s="6" t="s">
        <v>689</v>
      </c>
      <c r="D187" s="15" t="s">
        <v>687</v>
      </c>
      <c r="E187" s="6">
        <v>202</v>
      </c>
      <c r="F187" s="4"/>
      <c r="G187" s="6">
        <v>202</v>
      </c>
      <c r="H187" s="4"/>
      <c r="I187" s="9"/>
      <c r="J187" s="4"/>
      <c r="K187" s="4"/>
      <c r="L187" s="10"/>
      <c r="M187" s="10" t="s">
        <v>46</v>
      </c>
      <c r="N187" s="10"/>
      <c r="O187" s="4"/>
      <c r="P187" s="4"/>
      <c r="Q187" s="18" t="s">
        <v>265</v>
      </c>
    </row>
    <row r="188" spans="1:17" ht="15">
      <c r="A188" s="4" t="str">
        <f t="shared" si="2"/>
        <v>187</v>
      </c>
      <c r="B188" s="1" t="s">
        <v>33</v>
      </c>
      <c r="C188" s="6" t="s">
        <v>689</v>
      </c>
      <c r="D188" s="15" t="s">
        <v>687</v>
      </c>
      <c r="E188" s="6">
        <v>203</v>
      </c>
      <c r="F188" s="4"/>
      <c r="G188" s="6">
        <v>203</v>
      </c>
      <c r="H188" s="4"/>
      <c r="I188" s="9"/>
      <c r="J188" s="4"/>
      <c r="K188" s="4"/>
      <c r="L188" s="10"/>
      <c r="M188" s="10" t="s">
        <v>46</v>
      </c>
      <c r="N188" s="10"/>
      <c r="O188" s="4"/>
      <c r="P188" s="4"/>
      <c r="Q188" s="18" t="s">
        <v>266</v>
      </c>
    </row>
    <row r="189" spans="1:17" ht="15">
      <c r="A189" s="4" t="str">
        <f t="shared" si="2"/>
        <v>188</v>
      </c>
      <c r="B189" s="1" t="s">
        <v>33</v>
      </c>
      <c r="C189" s="6" t="s">
        <v>689</v>
      </c>
      <c r="D189" s="15" t="s">
        <v>687</v>
      </c>
      <c r="E189" s="6">
        <v>204</v>
      </c>
      <c r="F189" s="4"/>
      <c r="G189" s="6">
        <v>204</v>
      </c>
      <c r="H189" s="4"/>
      <c r="I189" s="9"/>
      <c r="J189" s="4"/>
      <c r="K189" s="4"/>
      <c r="L189" s="10"/>
      <c r="M189" s="10" t="s">
        <v>46</v>
      </c>
      <c r="N189" s="10"/>
      <c r="O189" s="4"/>
      <c r="P189" s="4"/>
      <c r="Q189" s="18" t="s">
        <v>267</v>
      </c>
    </row>
    <row r="190" spans="1:17" ht="15">
      <c r="A190" s="4" t="str">
        <f t="shared" si="2"/>
        <v>189</v>
      </c>
      <c r="B190" s="1" t="s">
        <v>33</v>
      </c>
      <c r="C190" s="6" t="s">
        <v>689</v>
      </c>
      <c r="D190" s="15" t="s">
        <v>687</v>
      </c>
      <c r="E190" s="6">
        <v>101</v>
      </c>
      <c r="F190" s="4"/>
      <c r="G190" s="6">
        <v>101</v>
      </c>
      <c r="H190" s="4"/>
      <c r="I190" s="9"/>
      <c r="J190" s="4"/>
      <c r="K190" s="4"/>
      <c r="L190" s="10"/>
      <c r="M190" s="10" t="s">
        <v>46</v>
      </c>
      <c r="N190" s="10"/>
      <c r="O190" s="4"/>
      <c r="P190" s="4"/>
      <c r="Q190" s="18" t="s">
        <v>268</v>
      </c>
    </row>
    <row r="191" spans="1:17" ht="15">
      <c r="A191" s="4" t="str">
        <f t="shared" si="2"/>
        <v>190</v>
      </c>
      <c r="B191" s="1" t="s">
        <v>33</v>
      </c>
      <c r="C191" s="6" t="s">
        <v>689</v>
      </c>
      <c r="D191" s="15" t="s">
        <v>687</v>
      </c>
      <c r="E191" s="6">
        <v>102</v>
      </c>
      <c r="F191" s="4"/>
      <c r="G191" s="6">
        <v>102</v>
      </c>
      <c r="H191" s="4"/>
      <c r="I191" s="9"/>
      <c r="J191" s="4"/>
      <c r="K191" s="4"/>
      <c r="L191" s="10"/>
      <c r="M191" s="10" t="s">
        <v>46</v>
      </c>
      <c r="N191" s="10"/>
      <c r="O191" s="4"/>
      <c r="P191" s="4"/>
      <c r="Q191" s="18" t="s">
        <v>269</v>
      </c>
    </row>
    <row r="192" spans="1:17" ht="15">
      <c r="A192" s="4" t="str">
        <f t="shared" si="2"/>
        <v>191</v>
      </c>
      <c r="B192" s="1" t="s">
        <v>33</v>
      </c>
      <c r="C192" s="6" t="s">
        <v>689</v>
      </c>
      <c r="D192" s="15" t="s">
        <v>687</v>
      </c>
      <c r="E192" s="6">
        <v>103</v>
      </c>
      <c r="F192" s="4"/>
      <c r="G192" s="6">
        <v>103</v>
      </c>
      <c r="H192" s="4"/>
      <c r="I192" s="9"/>
      <c r="J192" s="4"/>
      <c r="K192" s="4"/>
      <c r="L192" s="10"/>
      <c r="M192" s="10" t="s">
        <v>46</v>
      </c>
      <c r="N192" s="10"/>
      <c r="O192" s="4"/>
      <c r="P192" s="4"/>
      <c r="Q192" s="18" t="s">
        <v>270</v>
      </c>
    </row>
    <row r="193" spans="1:17" ht="15">
      <c r="A193" s="4" t="str">
        <f t="shared" si="2"/>
        <v>192</v>
      </c>
      <c r="B193" s="1" t="s">
        <v>33</v>
      </c>
      <c r="C193" s="6" t="s">
        <v>689</v>
      </c>
      <c r="D193" s="15" t="s">
        <v>687</v>
      </c>
      <c r="E193" s="6">
        <v>104</v>
      </c>
      <c r="F193" s="4"/>
      <c r="G193" s="6">
        <v>104</v>
      </c>
      <c r="H193" s="4"/>
      <c r="I193" s="9"/>
      <c r="J193" s="4"/>
      <c r="K193" s="4"/>
      <c r="L193" s="10"/>
      <c r="M193" s="10" t="s">
        <v>46</v>
      </c>
      <c r="N193" s="10"/>
      <c r="O193" s="4"/>
      <c r="P193" s="4"/>
      <c r="Q193" s="18" t="s">
        <v>271</v>
      </c>
    </row>
    <row r="194" spans="1:17" ht="15">
      <c r="A194" s="4" t="str">
        <f t="shared" si="2"/>
        <v>193</v>
      </c>
      <c r="B194" s="1" t="s">
        <v>33</v>
      </c>
      <c r="C194" s="6" t="s">
        <v>689</v>
      </c>
      <c r="D194" s="15" t="s">
        <v>688</v>
      </c>
      <c r="E194" s="6">
        <v>501</v>
      </c>
      <c r="F194" s="4"/>
      <c r="G194" s="6">
        <v>501</v>
      </c>
      <c r="H194" s="4"/>
      <c r="I194" s="9"/>
      <c r="J194" s="4"/>
      <c r="K194" s="4"/>
      <c r="L194" s="10"/>
      <c r="M194" s="10" t="s">
        <v>46</v>
      </c>
      <c r="N194" s="10"/>
      <c r="O194" s="4"/>
      <c r="P194" s="4"/>
      <c r="Q194" s="18" t="s">
        <v>413</v>
      </c>
    </row>
    <row r="195" spans="1:17" ht="15">
      <c r="A195" s="4" t="str">
        <f t="shared" ref="A195:A258" si="3">TEXT(ROW(A194),"000")</f>
        <v>194</v>
      </c>
      <c r="B195" s="1" t="s">
        <v>33</v>
      </c>
      <c r="C195" s="6" t="s">
        <v>689</v>
      </c>
      <c r="D195" s="15" t="s">
        <v>688</v>
      </c>
      <c r="E195" s="6">
        <v>502</v>
      </c>
      <c r="F195" s="4"/>
      <c r="G195" s="6">
        <v>502</v>
      </c>
      <c r="H195" s="4"/>
      <c r="I195" s="9"/>
      <c r="J195" s="4"/>
      <c r="K195" s="4"/>
      <c r="L195" s="10"/>
      <c r="M195" s="10" t="s">
        <v>46</v>
      </c>
      <c r="N195" s="10"/>
      <c r="O195" s="4"/>
      <c r="P195" s="4"/>
      <c r="Q195" s="18" t="s">
        <v>414</v>
      </c>
    </row>
    <row r="196" spans="1:17" ht="15">
      <c r="A196" s="4" t="str">
        <f t="shared" si="3"/>
        <v>195</v>
      </c>
      <c r="B196" s="1" t="s">
        <v>33</v>
      </c>
      <c r="C196" s="6" t="s">
        <v>689</v>
      </c>
      <c r="D196" s="15" t="s">
        <v>688</v>
      </c>
      <c r="E196" s="6">
        <v>503</v>
      </c>
      <c r="F196" s="4"/>
      <c r="G196" s="6">
        <v>503</v>
      </c>
      <c r="H196" s="4"/>
      <c r="I196" s="9"/>
      <c r="J196" s="4"/>
      <c r="K196" s="4"/>
      <c r="L196" s="10"/>
      <c r="M196" s="10" t="s">
        <v>46</v>
      </c>
      <c r="N196" s="10"/>
      <c r="O196" s="4"/>
      <c r="P196" s="4"/>
      <c r="Q196" s="18" t="s">
        <v>415</v>
      </c>
    </row>
    <row r="197" spans="1:17" ht="15">
      <c r="A197" s="4" t="str">
        <f t="shared" si="3"/>
        <v>196</v>
      </c>
      <c r="B197" s="1" t="s">
        <v>33</v>
      </c>
      <c r="C197" s="6" t="s">
        <v>689</v>
      </c>
      <c r="D197" s="15" t="s">
        <v>688</v>
      </c>
      <c r="E197" s="6">
        <v>504</v>
      </c>
      <c r="F197" s="4"/>
      <c r="G197" s="6">
        <v>504</v>
      </c>
      <c r="H197" s="4"/>
      <c r="I197" s="9"/>
      <c r="J197" s="4"/>
      <c r="K197" s="4"/>
      <c r="L197" s="10"/>
      <c r="M197" s="10" t="s">
        <v>46</v>
      </c>
      <c r="N197" s="10"/>
      <c r="O197" s="4"/>
      <c r="P197" s="4"/>
      <c r="Q197" s="18" t="s">
        <v>416</v>
      </c>
    </row>
    <row r="198" spans="1:17" ht="15">
      <c r="A198" s="4" t="str">
        <f t="shared" si="3"/>
        <v>197</v>
      </c>
      <c r="B198" s="1" t="s">
        <v>33</v>
      </c>
      <c r="C198" s="6" t="s">
        <v>689</v>
      </c>
      <c r="D198" s="15" t="s">
        <v>688</v>
      </c>
      <c r="E198" s="6">
        <v>401</v>
      </c>
      <c r="F198" s="4"/>
      <c r="G198" s="6">
        <v>401</v>
      </c>
      <c r="H198" s="4"/>
      <c r="I198" s="9"/>
      <c r="J198" s="4"/>
      <c r="K198" s="4"/>
      <c r="L198" s="10"/>
      <c r="M198" s="10" t="s">
        <v>46</v>
      </c>
      <c r="N198" s="10"/>
      <c r="O198" s="4"/>
      <c r="P198" s="4"/>
      <c r="Q198" s="18" t="s">
        <v>417</v>
      </c>
    </row>
    <row r="199" spans="1:17" ht="15">
      <c r="A199" s="4" t="str">
        <f t="shared" si="3"/>
        <v>198</v>
      </c>
      <c r="B199" s="1" t="s">
        <v>33</v>
      </c>
      <c r="C199" s="6" t="s">
        <v>689</v>
      </c>
      <c r="D199" s="15" t="s">
        <v>688</v>
      </c>
      <c r="E199" s="6">
        <v>402</v>
      </c>
      <c r="F199" s="4"/>
      <c r="G199" s="6">
        <v>402</v>
      </c>
      <c r="H199" s="4"/>
      <c r="I199" s="9"/>
      <c r="J199" s="4"/>
      <c r="K199" s="4"/>
      <c r="L199" s="10"/>
      <c r="M199" s="10" t="s">
        <v>46</v>
      </c>
      <c r="N199" s="10"/>
      <c r="O199" s="4"/>
      <c r="P199" s="4"/>
      <c r="Q199" s="18" t="s">
        <v>418</v>
      </c>
    </row>
    <row r="200" spans="1:17" ht="15">
      <c r="A200" s="4" t="str">
        <f t="shared" si="3"/>
        <v>199</v>
      </c>
      <c r="B200" s="1" t="s">
        <v>33</v>
      </c>
      <c r="C200" s="6" t="s">
        <v>689</v>
      </c>
      <c r="D200" s="15" t="s">
        <v>688</v>
      </c>
      <c r="E200" s="6">
        <v>403</v>
      </c>
      <c r="F200" s="4"/>
      <c r="G200" s="6">
        <v>403</v>
      </c>
      <c r="H200" s="4"/>
      <c r="I200" s="9"/>
      <c r="J200" s="4"/>
      <c r="K200" s="4"/>
      <c r="L200" s="10"/>
      <c r="M200" s="10" t="s">
        <v>46</v>
      </c>
      <c r="N200" s="10"/>
      <c r="O200" s="4"/>
      <c r="P200" s="4"/>
      <c r="Q200" s="18" t="s">
        <v>419</v>
      </c>
    </row>
    <row r="201" spans="1:17" ht="15">
      <c r="A201" s="4" t="str">
        <f t="shared" si="3"/>
        <v>200</v>
      </c>
      <c r="B201" s="1" t="s">
        <v>33</v>
      </c>
      <c r="C201" s="6" t="s">
        <v>689</v>
      </c>
      <c r="D201" s="15" t="s">
        <v>688</v>
      </c>
      <c r="E201" s="6">
        <v>404</v>
      </c>
      <c r="F201" s="4"/>
      <c r="G201" s="6">
        <v>404</v>
      </c>
      <c r="H201" s="4"/>
      <c r="I201" s="9"/>
      <c r="J201" s="4"/>
      <c r="K201" s="4"/>
      <c r="L201" s="10"/>
      <c r="M201" s="10" t="s">
        <v>46</v>
      </c>
      <c r="N201" s="10"/>
      <c r="O201" s="4"/>
      <c r="P201" s="4"/>
      <c r="Q201" s="18" t="s">
        <v>420</v>
      </c>
    </row>
    <row r="202" spans="1:17" ht="15">
      <c r="A202" s="4" t="str">
        <f t="shared" si="3"/>
        <v>201</v>
      </c>
      <c r="B202" s="1" t="s">
        <v>33</v>
      </c>
      <c r="C202" s="6" t="s">
        <v>689</v>
      </c>
      <c r="D202" s="15" t="s">
        <v>688</v>
      </c>
      <c r="E202" s="6">
        <v>301</v>
      </c>
      <c r="F202" s="4"/>
      <c r="G202" s="6">
        <v>301</v>
      </c>
      <c r="H202" s="4"/>
      <c r="I202" s="9"/>
      <c r="J202" s="4"/>
      <c r="K202" s="4"/>
      <c r="L202" s="10"/>
      <c r="M202" s="10" t="s">
        <v>46</v>
      </c>
      <c r="N202" s="10"/>
      <c r="O202" s="4"/>
      <c r="P202" s="4"/>
      <c r="Q202" s="18" t="s">
        <v>421</v>
      </c>
    </row>
    <row r="203" spans="1:17" ht="15">
      <c r="A203" s="4" t="str">
        <f t="shared" si="3"/>
        <v>202</v>
      </c>
      <c r="B203" s="1" t="s">
        <v>33</v>
      </c>
      <c r="C203" s="6" t="s">
        <v>689</v>
      </c>
      <c r="D203" s="15" t="s">
        <v>688</v>
      </c>
      <c r="E203" s="6">
        <v>302</v>
      </c>
      <c r="F203" s="4"/>
      <c r="G203" s="6">
        <v>302</v>
      </c>
      <c r="H203" s="4"/>
      <c r="I203" s="9"/>
      <c r="J203" s="4"/>
      <c r="K203" s="4"/>
      <c r="L203" s="10"/>
      <c r="M203" s="10" t="s">
        <v>46</v>
      </c>
      <c r="N203" s="10"/>
      <c r="O203" s="4"/>
      <c r="P203" s="4"/>
      <c r="Q203" s="18" t="s">
        <v>422</v>
      </c>
    </row>
    <row r="204" spans="1:17" ht="15">
      <c r="A204" s="4" t="str">
        <f t="shared" si="3"/>
        <v>203</v>
      </c>
      <c r="B204" s="1" t="s">
        <v>33</v>
      </c>
      <c r="C204" s="6" t="s">
        <v>689</v>
      </c>
      <c r="D204" s="15" t="s">
        <v>688</v>
      </c>
      <c r="E204" s="6">
        <v>303</v>
      </c>
      <c r="F204" s="4"/>
      <c r="G204" s="6">
        <v>303</v>
      </c>
      <c r="H204" s="4"/>
      <c r="I204" s="9"/>
      <c r="J204" s="4"/>
      <c r="K204" s="4"/>
      <c r="L204" s="10"/>
      <c r="M204" s="10" t="s">
        <v>46</v>
      </c>
      <c r="N204" s="10"/>
      <c r="O204" s="4"/>
      <c r="P204" s="4"/>
      <c r="Q204" s="18" t="s">
        <v>423</v>
      </c>
    </row>
    <row r="205" spans="1:17" ht="15">
      <c r="A205" s="4" t="str">
        <f t="shared" si="3"/>
        <v>204</v>
      </c>
      <c r="B205" s="1" t="s">
        <v>33</v>
      </c>
      <c r="C205" s="6" t="s">
        <v>689</v>
      </c>
      <c r="D205" s="15" t="s">
        <v>688</v>
      </c>
      <c r="E205" s="6">
        <v>304</v>
      </c>
      <c r="F205" s="4"/>
      <c r="G205" s="6">
        <v>304</v>
      </c>
      <c r="H205" s="4"/>
      <c r="I205" s="9"/>
      <c r="J205" s="4"/>
      <c r="K205" s="4"/>
      <c r="L205" s="10"/>
      <c r="M205" s="10" t="s">
        <v>46</v>
      </c>
      <c r="N205" s="10"/>
      <c r="O205" s="4"/>
      <c r="P205" s="4"/>
      <c r="Q205" s="18" t="s">
        <v>424</v>
      </c>
    </row>
    <row r="206" spans="1:17" ht="15">
      <c r="A206" s="4" t="str">
        <f t="shared" si="3"/>
        <v>205</v>
      </c>
      <c r="B206" s="1" t="s">
        <v>33</v>
      </c>
      <c r="C206" s="6" t="s">
        <v>689</v>
      </c>
      <c r="D206" s="15" t="s">
        <v>688</v>
      </c>
      <c r="E206" s="6">
        <v>201</v>
      </c>
      <c r="F206" s="4"/>
      <c r="G206" s="6">
        <v>201</v>
      </c>
      <c r="H206" s="4"/>
      <c r="I206" s="9"/>
      <c r="J206" s="4"/>
      <c r="K206" s="4"/>
      <c r="L206" s="10"/>
      <c r="M206" s="10" t="s">
        <v>46</v>
      </c>
      <c r="N206" s="10"/>
      <c r="O206" s="4"/>
      <c r="P206" s="4"/>
      <c r="Q206" s="18" t="s">
        <v>425</v>
      </c>
    </row>
    <row r="207" spans="1:17" ht="15">
      <c r="A207" s="4" t="str">
        <f t="shared" si="3"/>
        <v>206</v>
      </c>
      <c r="B207" s="1" t="s">
        <v>33</v>
      </c>
      <c r="C207" s="6" t="s">
        <v>689</v>
      </c>
      <c r="D207" s="15" t="s">
        <v>688</v>
      </c>
      <c r="E207" s="6">
        <v>202</v>
      </c>
      <c r="F207" s="4"/>
      <c r="G207" s="6">
        <v>202</v>
      </c>
      <c r="H207" s="4"/>
      <c r="I207" s="9"/>
      <c r="J207" s="4"/>
      <c r="K207" s="4"/>
      <c r="L207" s="10"/>
      <c r="M207" s="10" t="s">
        <v>46</v>
      </c>
      <c r="N207" s="10"/>
      <c r="O207" s="4"/>
      <c r="P207" s="4"/>
      <c r="Q207" s="18" t="s">
        <v>426</v>
      </c>
    </row>
    <row r="208" spans="1:17" ht="15">
      <c r="A208" s="4" t="str">
        <f t="shared" si="3"/>
        <v>207</v>
      </c>
      <c r="B208" s="1" t="s">
        <v>33</v>
      </c>
      <c r="C208" s="6" t="s">
        <v>689</v>
      </c>
      <c r="D208" s="15" t="s">
        <v>688</v>
      </c>
      <c r="E208" s="6">
        <v>203</v>
      </c>
      <c r="F208" s="4"/>
      <c r="G208" s="6">
        <v>203</v>
      </c>
      <c r="H208" s="4"/>
      <c r="I208" s="9"/>
      <c r="J208" s="4"/>
      <c r="K208" s="4"/>
      <c r="L208" s="10"/>
      <c r="M208" s="10" t="s">
        <v>46</v>
      </c>
      <c r="N208" s="10"/>
      <c r="O208" s="4"/>
      <c r="P208" s="4"/>
      <c r="Q208" s="18" t="s">
        <v>427</v>
      </c>
    </row>
    <row r="209" spans="1:17" ht="15">
      <c r="A209" s="4" t="str">
        <f t="shared" si="3"/>
        <v>208</v>
      </c>
      <c r="B209" s="1" t="s">
        <v>33</v>
      </c>
      <c r="C209" s="6" t="s">
        <v>689</v>
      </c>
      <c r="D209" s="15" t="s">
        <v>688</v>
      </c>
      <c r="E209" s="6">
        <v>204</v>
      </c>
      <c r="F209" s="4"/>
      <c r="G209" s="6">
        <v>204</v>
      </c>
      <c r="H209" s="4"/>
      <c r="I209" s="9"/>
      <c r="J209" s="4"/>
      <c r="K209" s="4"/>
      <c r="L209" s="10"/>
      <c r="M209" s="10" t="s">
        <v>46</v>
      </c>
      <c r="N209" s="10"/>
      <c r="O209" s="4"/>
      <c r="P209" s="4"/>
      <c r="Q209" s="18" t="s">
        <v>428</v>
      </c>
    </row>
    <row r="210" spans="1:17" ht="15">
      <c r="A210" s="4" t="str">
        <f t="shared" si="3"/>
        <v>209</v>
      </c>
      <c r="B210" s="1" t="s">
        <v>33</v>
      </c>
      <c r="C210" s="6" t="s">
        <v>689</v>
      </c>
      <c r="D210" s="15" t="s">
        <v>688</v>
      </c>
      <c r="E210" s="6">
        <v>101</v>
      </c>
      <c r="F210" s="4"/>
      <c r="G210" s="6">
        <v>101</v>
      </c>
      <c r="H210" s="4"/>
      <c r="I210" s="9"/>
      <c r="J210" s="4"/>
      <c r="K210" s="4"/>
      <c r="L210" s="10"/>
      <c r="M210" s="10" t="s">
        <v>46</v>
      </c>
      <c r="N210" s="10"/>
      <c r="O210" s="4"/>
      <c r="P210" s="4"/>
      <c r="Q210" s="18" t="s">
        <v>429</v>
      </c>
    </row>
    <row r="211" spans="1:17" ht="15">
      <c r="A211" s="4" t="str">
        <f t="shared" si="3"/>
        <v>210</v>
      </c>
      <c r="B211" s="1" t="s">
        <v>33</v>
      </c>
      <c r="C211" s="6" t="s">
        <v>689</v>
      </c>
      <c r="D211" s="15" t="s">
        <v>688</v>
      </c>
      <c r="E211" s="6">
        <v>102</v>
      </c>
      <c r="F211" s="4"/>
      <c r="G211" s="6">
        <v>102</v>
      </c>
      <c r="H211" s="4"/>
      <c r="I211" s="9"/>
      <c r="J211" s="4"/>
      <c r="K211" s="4"/>
      <c r="L211" s="10"/>
      <c r="M211" s="10" t="s">
        <v>46</v>
      </c>
      <c r="N211" s="10"/>
      <c r="O211" s="4"/>
      <c r="P211" s="4"/>
      <c r="Q211" s="18" t="s">
        <v>430</v>
      </c>
    </row>
    <row r="212" spans="1:17" ht="15">
      <c r="A212" s="4" t="str">
        <f t="shared" si="3"/>
        <v>211</v>
      </c>
      <c r="B212" s="1" t="s">
        <v>33</v>
      </c>
      <c r="C212" s="6" t="s">
        <v>689</v>
      </c>
      <c r="D212" s="15" t="s">
        <v>688</v>
      </c>
      <c r="E212" s="6">
        <v>103</v>
      </c>
      <c r="F212" s="4"/>
      <c r="G212" s="6">
        <v>103</v>
      </c>
      <c r="H212" s="4"/>
      <c r="I212" s="9"/>
      <c r="J212" s="4"/>
      <c r="K212" s="4"/>
      <c r="L212" s="10"/>
      <c r="M212" s="10" t="s">
        <v>46</v>
      </c>
      <c r="N212" s="10"/>
      <c r="O212" s="4"/>
      <c r="P212" s="4"/>
      <c r="Q212" s="18" t="s">
        <v>393</v>
      </c>
    </row>
    <row r="213" spans="1:17" ht="15">
      <c r="A213" s="4" t="str">
        <f t="shared" si="3"/>
        <v>212</v>
      </c>
      <c r="B213" s="1" t="s">
        <v>33</v>
      </c>
      <c r="C213" s="6" t="s">
        <v>689</v>
      </c>
      <c r="D213" s="15" t="s">
        <v>688</v>
      </c>
      <c r="E213" s="6">
        <v>104</v>
      </c>
      <c r="F213" s="4"/>
      <c r="G213" s="6">
        <v>104</v>
      </c>
      <c r="H213" s="4"/>
      <c r="I213" s="9"/>
      <c r="J213" s="4"/>
      <c r="K213" s="4"/>
      <c r="L213" s="10"/>
      <c r="M213" s="10" t="s">
        <v>46</v>
      </c>
      <c r="N213" s="10"/>
      <c r="O213" s="4"/>
      <c r="P213" s="4"/>
      <c r="Q213" s="18" t="s">
        <v>431</v>
      </c>
    </row>
    <row r="214" spans="1:17" ht="15">
      <c r="A214" s="4" t="str">
        <f t="shared" si="3"/>
        <v>213</v>
      </c>
      <c r="B214" s="1" t="s">
        <v>33</v>
      </c>
      <c r="C214" s="6" t="s">
        <v>42</v>
      </c>
      <c r="D214" s="15" t="s">
        <v>686</v>
      </c>
      <c r="E214" s="6">
        <v>101</v>
      </c>
      <c r="F214" s="4"/>
      <c r="G214" s="6">
        <v>101</v>
      </c>
      <c r="H214" s="4"/>
      <c r="I214" s="9"/>
      <c r="J214" s="4"/>
      <c r="K214" s="4"/>
      <c r="L214" s="10"/>
      <c r="M214" s="10" t="s">
        <v>46</v>
      </c>
      <c r="N214" s="10"/>
      <c r="O214" s="4"/>
      <c r="P214" s="4"/>
      <c r="Q214" s="18" t="s">
        <v>432</v>
      </c>
    </row>
    <row r="215" spans="1:17" ht="15">
      <c r="A215" s="4" t="str">
        <f t="shared" si="3"/>
        <v>214</v>
      </c>
      <c r="B215" s="1" t="s">
        <v>33</v>
      </c>
      <c r="C215" s="6" t="s">
        <v>42</v>
      </c>
      <c r="D215" s="15" t="s">
        <v>686</v>
      </c>
      <c r="E215" s="6">
        <v>102</v>
      </c>
      <c r="F215" s="4"/>
      <c r="G215" s="6">
        <v>102</v>
      </c>
      <c r="H215" s="4"/>
      <c r="I215" s="9"/>
      <c r="J215" s="4"/>
      <c r="K215" s="4"/>
      <c r="L215" s="10"/>
      <c r="M215" s="10" t="s">
        <v>46</v>
      </c>
      <c r="N215" s="10"/>
      <c r="O215" s="4"/>
      <c r="P215" s="4"/>
      <c r="Q215" s="18" t="s">
        <v>433</v>
      </c>
    </row>
    <row r="216" spans="1:17" ht="15">
      <c r="A216" s="4" t="str">
        <f t="shared" si="3"/>
        <v>215</v>
      </c>
      <c r="B216" s="1" t="s">
        <v>33</v>
      </c>
      <c r="C216" s="6" t="s">
        <v>42</v>
      </c>
      <c r="D216" s="15" t="s">
        <v>686</v>
      </c>
      <c r="E216" s="6">
        <v>103</v>
      </c>
      <c r="F216" s="4"/>
      <c r="G216" s="6">
        <v>103</v>
      </c>
      <c r="H216" s="4"/>
      <c r="I216" s="9"/>
      <c r="J216" s="4"/>
      <c r="K216" s="4"/>
      <c r="L216" s="10"/>
      <c r="M216" s="10" t="s">
        <v>46</v>
      </c>
      <c r="N216" s="10"/>
      <c r="O216" s="4"/>
      <c r="P216" s="4"/>
      <c r="Q216" s="18" t="s">
        <v>434</v>
      </c>
    </row>
    <row r="217" spans="1:17" ht="15">
      <c r="A217" s="4" t="str">
        <f t="shared" si="3"/>
        <v>216</v>
      </c>
      <c r="B217" s="1" t="s">
        <v>33</v>
      </c>
      <c r="C217" s="6" t="s">
        <v>42</v>
      </c>
      <c r="D217" s="15" t="s">
        <v>686</v>
      </c>
      <c r="E217" s="6">
        <v>104</v>
      </c>
      <c r="F217" s="4"/>
      <c r="G217" s="6">
        <v>104</v>
      </c>
      <c r="H217" s="4"/>
      <c r="I217" s="9"/>
      <c r="J217" s="4"/>
      <c r="K217" s="4"/>
      <c r="L217" s="10"/>
      <c r="M217" s="10" t="s">
        <v>46</v>
      </c>
      <c r="N217" s="10"/>
      <c r="O217" s="4"/>
      <c r="P217" s="4"/>
      <c r="Q217" s="18" t="s">
        <v>435</v>
      </c>
    </row>
    <row r="218" spans="1:17" ht="15">
      <c r="A218" s="4" t="str">
        <f t="shared" si="3"/>
        <v>217</v>
      </c>
      <c r="B218" s="1" t="s">
        <v>33</v>
      </c>
      <c r="C218" s="6" t="s">
        <v>42</v>
      </c>
      <c r="D218" s="15" t="s">
        <v>686</v>
      </c>
      <c r="E218" s="6">
        <v>201</v>
      </c>
      <c r="F218" s="4"/>
      <c r="G218" s="6">
        <v>201</v>
      </c>
      <c r="H218" s="4"/>
      <c r="I218" s="9"/>
      <c r="J218" s="4"/>
      <c r="K218" s="4"/>
      <c r="L218" s="10"/>
      <c r="M218" s="10" t="s">
        <v>46</v>
      </c>
      <c r="N218" s="10"/>
      <c r="O218" s="4"/>
      <c r="P218" s="4"/>
      <c r="Q218" s="18" t="s">
        <v>436</v>
      </c>
    </row>
    <row r="219" spans="1:17" ht="15">
      <c r="A219" s="4" t="str">
        <f t="shared" si="3"/>
        <v>218</v>
      </c>
      <c r="B219" s="1" t="s">
        <v>33</v>
      </c>
      <c r="C219" s="6" t="s">
        <v>42</v>
      </c>
      <c r="D219" s="15" t="s">
        <v>686</v>
      </c>
      <c r="E219" s="6">
        <v>202</v>
      </c>
      <c r="F219" s="4"/>
      <c r="G219" s="6">
        <v>202</v>
      </c>
      <c r="H219" s="4"/>
      <c r="I219" s="9"/>
      <c r="J219" s="4"/>
      <c r="K219" s="4"/>
      <c r="L219" s="10"/>
      <c r="M219" s="10" t="s">
        <v>46</v>
      </c>
      <c r="N219" s="10"/>
      <c r="O219" s="4"/>
      <c r="P219" s="4"/>
      <c r="Q219" s="18" t="s">
        <v>437</v>
      </c>
    </row>
    <row r="220" spans="1:17" ht="15">
      <c r="A220" s="4" t="str">
        <f t="shared" si="3"/>
        <v>219</v>
      </c>
      <c r="B220" s="1" t="s">
        <v>33</v>
      </c>
      <c r="C220" s="6" t="s">
        <v>42</v>
      </c>
      <c r="D220" s="15" t="s">
        <v>686</v>
      </c>
      <c r="E220" s="6">
        <v>203</v>
      </c>
      <c r="F220" s="4"/>
      <c r="G220" s="6">
        <v>203</v>
      </c>
      <c r="H220" s="4"/>
      <c r="I220" s="9"/>
      <c r="J220" s="4"/>
      <c r="K220" s="4"/>
      <c r="L220" s="10"/>
      <c r="M220" s="10" t="s">
        <v>46</v>
      </c>
      <c r="N220" s="10"/>
      <c r="O220" s="4"/>
      <c r="P220" s="4"/>
      <c r="Q220" s="18" t="s">
        <v>438</v>
      </c>
    </row>
    <row r="221" spans="1:17" ht="15">
      <c r="A221" s="4" t="str">
        <f t="shared" si="3"/>
        <v>220</v>
      </c>
      <c r="B221" s="1" t="s">
        <v>33</v>
      </c>
      <c r="C221" s="6" t="s">
        <v>42</v>
      </c>
      <c r="D221" s="15" t="s">
        <v>686</v>
      </c>
      <c r="E221" s="6">
        <v>204</v>
      </c>
      <c r="F221" s="4"/>
      <c r="G221" s="6">
        <v>204</v>
      </c>
      <c r="H221" s="4"/>
      <c r="I221" s="9"/>
      <c r="J221" s="4"/>
      <c r="K221" s="4"/>
      <c r="L221" s="10"/>
      <c r="M221" s="10" t="s">
        <v>46</v>
      </c>
      <c r="N221" s="10"/>
      <c r="O221" s="4"/>
      <c r="P221" s="4"/>
      <c r="Q221" s="18" t="s">
        <v>439</v>
      </c>
    </row>
    <row r="222" spans="1:17" ht="15">
      <c r="A222" s="4" t="str">
        <f t="shared" si="3"/>
        <v>221</v>
      </c>
      <c r="B222" s="1" t="s">
        <v>33</v>
      </c>
      <c r="C222" s="6" t="s">
        <v>42</v>
      </c>
      <c r="D222" s="15" t="s">
        <v>686</v>
      </c>
      <c r="E222" s="6">
        <v>301</v>
      </c>
      <c r="F222" s="4"/>
      <c r="G222" s="6">
        <v>301</v>
      </c>
      <c r="H222" s="4"/>
      <c r="I222" s="9"/>
      <c r="J222" s="4"/>
      <c r="K222" s="4"/>
      <c r="L222" s="10"/>
      <c r="M222" s="10" t="s">
        <v>46</v>
      </c>
      <c r="N222" s="10"/>
      <c r="O222" s="4"/>
      <c r="P222" s="4"/>
      <c r="Q222" s="18" t="s">
        <v>440</v>
      </c>
    </row>
    <row r="223" spans="1:17" ht="15">
      <c r="A223" s="4" t="str">
        <f t="shared" si="3"/>
        <v>222</v>
      </c>
      <c r="B223" s="1" t="s">
        <v>33</v>
      </c>
      <c r="C223" s="6" t="s">
        <v>42</v>
      </c>
      <c r="D223" s="15" t="s">
        <v>686</v>
      </c>
      <c r="E223" s="6">
        <v>302</v>
      </c>
      <c r="F223" s="4"/>
      <c r="G223" s="6">
        <v>302</v>
      </c>
      <c r="H223" s="4"/>
      <c r="I223" s="9"/>
      <c r="J223" s="4"/>
      <c r="K223" s="4"/>
      <c r="L223" s="10"/>
      <c r="M223" s="10" t="s">
        <v>46</v>
      </c>
      <c r="N223" s="10"/>
      <c r="O223" s="4"/>
      <c r="P223" s="4"/>
      <c r="Q223" s="18" t="s">
        <v>441</v>
      </c>
    </row>
    <row r="224" spans="1:17" ht="15">
      <c r="A224" s="4" t="str">
        <f t="shared" si="3"/>
        <v>223</v>
      </c>
      <c r="B224" s="1" t="s">
        <v>33</v>
      </c>
      <c r="C224" s="6" t="s">
        <v>42</v>
      </c>
      <c r="D224" s="15" t="s">
        <v>686</v>
      </c>
      <c r="E224" s="6">
        <v>303</v>
      </c>
      <c r="F224" s="4"/>
      <c r="G224" s="6">
        <v>303</v>
      </c>
      <c r="H224" s="4"/>
      <c r="I224" s="9"/>
      <c r="J224" s="4"/>
      <c r="K224" s="4"/>
      <c r="L224" s="10"/>
      <c r="M224" s="10" t="s">
        <v>46</v>
      </c>
      <c r="N224" s="10"/>
      <c r="O224" s="4"/>
      <c r="P224" s="4"/>
      <c r="Q224" s="18" t="s">
        <v>442</v>
      </c>
    </row>
    <row r="225" spans="1:17" ht="15">
      <c r="A225" s="4" t="str">
        <f t="shared" si="3"/>
        <v>224</v>
      </c>
      <c r="B225" s="1" t="s">
        <v>33</v>
      </c>
      <c r="C225" s="6" t="s">
        <v>42</v>
      </c>
      <c r="D225" s="15" t="s">
        <v>686</v>
      </c>
      <c r="E225" s="6">
        <v>304</v>
      </c>
      <c r="F225" s="4"/>
      <c r="G225" s="6">
        <v>304</v>
      </c>
      <c r="H225" s="4"/>
      <c r="I225" s="9"/>
      <c r="J225" s="4"/>
      <c r="K225" s="4"/>
      <c r="L225" s="10"/>
      <c r="M225" s="10" t="s">
        <v>46</v>
      </c>
      <c r="N225" s="10"/>
      <c r="O225" s="4"/>
      <c r="P225" s="4"/>
      <c r="Q225" s="18" t="s">
        <v>443</v>
      </c>
    </row>
    <row r="226" spans="1:17" ht="15">
      <c r="A226" s="4" t="str">
        <f t="shared" si="3"/>
        <v>225</v>
      </c>
      <c r="B226" s="1" t="s">
        <v>33</v>
      </c>
      <c r="C226" s="6" t="s">
        <v>42</v>
      </c>
      <c r="D226" s="15" t="s">
        <v>686</v>
      </c>
      <c r="E226" s="6">
        <v>401</v>
      </c>
      <c r="F226" s="4"/>
      <c r="G226" s="6">
        <v>401</v>
      </c>
      <c r="H226" s="4"/>
      <c r="I226" s="9"/>
      <c r="J226" s="4"/>
      <c r="K226" s="4"/>
      <c r="L226" s="10"/>
      <c r="M226" s="10" t="s">
        <v>46</v>
      </c>
      <c r="N226" s="10"/>
      <c r="O226" s="4"/>
      <c r="P226" s="4"/>
      <c r="Q226" s="18" t="s">
        <v>444</v>
      </c>
    </row>
    <row r="227" spans="1:17" ht="15">
      <c r="A227" s="4" t="str">
        <f t="shared" si="3"/>
        <v>226</v>
      </c>
      <c r="B227" s="1" t="s">
        <v>33</v>
      </c>
      <c r="C227" s="6" t="s">
        <v>42</v>
      </c>
      <c r="D227" s="15" t="s">
        <v>686</v>
      </c>
      <c r="E227" s="6">
        <v>402</v>
      </c>
      <c r="F227" s="4"/>
      <c r="G227" s="6">
        <v>402</v>
      </c>
      <c r="H227" s="4"/>
      <c r="I227" s="9"/>
      <c r="J227" s="4"/>
      <c r="K227" s="4"/>
      <c r="L227" s="10"/>
      <c r="M227" s="10" t="s">
        <v>46</v>
      </c>
      <c r="N227" s="10"/>
      <c r="O227" s="4"/>
      <c r="P227" s="4"/>
      <c r="Q227" s="18" t="s">
        <v>445</v>
      </c>
    </row>
    <row r="228" spans="1:17" ht="15">
      <c r="A228" s="4" t="str">
        <f t="shared" si="3"/>
        <v>227</v>
      </c>
      <c r="B228" s="1" t="s">
        <v>33</v>
      </c>
      <c r="C228" s="6" t="s">
        <v>42</v>
      </c>
      <c r="D228" s="15" t="s">
        <v>686</v>
      </c>
      <c r="E228" s="6">
        <v>403</v>
      </c>
      <c r="F228" s="4"/>
      <c r="G228" s="6">
        <v>403</v>
      </c>
      <c r="H228" s="4"/>
      <c r="I228" s="9"/>
      <c r="J228" s="4"/>
      <c r="K228" s="4"/>
      <c r="L228" s="10"/>
      <c r="M228" s="10" t="s">
        <v>46</v>
      </c>
      <c r="N228" s="10"/>
      <c r="O228" s="4"/>
      <c r="P228" s="4"/>
      <c r="Q228" s="18" t="s">
        <v>446</v>
      </c>
    </row>
    <row r="229" spans="1:17" ht="15">
      <c r="A229" s="4" t="str">
        <f t="shared" si="3"/>
        <v>228</v>
      </c>
      <c r="B229" s="1" t="s">
        <v>33</v>
      </c>
      <c r="C229" s="6" t="s">
        <v>42</v>
      </c>
      <c r="D229" s="15" t="s">
        <v>686</v>
      </c>
      <c r="E229" s="6">
        <v>404</v>
      </c>
      <c r="F229" s="4"/>
      <c r="G229" s="6">
        <v>404</v>
      </c>
      <c r="H229" s="4"/>
      <c r="I229" s="9"/>
      <c r="J229" s="4"/>
      <c r="K229" s="4"/>
      <c r="L229" s="10"/>
      <c r="M229" s="10" t="s">
        <v>46</v>
      </c>
      <c r="N229" s="10"/>
      <c r="O229" s="4"/>
      <c r="P229" s="4"/>
      <c r="Q229" s="18" t="s">
        <v>447</v>
      </c>
    </row>
    <row r="230" spans="1:17" ht="15">
      <c r="A230" s="4" t="str">
        <f t="shared" si="3"/>
        <v>229</v>
      </c>
      <c r="B230" s="1" t="s">
        <v>33</v>
      </c>
      <c r="C230" s="6" t="s">
        <v>42</v>
      </c>
      <c r="D230" s="15" t="s">
        <v>686</v>
      </c>
      <c r="E230" s="6">
        <v>501</v>
      </c>
      <c r="F230" s="4"/>
      <c r="G230" s="6">
        <v>501</v>
      </c>
      <c r="H230" s="4"/>
      <c r="I230" s="9"/>
      <c r="J230" s="4"/>
      <c r="K230" s="4"/>
      <c r="L230" s="10"/>
      <c r="M230" s="10" t="s">
        <v>46</v>
      </c>
      <c r="N230" s="10"/>
      <c r="O230" s="4"/>
      <c r="P230" s="4"/>
      <c r="Q230" s="18" t="s">
        <v>448</v>
      </c>
    </row>
    <row r="231" spans="1:17" ht="15">
      <c r="A231" s="4" t="str">
        <f t="shared" si="3"/>
        <v>230</v>
      </c>
      <c r="B231" s="1" t="s">
        <v>33</v>
      </c>
      <c r="C231" s="6" t="s">
        <v>42</v>
      </c>
      <c r="D231" s="15" t="s">
        <v>686</v>
      </c>
      <c r="E231" s="6">
        <v>502</v>
      </c>
      <c r="F231" s="4"/>
      <c r="G231" s="6">
        <v>502</v>
      </c>
      <c r="H231" s="4"/>
      <c r="I231" s="9"/>
      <c r="J231" s="4"/>
      <c r="K231" s="4"/>
      <c r="L231" s="10"/>
      <c r="M231" s="10" t="s">
        <v>46</v>
      </c>
      <c r="N231" s="10"/>
      <c r="O231" s="4"/>
      <c r="P231" s="4"/>
      <c r="Q231" s="18" t="s">
        <v>449</v>
      </c>
    </row>
    <row r="232" spans="1:17" ht="15">
      <c r="A232" s="4" t="str">
        <f t="shared" si="3"/>
        <v>231</v>
      </c>
      <c r="B232" s="1" t="s">
        <v>33</v>
      </c>
      <c r="C232" s="6" t="s">
        <v>42</v>
      </c>
      <c r="D232" s="15" t="s">
        <v>686</v>
      </c>
      <c r="E232" s="6">
        <v>503</v>
      </c>
      <c r="F232" s="4"/>
      <c r="G232" s="6">
        <v>503</v>
      </c>
      <c r="H232" s="4"/>
      <c r="I232" s="9"/>
      <c r="J232" s="4"/>
      <c r="K232" s="4"/>
      <c r="L232" s="10"/>
      <c r="M232" s="10" t="s">
        <v>46</v>
      </c>
      <c r="N232" s="10"/>
      <c r="O232" s="4"/>
      <c r="P232" s="4"/>
      <c r="Q232" s="18" t="s">
        <v>450</v>
      </c>
    </row>
    <row r="233" spans="1:17" ht="15">
      <c r="A233" s="4" t="str">
        <f t="shared" si="3"/>
        <v>232</v>
      </c>
      <c r="B233" s="1" t="s">
        <v>33</v>
      </c>
      <c r="C233" s="6" t="s">
        <v>42</v>
      </c>
      <c r="D233" s="15" t="s">
        <v>686</v>
      </c>
      <c r="E233" s="6">
        <v>504</v>
      </c>
      <c r="F233" s="4"/>
      <c r="G233" s="6">
        <v>504</v>
      </c>
      <c r="H233" s="4"/>
      <c r="I233" s="9"/>
      <c r="J233" s="4"/>
      <c r="K233" s="4"/>
      <c r="L233" s="10"/>
      <c r="M233" s="10" t="s">
        <v>46</v>
      </c>
      <c r="N233" s="10"/>
      <c r="O233" s="4"/>
      <c r="P233" s="4"/>
      <c r="Q233" s="18" t="s">
        <v>451</v>
      </c>
    </row>
    <row r="234" spans="1:17" ht="15">
      <c r="A234" s="4" t="str">
        <f t="shared" si="3"/>
        <v>233</v>
      </c>
      <c r="B234" s="1" t="s">
        <v>33</v>
      </c>
      <c r="C234" s="6" t="s">
        <v>42</v>
      </c>
      <c r="D234" s="15" t="s">
        <v>687</v>
      </c>
      <c r="E234" s="6">
        <v>101</v>
      </c>
      <c r="F234" s="4"/>
      <c r="G234" s="6">
        <v>101</v>
      </c>
      <c r="H234" s="4"/>
      <c r="I234" s="9"/>
      <c r="J234" s="4"/>
      <c r="K234" s="4"/>
      <c r="L234" s="10"/>
      <c r="M234" s="10" t="s">
        <v>46</v>
      </c>
      <c r="N234" s="10"/>
      <c r="O234" s="4"/>
      <c r="P234" s="4"/>
      <c r="Q234" s="18" t="s">
        <v>307</v>
      </c>
    </row>
    <row r="235" spans="1:17" ht="15">
      <c r="A235" s="4" t="str">
        <f t="shared" si="3"/>
        <v>234</v>
      </c>
      <c r="B235" s="1" t="s">
        <v>33</v>
      </c>
      <c r="C235" s="6" t="s">
        <v>42</v>
      </c>
      <c r="D235" s="15" t="s">
        <v>687</v>
      </c>
      <c r="E235" s="6">
        <v>102</v>
      </c>
      <c r="F235" s="4"/>
      <c r="G235" s="6">
        <v>102</v>
      </c>
      <c r="H235" s="4"/>
      <c r="I235" s="9"/>
      <c r="J235" s="4"/>
      <c r="K235" s="4"/>
      <c r="L235" s="10"/>
      <c r="M235" s="10" t="s">
        <v>46</v>
      </c>
      <c r="N235" s="10"/>
      <c r="O235" s="4"/>
      <c r="P235" s="4"/>
      <c r="Q235" s="18" t="s">
        <v>308</v>
      </c>
    </row>
    <row r="236" spans="1:17" ht="15">
      <c r="A236" s="4" t="str">
        <f t="shared" si="3"/>
        <v>235</v>
      </c>
      <c r="B236" s="1" t="s">
        <v>33</v>
      </c>
      <c r="C236" s="6" t="s">
        <v>42</v>
      </c>
      <c r="D236" s="15" t="s">
        <v>687</v>
      </c>
      <c r="E236" s="6">
        <v>103</v>
      </c>
      <c r="F236" s="4"/>
      <c r="G236" s="6">
        <v>103</v>
      </c>
      <c r="H236" s="4"/>
      <c r="I236" s="9"/>
      <c r="J236" s="4"/>
      <c r="K236" s="4"/>
      <c r="L236" s="10"/>
      <c r="M236" s="10" t="s">
        <v>46</v>
      </c>
      <c r="N236" s="10"/>
      <c r="O236" s="4"/>
      <c r="P236" s="4"/>
      <c r="Q236" s="18" t="s">
        <v>309</v>
      </c>
    </row>
    <row r="237" spans="1:17" ht="15">
      <c r="A237" s="4" t="str">
        <f t="shared" si="3"/>
        <v>236</v>
      </c>
      <c r="B237" s="1" t="s">
        <v>33</v>
      </c>
      <c r="C237" s="6" t="s">
        <v>42</v>
      </c>
      <c r="D237" s="15" t="s">
        <v>687</v>
      </c>
      <c r="E237" s="6">
        <v>104</v>
      </c>
      <c r="F237" s="4"/>
      <c r="G237" s="6">
        <v>104</v>
      </c>
      <c r="H237" s="4"/>
      <c r="I237" s="9"/>
      <c r="J237" s="4"/>
      <c r="K237" s="4"/>
      <c r="L237" s="10"/>
      <c r="M237" s="10" t="s">
        <v>46</v>
      </c>
      <c r="N237" s="10"/>
      <c r="O237" s="4"/>
      <c r="P237" s="4"/>
      <c r="Q237" s="18" t="s">
        <v>310</v>
      </c>
    </row>
    <row r="238" spans="1:17" ht="15">
      <c r="A238" s="4" t="str">
        <f t="shared" si="3"/>
        <v>237</v>
      </c>
      <c r="B238" s="1" t="s">
        <v>33</v>
      </c>
      <c r="C238" s="6" t="s">
        <v>42</v>
      </c>
      <c r="D238" s="15" t="s">
        <v>687</v>
      </c>
      <c r="E238" s="6">
        <v>201</v>
      </c>
      <c r="F238" s="4"/>
      <c r="G238" s="6">
        <v>201</v>
      </c>
      <c r="H238" s="4"/>
      <c r="I238" s="9"/>
      <c r="J238" s="4"/>
      <c r="K238" s="4"/>
      <c r="L238" s="10"/>
      <c r="M238" s="10" t="s">
        <v>46</v>
      </c>
      <c r="N238" s="10"/>
      <c r="O238" s="4"/>
      <c r="P238" s="4"/>
      <c r="Q238" s="18" t="s">
        <v>303</v>
      </c>
    </row>
    <row r="239" spans="1:17" ht="15">
      <c r="A239" s="4" t="str">
        <f t="shared" si="3"/>
        <v>238</v>
      </c>
      <c r="B239" s="1" t="s">
        <v>33</v>
      </c>
      <c r="C239" s="6" t="s">
        <v>42</v>
      </c>
      <c r="D239" s="15" t="s">
        <v>687</v>
      </c>
      <c r="E239" s="6">
        <v>202</v>
      </c>
      <c r="F239" s="4"/>
      <c r="G239" s="6">
        <v>202</v>
      </c>
      <c r="H239" s="4"/>
      <c r="I239" s="9"/>
      <c r="J239" s="4"/>
      <c r="K239" s="4"/>
      <c r="L239" s="10"/>
      <c r="M239" s="10" t="s">
        <v>46</v>
      </c>
      <c r="N239" s="10"/>
      <c r="O239" s="4"/>
      <c r="P239" s="4"/>
      <c r="Q239" s="18" t="s">
        <v>304</v>
      </c>
    </row>
    <row r="240" spans="1:17" ht="15">
      <c r="A240" s="4" t="str">
        <f t="shared" si="3"/>
        <v>239</v>
      </c>
      <c r="B240" s="1" t="s">
        <v>33</v>
      </c>
      <c r="C240" s="6" t="s">
        <v>42</v>
      </c>
      <c r="D240" s="15" t="s">
        <v>687</v>
      </c>
      <c r="E240" s="6">
        <v>203</v>
      </c>
      <c r="F240" s="4"/>
      <c r="G240" s="6">
        <v>203</v>
      </c>
      <c r="H240" s="4"/>
      <c r="I240" s="9"/>
      <c r="J240" s="4"/>
      <c r="K240" s="4"/>
      <c r="L240" s="10"/>
      <c r="M240" s="10" t="s">
        <v>46</v>
      </c>
      <c r="N240" s="10"/>
      <c r="O240" s="4"/>
      <c r="P240" s="4"/>
      <c r="Q240" s="18" t="s">
        <v>305</v>
      </c>
    </row>
    <row r="241" spans="1:17" ht="15">
      <c r="A241" s="4" t="str">
        <f t="shared" si="3"/>
        <v>240</v>
      </c>
      <c r="B241" s="1" t="s">
        <v>33</v>
      </c>
      <c r="C241" s="6" t="s">
        <v>42</v>
      </c>
      <c r="D241" s="15" t="s">
        <v>687</v>
      </c>
      <c r="E241" s="6">
        <v>204</v>
      </c>
      <c r="F241" s="4"/>
      <c r="G241" s="6">
        <v>204</v>
      </c>
      <c r="H241" s="4"/>
      <c r="I241" s="9"/>
      <c r="J241" s="4"/>
      <c r="K241" s="4"/>
      <c r="L241" s="10"/>
      <c r="M241" s="10" t="s">
        <v>46</v>
      </c>
      <c r="N241" s="10"/>
      <c r="O241" s="4"/>
      <c r="P241" s="4"/>
      <c r="Q241" s="18" t="s">
        <v>306</v>
      </c>
    </row>
    <row r="242" spans="1:17" ht="15">
      <c r="A242" s="4" t="str">
        <f t="shared" si="3"/>
        <v>241</v>
      </c>
      <c r="B242" s="1" t="s">
        <v>33</v>
      </c>
      <c r="C242" s="6" t="s">
        <v>42</v>
      </c>
      <c r="D242" s="15" t="s">
        <v>687</v>
      </c>
      <c r="E242" s="6">
        <v>301</v>
      </c>
      <c r="F242" s="4"/>
      <c r="G242" s="6">
        <v>301</v>
      </c>
      <c r="H242" s="4"/>
      <c r="I242" s="9"/>
      <c r="J242" s="4"/>
      <c r="K242" s="4"/>
      <c r="L242" s="10"/>
      <c r="M242" s="10" t="s">
        <v>46</v>
      </c>
      <c r="N242" s="10"/>
      <c r="O242" s="4"/>
      <c r="P242" s="4"/>
      <c r="Q242" s="18" t="s">
        <v>299</v>
      </c>
    </row>
    <row r="243" spans="1:17" ht="15">
      <c r="A243" s="4" t="str">
        <f t="shared" si="3"/>
        <v>242</v>
      </c>
      <c r="B243" s="1" t="s">
        <v>33</v>
      </c>
      <c r="C243" s="6" t="s">
        <v>42</v>
      </c>
      <c r="D243" s="15" t="s">
        <v>687</v>
      </c>
      <c r="E243" s="6">
        <v>302</v>
      </c>
      <c r="F243" s="4"/>
      <c r="G243" s="6">
        <v>302</v>
      </c>
      <c r="H243" s="4"/>
      <c r="I243" s="9"/>
      <c r="J243" s="4"/>
      <c r="K243" s="4"/>
      <c r="L243" s="10"/>
      <c r="M243" s="10" t="s">
        <v>46</v>
      </c>
      <c r="N243" s="10"/>
      <c r="O243" s="4"/>
      <c r="P243" s="4"/>
      <c r="Q243" s="18" t="s">
        <v>300</v>
      </c>
    </row>
    <row r="244" spans="1:17" ht="15">
      <c r="A244" s="4" t="str">
        <f t="shared" si="3"/>
        <v>243</v>
      </c>
      <c r="B244" s="1" t="s">
        <v>33</v>
      </c>
      <c r="C244" s="6" t="s">
        <v>42</v>
      </c>
      <c r="D244" s="15" t="s">
        <v>687</v>
      </c>
      <c r="E244" s="6">
        <v>303</v>
      </c>
      <c r="F244" s="4"/>
      <c r="G244" s="6">
        <v>303</v>
      </c>
      <c r="H244" s="4"/>
      <c r="I244" s="9"/>
      <c r="J244" s="4"/>
      <c r="K244" s="4"/>
      <c r="L244" s="10"/>
      <c r="M244" s="10" t="s">
        <v>46</v>
      </c>
      <c r="N244" s="10"/>
      <c r="O244" s="4"/>
      <c r="P244" s="4"/>
      <c r="Q244" s="18" t="s">
        <v>301</v>
      </c>
    </row>
    <row r="245" spans="1:17" ht="15">
      <c r="A245" s="4" t="str">
        <f t="shared" si="3"/>
        <v>244</v>
      </c>
      <c r="B245" s="1" t="s">
        <v>33</v>
      </c>
      <c r="C245" s="6" t="s">
        <v>42</v>
      </c>
      <c r="D245" s="15" t="s">
        <v>687</v>
      </c>
      <c r="E245" s="6">
        <v>304</v>
      </c>
      <c r="F245" s="4"/>
      <c r="G245" s="6">
        <v>304</v>
      </c>
      <c r="H245" s="4"/>
      <c r="I245" s="9"/>
      <c r="J245" s="4"/>
      <c r="K245" s="4"/>
      <c r="L245" s="10"/>
      <c r="M245" s="10" t="s">
        <v>46</v>
      </c>
      <c r="N245" s="10"/>
      <c r="O245" s="4"/>
      <c r="P245" s="4"/>
      <c r="Q245" s="18" t="s">
        <v>302</v>
      </c>
    </row>
    <row r="246" spans="1:17" ht="15">
      <c r="A246" s="4" t="str">
        <f t="shared" si="3"/>
        <v>245</v>
      </c>
      <c r="B246" s="1" t="s">
        <v>33</v>
      </c>
      <c r="C246" s="6" t="s">
        <v>42</v>
      </c>
      <c r="D246" s="15" t="s">
        <v>687</v>
      </c>
      <c r="E246" s="6">
        <v>401</v>
      </c>
      <c r="F246" s="4"/>
      <c r="G246" s="6">
        <v>401</v>
      </c>
      <c r="H246" s="4"/>
      <c r="I246" s="9"/>
      <c r="J246" s="4"/>
      <c r="K246" s="4"/>
      <c r="L246" s="10"/>
      <c r="M246" s="10" t="s">
        <v>46</v>
      </c>
      <c r="N246" s="10"/>
      <c r="O246" s="4"/>
      <c r="P246" s="4"/>
      <c r="Q246" s="18" t="s">
        <v>296</v>
      </c>
    </row>
    <row r="247" spans="1:17" ht="15">
      <c r="A247" s="4" t="str">
        <f t="shared" si="3"/>
        <v>246</v>
      </c>
      <c r="B247" s="1" t="s">
        <v>33</v>
      </c>
      <c r="C247" s="6" t="s">
        <v>42</v>
      </c>
      <c r="D247" s="15" t="s">
        <v>687</v>
      </c>
      <c r="E247" s="6">
        <v>402</v>
      </c>
      <c r="F247" s="4"/>
      <c r="G247" s="6">
        <v>402</v>
      </c>
      <c r="H247" s="4"/>
      <c r="I247" s="9"/>
      <c r="J247" s="4"/>
      <c r="K247" s="4"/>
      <c r="L247" s="10"/>
      <c r="M247" s="10" t="s">
        <v>46</v>
      </c>
      <c r="N247" s="10"/>
      <c r="O247" s="4"/>
      <c r="P247" s="4"/>
      <c r="Q247" s="18" t="s">
        <v>297</v>
      </c>
    </row>
    <row r="248" spans="1:17" ht="15">
      <c r="A248" s="4" t="str">
        <f t="shared" si="3"/>
        <v>247</v>
      </c>
      <c r="B248" s="1" t="s">
        <v>33</v>
      </c>
      <c r="C248" s="6" t="s">
        <v>42</v>
      </c>
      <c r="D248" s="15" t="s">
        <v>687</v>
      </c>
      <c r="E248" s="6">
        <v>403</v>
      </c>
      <c r="F248" s="4"/>
      <c r="G248" s="6">
        <v>403</v>
      </c>
      <c r="H248" s="4"/>
      <c r="I248" s="9"/>
      <c r="J248" s="4"/>
      <c r="K248" s="4"/>
      <c r="L248" s="10"/>
      <c r="M248" s="10" t="s">
        <v>46</v>
      </c>
      <c r="N248" s="10"/>
      <c r="O248" s="4"/>
      <c r="P248" s="4"/>
      <c r="Q248" s="18" t="s">
        <v>393</v>
      </c>
    </row>
    <row r="249" spans="1:17" ht="15">
      <c r="A249" s="4" t="str">
        <f t="shared" si="3"/>
        <v>248</v>
      </c>
      <c r="B249" s="1" t="s">
        <v>33</v>
      </c>
      <c r="C249" s="6" t="s">
        <v>42</v>
      </c>
      <c r="D249" s="15" t="s">
        <v>687</v>
      </c>
      <c r="E249" s="6">
        <v>404</v>
      </c>
      <c r="F249" s="4"/>
      <c r="G249" s="6">
        <v>404</v>
      </c>
      <c r="H249" s="4"/>
      <c r="I249" s="9"/>
      <c r="J249" s="4"/>
      <c r="K249" s="4"/>
      <c r="L249" s="10"/>
      <c r="M249" s="10" t="s">
        <v>46</v>
      </c>
      <c r="N249" s="10"/>
      <c r="O249" s="4"/>
      <c r="P249" s="4"/>
      <c r="Q249" s="18" t="s">
        <v>298</v>
      </c>
    </row>
    <row r="250" spans="1:17" ht="15">
      <c r="A250" s="4" t="str">
        <f t="shared" si="3"/>
        <v>249</v>
      </c>
      <c r="B250" s="1" t="s">
        <v>33</v>
      </c>
      <c r="C250" s="6" t="s">
        <v>42</v>
      </c>
      <c r="D250" s="15" t="s">
        <v>687</v>
      </c>
      <c r="E250" s="6">
        <v>501</v>
      </c>
      <c r="F250" s="4"/>
      <c r="G250" s="6">
        <v>501</v>
      </c>
      <c r="H250" s="4"/>
      <c r="I250" s="9"/>
      <c r="J250" s="4"/>
      <c r="K250" s="4"/>
      <c r="L250" s="10"/>
      <c r="M250" s="10" t="s">
        <v>46</v>
      </c>
      <c r="N250" s="10"/>
      <c r="O250" s="4"/>
      <c r="P250" s="4"/>
      <c r="Q250" s="18" t="s">
        <v>292</v>
      </c>
    </row>
    <row r="251" spans="1:17" ht="15">
      <c r="A251" s="4" t="str">
        <f t="shared" si="3"/>
        <v>250</v>
      </c>
      <c r="B251" s="1" t="s">
        <v>33</v>
      </c>
      <c r="C251" s="6" t="s">
        <v>42</v>
      </c>
      <c r="D251" s="15" t="s">
        <v>687</v>
      </c>
      <c r="E251" s="6">
        <v>502</v>
      </c>
      <c r="F251" s="4"/>
      <c r="G251" s="6">
        <v>502</v>
      </c>
      <c r="H251" s="4"/>
      <c r="I251" s="9"/>
      <c r="J251" s="4"/>
      <c r="K251" s="4"/>
      <c r="L251" s="10"/>
      <c r="M251" s="10" t="s">
        <v>46</v>
      </c>
      <c r="N251" s="10"/>
      <c r="O251" s="4"/>
      <c r="P251" s="4"/>
      <c r="Q251" s="18" t="s">
        <v>293</v>
      </c>
    </row>
    <row r="252" spans="1:17" ht="15">
      <c r="A252" s="4" t="str">
        <f t="shared" si="3"/>
        <v>251</v>
      </c>
      <c r="B252" s="1" t="s">
        <v>33</v>
      </c>
      <c r="C252" s="6" t="s">
        <v>42</v>
      </c>
      <c r="D252" s="15" t="s">
        <v>687</v>
      </c>
      <c r="E252" s="6">
        <v>503</v>
      </c>
      <c r="F252" s="4"/>
      <c r="G252" s="6">
        <v>503</v>
      </c>
      <c r="H252" s="4"/>
      <c r="I252" s="9"/>
      <c r="J252" s="4"/>
      <c r="K252" s="4"/>
      <c r="L252" s="10"/>
      <c r="M252" s="10" t="s">
        <v>46</v>
      </c>
      <c r="N252" s="10"/>
      <c r="O252" s="4"/>
      <c r="P252" s="4"/>
      <c r="Q252" s="18" t="s">
        <v>294</v>
      </c>
    </row>
    <row r="253" spans="1:17" ht="15">
      <c r="A253" s="4" t="str">
        <f t="shared" si="3"/>
        <v>252</v>
      </c>
      <c r="B253" s="1" t="s">
        <v>33</v>
      </c>
      <c r="C253" s="6" t="s">
        <v>42</v>
      </c>
      <c r="D253" s="15" t="s">
        <v>687</v>
      </c>
      <c r="E253" s="6">
        <v>504</v>
      </c>
      <c r="F253" s="4"/>
      <c r="G253" s="6">
        <v>504</v>
      </c>
      <c r="H253" s="4"/>
      <c r="I253" s="9"/>
      <c r="J253" s="4"/>
      <c r="K253" s="4"/>
      <c r="L253" s="10"/>
      <c r="M253" s="10" t="s">
        <v>46</v>
      </c>
      <c r="N253" s="10"/>
      <c r="O253" s="4"/>
      <c r="P253" s="4"/>
      <c r="Q253" s="18" t="s">
        <v>295</v>
      </c>
    </row>
    <row r="254" spans="1:17" ht="15">
      <c r="A254" s="4" t="str">
        <f t="shared" si="3"/>
        <v>253</v>
      </c>
      <c r="B254" s="1" t="s">
        <v>33</v>
      </c>
      <c r="C254" s="6" t="s">
        <v>680</v>
      </c>
      <c r="D254" s="15" t="s">
        <v>686</v>
      </c>
      <c r="E254" s="6">
        <v>601</v>
      </c>
      <c r="F254" s="4"/>
      <c r="G254" s="6">
        <v>601</v>
      </c>
      <c r="H254" s="4"/>
      <c r="I254" s="9"/>
      <c r="J254" s="4"/>
      <c r="K254" s="4"/>
      <c r="L254" s="10"/>
      <c r="M254" s="10" t="s">
        <v>46</v>
      </c>
      <c r="N254" s="10"/>
      <c r="O254" s="4"/>
      <c r="P254" s="4"/>
      <c r="Q254" s="18" t="s">
        <v>452</v>
      </c>
    </row>
    <row r="255" spans="1:17" ht="15">
      <c r="A255" s="4" t="str">
        <f t="shared" si="3"/>
        <v>254</v>
      </c>
      <c r="B255" s="1" t="s">
        <v>33</v>
      </c>
      <c r="C255" s="6" t="s">
        <v>680</v>
      </c>
      <c r="D255" s="15" t="s">
        <v>686</v>
      </c>
      <c r="E255" s="6">
        <v>602</v>
      </c>
      <c r="F255" s="4"/>
      <c r="G255" s="6">
        <v>602</v>
      </c>
      <c r="H255" s="4"/>
      <c r="I255" s="9"/>
      <c r="J255" s="4"/>
      <c r="K255" s="4"/>
      <c r="L255" s="10"/>
      <c r="M255" s="10" t="s">
        <v>46</v>
      </c>
      <c r="N255" s="10"/>
      <c r="O255" s="4"/>
      <c r="P255" s="4"/>
      <c r="Q255" s="18" t="s">
        <v>393</v>
      </c>
    </row>
    <row r="256" spans="1:17" ht="15">
      <c r="A256" s="4" t="str">
        <f t="shared" si="3"/>
        <v>255</v>
      </c>
      <c r="B256" s="1" t="s">
        <v>33</v>
      </c>
      <c r="C256" s="6" t="s">
        <v>680</v>
      </c>
      <c r="D256" s="15" t="s">
        <v>686</v>
      </c>
      <c r="E256" s="6">
        <v>603</v>
      </c>
      <c r="F256" s="4"/>
      <c r="G256" s="6">
        <v>603</v>
      </c>
      <c r="H256" s="4"/>
      <c r="I256" s="9"/>
      <c r="J256" s="4"/>
      <c r="K256" s="4"/>
      <c r="L256" s="10"/>
      <c r="M256" s="10" t="s">
        <v>46</v>
      </c>
      <c r="N256" s="10"/>
      <c r="O256" s="4"/>
      <c r="P256" s="4"/>
      <c r="Q256" s="18" t="s">
        <v>453</v>
      </c>
    </row>
    <row r="257" spans="1:17" ht="15">
      <c r="A257" s="4" t="str">
        <f t="shared" si="3"/>
        <v>256</v>
      </c>
      <c r="B257" s="1" t="s">
        <v>33</v>
      </c>
      <c r="C257" s="6" t="s">
        <v>680</v>
      </c>
      <c r="D257" s="15" t="s">
        <v>686</v>
      </c>
      <c r="E257" s="6">
        <v>604</v>
      </c>
      <c r="F257" s="4"/>
      <c r="G257" s="6">
        <v>604</v>
      </c>
      <c r="H257" s="4"/>
      <c r="I257" s="9"/>
      <c r="J257" s="4"/>
      <c r="K257" s="4"/>
      <c r="L257" s="10"/>
      <c r="M257" s="10" t="s">
        <v>46</v>
      </c>
      <c r="N257" s="10"/>
      <c r="O257" s="4"/>
      <c r="P257" s="4"/>
      <c r="Q257" s="18" t="s">
        <v>454</v>
      </c>
    </row>
    <row r="258" spans="1:17" ht="15">
      <c r="A258" s="4" t="str">
        <f t="shared" si="3"/>
        <v>257</v>
      </c>
      <c r="B258" s="1" t="s">
        <v>33</v>
      </c>
      <c r="C258" s="6" t="s">
        <v>680</v>
      </c>
      <c r="D258" s="15" t="s">
        <v>686</v>
      </c>
      <c r="E258" s="6">
        <v>501</v>
      </c>
      <c r="F258" s="4"/>
      <c r="G258" s="6">
        <v>501</v>
      </c>
      <c r="H258" s="4"/>
      <c r="I258" s="9"/>
      <c r="J258" s="4"/>
      <c r="K258" s="4"/>
      <c r="L258" s="10"/>
      <c r="M258" s="10" t="s">
        <v>46</v>
      </c>
      <c r="N258" s="10"/>
      <c r="O258" s="4"/>
      <c r="P258" s="4"/>
      <c r="Q258" s="18" t="s">
        <v>455</v>
      </c>
    </row>
    <row r="259" spans="1:17" ht="15">
      <c r="A259" s="4" t="str">
        <f t="shared" ref="A259:A322" si="4">TEXT(ROW(A258),"000")</f>
        <v>258</v>
      </c>
      <c r="B259" s="1" t="s">
        <v>33</v>
      </c>
      <c r="C259" s="6" t="s">
        <v>680</v>
      </c>
      <c r="D259" s="15" t="s">
        <v>686</v>
      </c>
      <c r="E259" s="6">
        <v>502</v>
      </c>
      <c r="F259" s="4"/>
      <c r="G259" s="6">
        <v>502</v>
      </c>
      <c r="H259" s="4"/>
      <c r="I259" s="9"/>
      <c r="J259" s="4"/>
      <c r="K259" s="4"/>
      <c r="L259" s="10"/>
      <c r="M259" s="10" t="s">
        <v>46</v>
      </c>
      <c r="N259" s="10"/>
      <c r="O259" s="4"/>
      <c r="P259" s="4"/>
      <c r="Q259" s="18" t="s">
        <v>456</v>
      </c>
    </row>
    <row r="260" spans="1:17" ht="15">
      <c r="A260" s="4" t="str">
        <f t="shared" si="4"/>
        <v>259</v>
      </c>
      <c r="B260" s="1" t="s">
        <v>33</v>
      </c>
      <c r="C260" s="6" t="s">
        <v>680</v>
      </c>
      <c r="D260" s="15" t="s">
        <v>686</v>
      </c>
      <c r="E260" s="6">
        <v>503</v>
      </c>
      <c r="F260" s="4"/>
      <c r="G260" s="6">
        <v>503</v>
      </c>
      <c r="H260" s="4"/>
      <c r="I260" s="9"/>
      <c r="J260" s="4"/>
      <c r="K260" s="4"/>
      <c r="L260" s="10"/>
      <c r="M260" s="10" t="s">
        <v>46</v>
      </c>
      <c r="N260" s="10"/>
      <c r="O260" s="4"/>
      <c r="P260" s="4"/>
      <c r="Q260" s="18" t="s">
        <v>457</v>
      </c>
    </row>
    <row r="261" spans="1:17" ht="15">
      <c r="A261" s="4" t="str">
        <f t="shared" si="4"/>
        <v>260</v>
      </c>
      <c r="B261" s="1" t="s">
        <v>33</v>
      </c>
      <c r="C261" s="6" t="s">
        <v>680</v>
      </c>
      <c r="D261" s="15" t="s">
        <v>686</v>
      </c>
      <c r="E261" s="6">
        <v>504</v>
      </c>
      <c r="F261" s="4"/>
      <c r="G261" s="6">
        <v>504</v>
      </c>
      <c r="H261" s="4"/>
      <c r="I261" s="9"/>
      <c r="J261" s="4"/>
      <c r="K261" s="4"/>
      <c r="L261" s="10"/>
      <c r="M261" s="10" t="s">
        <v>46</v>
      </c>
      <c r="N261" s="10"/>
      <c r="O261" s="4"/>
      <c r="P261" s="4"/>
      <c r="Q261" s="18" t="s">
        <v>458</v>
      </c>
    </row>
    <row r="262" spans="1:17" ht="15">
      <c r="A262" s="4" t="str">
        <f t="shared" si="4"/>
        <v>261</v>
      </c>
      <c r="B262" s="1" t="s">
        <v>33</v>
      </c>
      <c r="C262" s="6" t="s">
        <v>680</v>
      </c>
      <c r="D262" s="15" t="s">
        <v>686</v>
      </c>
      <c r="E262" s="6">
        <v>401</v>
      </c>
      <c r="F262" s="4"/>
      <c r="G262" s="6">
        <v>401</v>
      </c>
      <c r="H262" s="4"/>
      <c r="I262" s="9"/>
      <c r="J262" s="4"/>
      <c r="K262" s="4"/>
      <c r="L262" s="10"/>
      <c r="M262" s="10" t="s">
        <v>46</v>
      </c>
      <c r="N262" s="10"/>
      <c r="O262" s="4"/>
      <c r="P262" s="4"/>
      <c r="Q262" s="18" t="s">
        <v>459</v>
      </c>
    </row>
    <row r="263" spans="1:17" ht="15">
      <c r="A263" s="4" t="str">
        <f t="shared" si="4"/>
        <v>262</v>
      </c>
      <c r="B263" s="1" t="s">
        <v>33</v>
      </c>
      <c r="C263" s="6" t="s">
        <v>680</v>
      </c>
      <c r="D263" s="15" t="s">
        <v>686</v>
      </c>
      <c r="E263" s="6">
        <v>402</v>
      </c>
      <c r="F263" s="4"/>
      <c r="G263" s="6">
        <v>402</v>
      </c>
      <c r="H263" s="4"/>
      <c r="I263" s="9"/>
      <c r="J263" s="4"/>
      <c r="K263" s="4"/>
      <c r="L263" s="10"/>
      <c r="M263" s="10" t="s">
        <v>46</v>
      </c>
      <c r="N263" s="10"/>
      <c r="O263" s="4"/>
      <c r="P263" s="4"/>
      <c r="Q263" s="18" t="s">
        <v>460</v>
      </c>
    </row>
    <row r="264" spans="1:17" ht="15">
      <c r="A264" s="4" t="str">
        <f t="shared" si="4"/>
        <v>263</v>
      </c>
      <c r="B264" s="1" t="s">
        <v>33</v>
      </c>
      <c r="C264" s="6" t="s">
        <v>680</v>
      </c>
      <c r="D264" s="15" t="s">
        <v>686</v>
      </c>
      <c r="E264" s="6">
        <v>403</v>
      </c>
      <c r="F264" s="4"/>
      <c r="G264" s="6">
        <v>403</v>
      </c>
      <c r="H264" s="4"/>
      <c r="I264" s="9"/>
      <c r="J264" s="4"/>
      <c r="K264" s="4"/>
      <c r="L264" s="10"/>
      <c r="M264" s="10" t="s">
        <v>46</v>
      </c>
      <c r="N264" s="10"/>
      <c r="O264" s="4"/>
      <c r="P264" s="4"/>
      <c r="Q264" s="18" t="s">
        <v>461</v>
      </c>
    </row>
    <row r="265" spans="1:17" ht="15">
      <c r="A265" s="4" t="str">
        <f t="shared" si="4"/>
        <v>264</v>
      </c>
      <c r="B265" s="1" t="s">
        <v>33</v>
      </c>
      <c r="C265" s="6" t="s">
        <v>680</v>
      </c>
      <c r="D265" s="15" t="s">
        <v>686</v>
      </c>
      <c r="E265" s="6">
        <v>404</v>
      </c>
      <c r="F265" s="4"/>
      <c r="G265" s="6">
        <v>404</v>
      </c>
      <c r="H265" s="4"/>
      <c r="I265" s="9"/>
      <c r="J265" s="4"/>
      <c r="K265" s="4"/>
      <c r="L265" s="10"/>
      <c r="M265" s="10" t="s">
        <v>46</v>
      </c>
      <c r="N265" s="10"/>
      <c r="O265" s="4"/>
      <c r="P265" s="4"/>
      <c r="Q265" s="18" t="s">
        <v>462</v>
      </c>
    </row>
    <row r="266" spans="1:17" ht="15">
      <c r="A266" s="4" t="str">
        <f t="shared" si="4"/>
        <v>265</v>
      </c>
      <c r="B266" s="1" t="s">
        <v>33</v>
      </c>
      <c r="C266" s="6" t="s">
        <v>680</v>
      </c>
      <c r="D266" s="15" t="s">
        <v>686</v>
      </c>
      <c r="E266" s="6">
        <v>301</v>
      </c>
      <c r="F266" s="4"/>
      <c r="G266" s="6">
        <v>301</v>
      </c>
      <c r="H266" s="4"/>
      <c r="I266" s="9"/>
      <c r="J266" s="4"/>
      <c r="K266" s="4"/>
      <c r="L266" s="10"/>
      <c r="M266" s="10" t="s">
        <v>46</v>
      </c>
      <c r="N266" s="10"/>
      <c r="O266" s="4"/>
      <c r="P266" s="4"/>
      <c r="Q266" s="18" t="s">
        <v>463</v>
      </c>
    </row>
    <row r="267" spans="1:17" ht="15">
      <c r="A267" s="4" t="str">
        <f t="shared" si="4"/>
        <v>266</v>
      </c>
      <c r="B267" s="1" t="s">
        <v>33</v>
      </c>
      <c r="C267" s="6" t="s">
        <v>680</v>
      </c>
      <c r="D267" s="15" t="s">
        <v>686</v>
      </c>
      <c r="E267" s="6">
        <v>302</v>
      </c>
      <c r="F267" s="4"/>
      <c r="G267" s="6">
        <v>302</v>
      </c>
      <c r="H267" s="4"/>
      <c r="I267" s="9"/>
      <c r="J267" s="4"/>
      <c r="K267" s="4"/>
      <c r="L267" s="10"/>
      <c r="M267" s="10" t="s">
        <v>46</v>
      </c>
      <c r="N267" s="10"/>
      <c r="O267" s="4"/>
      <c r="P267" s="4"/>
      <c r="Q267" s="18" t="s">
        <v>464</v>
      </c>
    </row>
    <row r="268" spans="1:17" ht="15">
      <c r="A268" s="4" t="str">
        <f t="shared" si="4"/>
        <v>267</v>
      </c>
      <c r="B268" s="1" t="s">
        <v>33</v>
      </c>
      <c r="C268" s="6" t="s">
        <v>680</v>
      </c>
      <c r="D268" s="15" t="s">
        <v>686</v>
      </c>
      <c r="E268" s="6">
        <v>303</v>
      </c>
      <c r="F268" s="4"/>
      <c r="G268" s="6">
        <v>303</v>
      </c>
      <c r="H268" s="4"/>
      <c r="I268" s="9"/>
      <c r="J268" s="4"/>
      <c r="K268" s="4"/>
      <c r="L268" s="10"/>
      <c r="M268" s="10" t="s">
        <v>46</v>
      </c>
      <c r="N268" s="10"/>
      <c r="O268" s="4"/>
      <c r="P268" s="4"/>
      <c r="Q268" s="18" t="s">
        <v>465</v>
      </c>
    </row>
    <row r="269" spans="1:17" ht="15">
      <c r="A269" s="4" t="str">
        <f t="shared" si="4"/>
        <v>268</v>
      </c>
      <c r="B269" s="1" t="s">
        <v>33</v>
      </c>
      <c r="C269" s="6" t="s">
        <v>680</v>
      </c>
      <c r="D269" s="15" t="s">
        <v>686</v>
      </c>
      <c r="E269" s="6">
        <v>304</v>
      </c>
      <c r="F269" s="4"/>
      <c r="G269" s="6">
        <v>304</v>
      </c>
      <c r="H269" s="4"/>
      <c r="I269" s="9"/>
      <c r="J269" s="4"/>
      <c r="K269" s="4"/>
      <c r="L269" s="10"/>
      <c r="M269" s="10" t="s">
        <v>46</v>
      </c>
      <c r="N269" s="10"/>
      <c r="O269" s="4"/>
      <c r="P269" s="4"/>
      <c r="Q269" s="18" t="s">
        <v>466</v>
      </c>
    </row>
    <row r="270" spans="1:17" ht="15">
      <c r="A270" s="4" t="str">
        <f t="shared" si="4"/>
        <v>269</v>
      </c>
      <c r="B270" s="1" t="s">
        <v>33</v>
      </c>
      <c r="C270" s="6" t="s">
        <v>680</v>
      </c>
      <c r="D270" s="15" t="s">
        <v>686</v>
      </c>
      <c r="E270" s="6">
        <v>201</v>
      </c>
      <c r="F270" s="4"/>
      <c r="G270" s="6">
        <v>201</v>
      </c>
      <c r="H270" s="4"/>
      <c r="I270" s="9"/>
      <c r="J270" s="4"/>
      <c r="K270" s="4"/>
      <c r="L270" s="10"/>
      <c r="M270" s="10" t="s">
        <v>46</v>
      </c>
      <c r="N270" s="10"/>
      <c r="O270" s="4"/>
      <c r="P270" s="4"/>
      <c r="Q270" s="18" t="s">
        <v>467</v>
      </c>
    </row>
    <row r="271" spans="1:17" ht="15">
      <c r="A271" s="4" t="str">
        <f t="shared" si="4"/>
        <v>270</v>
      </c>
      <c r="B271" s="1" t="s">
        <v>33</v>
      </c>
      <c r="C271" s="6" t="s">
        <v>680</v>
      </c>
      <c r="D271" s="15" t="s">
        <v>686</v>
      </c>
      <c r="E271" s="6">
        <v>202</v>
      </c>
      <c r="F271" s="4"/>
      <c r="G271" s="6">
        <v>202</v>
      </c>
      <c r="H271" s="4"/>
      <c r="I271" s="9"/>
      <c r="J271" s="4"/>
      <c r="K271" s="4"/>
      <c r="L271" s="10"/>
      <c r="M271" s="10" t="s">
        <v>46</v>
      </c>
      <c r="N271" s="10"/>
      <c r="O271" s="4"/>
      <c r="P271" s="4"/>
      <c r="Q271" s="18" t="s">
        <v>468</v>
      </c>
    </row>
    <row r="272" spans="1:17" ht="15">
      <c r="A272" s="4" t="str">
        <f t="shared" si="4"/>
        <v>271</v>
      </c>
      <c r="B272" s="1" t="s">
        <v>33</v>
      </c>
      <c r="C272" s="6" t="s">
        <v>680</v>
      </c>
      <c r="D272" s="15" t="s">
        <v>686</v>
      </c>
      <c r="E272" s="6">
        <v>203</v>
      </c>
      <c r="F272" s="4"/>
      <c r="G272" s="6">
        <v>203</v>
      </c>
      <c r="H272" s="4"/>
      <c r="I272" s="9"/>
      <c r="J272" s="4"/>
      <c r="K272" s="4"/>
      <c r="L272" s="10"/>
      <c r="M272" s="10" t="s">
        <v>46</v>
      </c>
      <c r="N272" s="10"/>
      <c r="O272" s="4"/>
      <c r="P272" s="4"/>
      <c r="Q272" s="18" t="s">
        <v>469</v>
      </c>
    </row>
    <row r="273" spans="1:17" ht="15">
      <c r="A273" s="4" t="str">
        <f t="shared" si="4"/>
        <v>272</v>
      </c>
      <c r="B273" s="1" t="s">
        <v>33</v>
      </c>
      <c r="C273" s="6" t="s">
        <v>680</v>
      </c>
      <c r="D273" s="15" t="s">
        <v>686</v>
      </c>
      <c r="E273" s="6">
        <v>204</v>
      </c>
      <c r="F273" s="4"/>
      <c r="G273" s="6">
        <v>204</v>
      </c>
      <c r="H273" s="4"/>
      <c r="I273" s="9"/>
      <c r="J273" s="4"/>
      <c r="K273" s="4"/>
      <c r="L273" s="10"/>
      <c r="M273" s="10" t="s">
        <v>46</v>
      </c>
      <c r="N273" s="10"/>
      <c r="O273" s="4"/>
      <c r="P273" s="4"/>
      <c r="Q273" s="18" t="s">
        <v>470</v>
      </c>
    </row>
    <row r="274" spans="1:17" ht="15">
      <c r="A274" s="4" t="str">
        <f t="shared" si="4"/>
        <v>273</v>
      </c>
      <c r="B274" s="1" t="s">
        <v>33</v>
      </c>
      <c r="C274" s="6" t="s">
        <v>680</v>
      </c>
      <c r="D274" s="15" t="s">
        <v>686</v>
      </c>
      <c r="E274" s="6">
        <v>101</v>
      </c>
      <c r="F274" s="4"/>
      <c r="G274" s="6">
        <v>101</v>
      </c>
      <c r="H274" s="4"/>
      <c r="I274" s="9"/>
      <c r="J274" s="4"/>
      <c r="K274" s="4"/>
      <c r="L274" s="10"/>
      <c r="M274" s="10" t="s">
        <v>46</v>
      </c>
      <c r="N274" s="10"/>
      <c r="O274" s="4"/>
      <c r="P274" s="4"/>
      <c r="Q274" s="18" t="s">
        <v>471</v>
      </c>
    </row>
    <row r="275" spans="1:17" ht="15">
      <c r="A275" s="4" t="str">
        <f t="shared" si="4"/>
        <v>274</v>
      </c>
      <c r="B275" s="1" t="s">
        <v>33</v>
      </c>
      <c r="C275" s="6" t="s">
        <v>680</v>
      </c>
      <c r="D275" s="15" t="s">
        <v>686</v>
      </c>
      <c r="E275" s="6">
        <v>102</v>
      </c>
      <c r="F275" s="4"/>
      <c r="G275" s="6">
        <v>102</v>
      </c>
      <c r="H275" s="4"/>
      <c r="I275" s="9"/>
      <c r="J275" s="4"/>
      <c r="K275" s="4"/>
      <c r="L275" s="10"/>
      <c r="M275" s="10" t="s">
        <v>46</v>
      </c>
      <c r="N275" s="10"/>
      <c r="O275" s="4"/>
      <c r="P275" s="4"/>
      <c r="Q275" s="18" t="s">
        <v>472</v>
      </c>
    </row>
    <row r="276" spans="1:17" ht="15">
      <c r="A276" s="4" t="str">
        <f t="shared" si="4"/>
        <v>275</v>
      </c>
      <c r="B276" s="1" t="s">
        <v>33</v>
      </c>
      <c r="C276" s="6" t="s">
        <v>680</v>
      </c>
      <c r="D276" s="15" t="s">
        <v>686</v>
      </c>
      <c r="E276" s="6">
        <v>103</v>
      </c>
      <c r="F276" s="4"/>
      <c r="G276" s="6">
        <v>103</v>
      </c>
      <c r="H276" s="4"/>
      <c r="I276" s="9"/>
      <c r="J276" s="4"/>
      <c r="K276" s="4"/>
      <c r="L276" s="10"/>
      <c r="M276" s="10" t="s">
        <v>46</v>
      </c>
      <c r="N276" s="10"/>
      <c r="O276" s="4"/>
      <c r="P276" s="4"/>
      <c r="Q276" s="18" t="s">
        <v>473</v>
      </c>
    </row>
    <row r="277" spans="1:17" ht="15">
      <c r="A277" s="4" t="str">
        <f t="shared" si="4"/>
        <v>276</v>
      </c>
      <c r="B277" s="1" t="s">
        <v>33</v>
      </c>
      <c r="C277" s="6" t="s">
        <v>680</v>
      </c>
      <c r="D277" s="15" t="s">
        <v>686</v>
      </c>
      <c r="E277" s="6">
        <v>104</v>
      </c>
      <c r="F277" s="4"/>
      <c r="G277" s="6">
        <v>104</v>
      </c>
      <c r="H277" s="4"/>
      <c r="I277" s="9"/>
      <c r="J277" s="4"/>
      <c r="K277" s="4"/>
      <c r="L277" s="10"/>
      <c r="M277" s="10" t="s">
        <v>46</v>
      </c>
      <c r="N277" s="10"/>
      <c r="O277" s="4"/>
      <c r="P277" s="4"/>
      <c r="Q277" s="18" t="s">
        <v>474</v>
      </c>
    </row>
    <row r="278" spans="1:17" ht="15">
      <c r="A278" s="4" t="str">
        <f t="shared" si="4"/>
        <v>277</v>
      </c>
      <c r="B278" s="1" t="s">
        <v>33</v>
      </c>
      <c r="C278" s="6" t="s">
        <v>680</v>
      </c>
      <c r="D278" s="15" t="s">
        <v>687</v>
      </c>
      <c r="E278" s="6">
        <v>601</v>
      </c>
      <c r="F278" s="4"/>
      <c r="G278" s="6">
        <v>601</v>
      </c>
      <c r="H278" s="4"/>
      <c r="I278" s="9"/>
      <c r="J278" s="4"/>
      <c r="K278" s="4"/>
      <c r="L278" s="10"/>
      <c r="M278" s="10" t="s">
        <v>46</v>
      </c>
      <c r="N278" s="10"/>
      <c r="O278" s="4"/>
      <c r="P278" s="4"/>
      <c r="Q278" s="18" t="s">
        <v>475</v>
      </c>
    </row>
    <row r="279" spans="1:17" ht="15">
      <c r="A279" s="4" t="str">
        <f t="shared" si="4"/>
        <v>278</v>
      </c>
      <c r="B279" s="1" t="s">
        <v>33</v>
      </c>
      <c r="C279" s="6" t="s">
        <v>680</v>
      </c>
      <c r="D279" s="15" t="s">
        <v>687</v>
      </c>
      <c r="E279" s="6">
        <v>602</v>
      </c>
      <c r="F279" s="4"/>
      <c r="G279" s="6">
        <v>602</v>
      </c>
      <c r="H279" s="4"/>
      <c r="I279" s="9"/>
      <c r="J279" s="4"/>
      <c r="K279" s="4"/>
      <c r="L279" s="10"/>
      <c r="M279" s="10" t="s">
        <v>46</v>
      </c>
      <c r="N279" s="10"/>
      <c r="O279" s="4"/>
      <c r="P279" s="4"/>
      <c r="Q279" s="18" t="s">
        <v>476</v>
      </c>
    </row>
    <row r="280" spans="1:17" ht="15">
      <c r="A280" s="4" t="str">
        <f t="shared" si="4"/>
        <v>279</v>
      </c>
      <c r="B280" s="1" t="s">
        <v>33</v>
      </c>
      <c r="C280" s="6" t="s">
        <v>680</v>
      </c>
      <c r="D280" s="15" t="s">
        <v>687</v>
      </c>
      <c r="E280" s="6">
        <v>603</v>
      </c>
      <c r="F280" s="4"/>
      <c r="G280" s="6">
        <v>603</v>
      </c>
      <c r="H280" s="4"/>
      <c r="I280" s="9"/>
      <c r="J280" s="4"/>
      <c r="K280" s="4"/>
      <c r="L280" s="10"/>
      <c r="M280" s="10" t="s">
        <v>46</v>
      </c>
      <c r="N280" s="10"/>
      <c r="O280" s="4"/>
      <c r="P280" s="4"/>
      <c r="Q280" s="18" t="s">
        <v>477</v>
      </c>
    </row>
    <row r="281" spans="1:17" ht="15">
      <c r="A281" s="4" t="str">
        <f t="shared" si="4"/>
        <v>280</v>
      </c>
      <c r="B281" s="1" t="s">
        <v>33</v>
      </c>
      <c r="C281" s="6" t="s">
        <v>680</v>
      </c>
      <c r="D281" s="15" t="s">
        <v>687</v>
      </c>
      <c r="E281" s="6">
        <v>604</v>
      </c>
      <c r="F281" s="4"/>
      <c r="G281" s="6">
        <v>604</v>
      </c>
      <c r="H281" s="4"/>
      <c r="I281" s="9"/>
      <c r="J281" s="4"/>
      <c r="K281" s="4"/>
      <c r="L281" s="10"/>
      <c r="M281" s="10" t="s">
        <v>46</v>
      </c>
      <c r="N281" s="10"/>
      <c r="O281" s="4"/>
      <c r="P281" s="4"/>
      <c r="Q281" s="18" t="s">
        <v>478</v>
      </c>
    </row>
    <row r="282" spans="1:17" ht="15">
      <c r="A282" s="4" t="str">
        <f t="shared" si="4"/>
        <v>281</v>
      </c>
      <c r="B282" s="1" t="s">
        <v>33</v>
      </c>
      <c r="C282" s="6" t="s">
        <v>680</v>
      </c>
      <c r="D282" s="15" t="s">
        <v>687</v>
      </c>
      <c r="E282" s="6">
        <v>501</v>
      </c>
      <c r="F282" s="4"/>
      <c r="G282" s="6">
        <v>501</v>
      </c>
      <c r="H282" s="4"/>
      <c r="I282" s="9"/>
      <c r="J282" s="4"/>
      <c r="K282" s="4"/>
      <c r="L282" s="10"/>
      <c r="M282" s="10" t="s">
        <v>46</v>
      </c>
      <c r="N282" s="10"/>
      <c r="O282" s="4"/>
      <c r="P282" s="4"/>
      <c r="Q282" s="18" t="s">
        <v>479</v>
      </c>
    </row>
    <row r="283" spans="1:17" ht="15">
      <c r="A283" s="4" t="str">
        <f t="shared" si="4"/>
        <v>282</v>
      </c>
      <c r="B283" s="1" t="s">
        <v>33</v>
      </c>
      <c r="C283" s="6" t="s">
        <v>680</v>
      </c>
      <c r="D283" s="15" t="s">
        <v>687</v>
      </c>
      <c r="E283" s="6">
        <v>502</v>
      </c>
      <c r="F283" s="4"/>
      <c r="G283" s="6">
        <v>502</v>
      </c>
      <c r="H283" s="4"/>
      <c r="I283" s="9"/>
      <c r="J283" s="4"/>
      <c r="K283" s="4"/>
      <c r="L283" s="10"/>
      <c r="M283" s="10" t="s">
        <v>46</v>
      </c>
      <c r="N283" s="10"/>
      <c r="O283" s="4"/>
      <c r="P283" s="4"/>
      <c r="Q283" s="18" t="s">
        <v>480</v>
      </c>
    </row>
    <row r="284" spans="1:17" ht="15">
      <c r="A284" s="4" t="str">
        <f t="shared" si="4"/>
        <v>283</v>
      </c>
      <c r="B284" s="1" t="s">
        <v>33</v>
      </c>
      <c r="C284" s="6" t="s">
        <v>680</v>
      </c>
      <c r="D284" s="15" t="s">
        <v>687</v>
      </c>
      <c r="E284" s="6">
        <v>503</v>
      </c>
      <c r="F284" s="4"/>
      <c r="G284" s="6">
        <v>503</v>
      </c>
      <c r="H284" s="4"/>
      <c r="I284" s="9"/>
      <c r="J284" s="4"/>
      <c r="K284" s="4"/>
      <c r="L284" s="10"/>
      <c r="M284" s="10" t="s">
        <v>46</v>
      </c>
      <c r="N284" s="10"/>
      <c r="O284" s="4"/>
      <c r="P284" s="4"/>
      <c r="Q284" s="18" t="s">
        <v>481</v>
      </c>
    </row>
    <row r="285" spans="1:17" ht="15">
      <c r="A285" s="4" t="str">
        <f t="shared" si="4"/>
        <v>284</v>
      </c>
      <c r="B285" s="1" t="s">
        <v>33</v>
      </c>
      <c r="C285" s="6" t="s">
        <v>680</v>
      </c>
      <c r="D285" s="15" t="s">
        <v>687</v>
      </c>
      <c r="E285" s="6">
        <v>504</v>
      </c>
      <c r="F285" s="4"/>
      <c r="G285" s="6">
        <v>504</v>
      </c>
      <c r="H285" s="4"/>
      <c r="I285" s="9"/>
      <c r="J285" s="4"/>
      <c r="K285" s="4"/>
      <c r="L285" s="10"/>
      <c r="M285" s="10" t="s">
        <v>46</v>
      </c>
      <c r="N285" s="10"/>
      <c r="O285" s="4"/>
      <c r="P285" s="4"/>
      <c r="Q285" s="18" t="s">
        <v>482</v>
      </c>
    </row>
    <row r="286" spans="1:17" ht="15">
      <c r="A286" s="4" t="str">
        <f t="shared" si="4"/>
        <v>285</v>
      </c>
      <c r="B286" s="1" t="s">
        <v>33</v>
      </c>
      <c r="C286" s="6" t="s">
        <v>680</v>
      </c>
      <c r="D286" s="15" t="s">
        <v>687</v>
      </c>
      <c r="E286" s="6">
        <v>401</v>
      </c>
      <c r="F286" s="4"/>
      <c r="G286" s="6">
        <v>401</v>
      </c>
      <c r="H286" s="4"/>
      <c r="I286" s="9"/>
      <c r="J286" s="4"/>
      <c r="K286" s="4"/>
      <c r="L286" s="10"/>
      <c r="M286" s="10" t="s">
        <v>46</v>
      </c>
      <c r="N286" s="10"/>
      <c r="O286" s="4"/>
      <c r="P286" s="4"/>
      <c r="Q286" s="18" t="s">
        <v>483</v>
      </c>
    </row>
    <row r="287" spans="1:17" ht="15">
      <c r="A287" s="4" t="str">
        <f t="shared" si="4"/>
        <v>286</v>
      </c>
      <c r="B287" s="1" t="s">
        <v>33</v>
      </c>
      <c r="C287" s="6" t="s">
        <v>680</v>
      </c>
      <c r="D287" s="15" t="s">
        <v>687</v>
      </c>
      <c r="E287" s="6">
        <v>402</v>
      </c>
      <c r="F287" s="4"/>
      <c r="G287" s="6">
        <v>402</v>
      </c>
      <c r="H287" s="4"/>
      <c r="I287" s="9"/>
      <c r="J287" s="4"/>
      <c r="K287" s="4"/>
      <c r="L287" s="10"/>
      <c r="M287" s="10" t="s">
        <v>46</v>
      </c>
      <c r="N287" s="10"/>
      <c r="O287" s="4"/>
      <c r="P287" s="4"/>
      <c r="Q287" s="18" t="s">
        <v>484</v>
      </c>
    </row>
    <row r="288" spans="1:17" ht="15">
      <c r="A288" s="4" t="str">
        <f t="shared" si="4"/>
        <v>287</v>
      </c>
      <c r="B288" s="1" t="s">
        <v>33</v>
      </c>
      <c r="C288" s="6" t="s">
        <v>680</v>
      </c>
      <c r="D288" s="15" t="s">
        <v>687</v>
      </c>
      <c r="E288" s="6">
        <v>403</v>
      </c>
      <c r="F288" s="4"/>
      <c r="G288" s="6">
        <v>403</v>
      </c>
      <c r="H288" s="4"/>
      <c r="I288" s="9"/>
      <c r="J288" s="4"/>
      <c r="K288" s="4"/>
      <c r="L288" s="10"/>
      <c r="M288" s="10" t="s">
        <v>46</v>
      </c>
      <c r="N288" s="10"/>
      <c r="O288" s="4"/>
      <c r="P288" s="4"/>
      <c r="Q288" s="18" t="s">
        <v>485</v>
      </c>
    </row>
    <row r="289" spans="1:17" ht="15">
      <c r="A289" s="4" t="str">
        <f t="shared" si="4"/>
        <v>288</v>
      </c>
      <c r="B289" s="1" t="s">
        <v>33</v>
      </c>
      <c r="C289" s="6" t="s">
        <v>680</v>
      </c>
      <c r="D289" s="15" t="s">
        <v>687</v>
      </c>
      <c r="E289" s="6">
        <v>404</v>
      </c>
      <c r="F289" s="4"/>
      <c r="G289" s="6">
        <v>404</v>
      </c>
      <c r="H289" s="4"/>
      <c r="I289" s="9"/>
      <c r="J289" s="4"/>
      <c r="K289" s="4"/>
      <c r="L289" s="10"/>
      <c r="M289" s="10" t="s">
        <v>46</v>
      </c>
      <c r="N289" s="10"/>
      <c r="O289" s="4"/>
      <c r="P289" s="4"/>
      <c r="Q289" s="18" t="s">
        <v>393</v>
      </c>
    </row>
    <row r="290" spans="1:17" ht="15">
      <c r="A290" s="4" t="str">
        <f t="shared" si="4"/>
        <v>289</v>
      </c>
      <c r="B290" s="1" t="s">
        <v>33</v>
      </c>
      <c r="C290" s="6" t="s">
        <v>680</v>
      </c>
      <c r="D290" s="15" t="s">
        <v>687</v>
      </c>
      <c r="E290" s="6">
        <v>301</v>
      </c>
      <c r="F290" s="4"/>
      <c r="G290" s="6">
        <v>301</v>
      </c>
      <c r="H290" s="4"/>
      <c r="I290" s="9"/>
      <c r="J290" s="4"/>
      <c r="K290" s="4"/>
      <c r="L290" s="10"/>
      <c r="M290" s="10" t="s">
        <v>46</v>
      </c>
      <c r="N290" s="10"/>
      <c r="O290" s="4"/>
      <c r="P290" s="4"/>
      <c r="Q290" s="18" t="s">
        <v>486</v>
      </c>
    </row>
    <row r="291" spans="1:17" ht="15">
      <c r="A291" s="4" t="str">
        <f t="shared" si="4"/>
        <v>290</v>
      </c>
      <c r="B291" s="1" t="s">
        <v>33</v>
      </c>
      <c r="C291" s="6" t="s">
        <v>680</v>
      </c>
      <c r="D291" s="15" t="s">
        <v>687</v>
      </c>
      <c r="E291" s="6">
        <v>302</v>
      </c>
      <c r="F291" s="4"/>
      <c r="G291" s="6">
        <v>302</v>
      </c>
      <c r="H291" s="4"/>
      <c r="I291" s="9"/>
      <c r="J291" s="4"/>
      <c r="K291" s="4"/>
      <c r="L291" s="10"/>
      <c r="M291" s="10" t="s">
        <v>46</v>
      </c>
      <c r="N291" s="10"/>
      <c r="O291" s="4"/>
      <c r="P291" s="4"/>
      <c r="Q291" s="18" t="s">
        <v>487</v>
      </c>
    </row>
    <row r="292" spans="1:17" ht="15">
      <c r="A292" s="4" t="str">
        <f t="shared" si="4"/>
        <v>291</v>
      </c>
      <c r="B292" s="1" t="s">
        <v>33</v>
      </c>
      <c r="C292" s="6" t="s">
        <v>680</v>
      </c>
      <c r="D292" s="15" t="s">
        <v>687</v>
      </c>
      <c r="E292" s="6">
        <v>303</v>
      </c>
      <c r="F292" s="4"/>
      <c r="G292" s="6">
        <v>303</v>
      </c>
      <c r="H292" s="4"/>
      <c r="I292" s="9"/>
      <c r="J292" s="4"/>
      <c r="K292" s="4"/>
      <c r="L292" s="10"/>
      <c r="M292" s="10" t="s">
        <v>46</v>
      </c>
      <c r="N292" s="10"/>
      <c r="O292" s="4"/>
      <c r="P292" s="4"/>
      <c r="Q292" s="18" t="s">
        <v>488</v>
      </c>
    </row>
    <row r="293" spans="1:17" ht="15">
      <c r="A293" s="4" t="str">
        <f t="shared" si="4"/>
        <v>292</v>
      </c>
      <c r="B293" s="1" t="s">
        <v>33</v>
      </c>
      <c r="C293" s="6" t="s">
        <v>680</v>
      </c>
      <c r="D293" s="15" t="s">
        <v>687</v>
      </c>
      <c r="E293" s="6">
        <v>304</v>
      </c>
      <c r="F293" s="4"/>
      <c r="G293" s="6">
        <v>304</v>
      </c>
      <c r="H293" s="4"/>
      <c r="I293" s="9"/>
      <c r="J293" s="4"/>
      <c r="K293" s="4"/>
      <c r="L293" s="10"/>
      <c r="M293" s="10" t="s">
        <v>46</v>
      </c>
      <c r="N293" s="10"/>
      <c r="O293" s="4"/>
      <c r="P293" s="4"/>
      <c r="Q293" s="18" t="s">
        <v>489</v>
      </c>
    </row>
    <row r="294" spans="1:17" ht="15">
      <c r="A294" s="4" t="str">
        <f t="shared" si="4"/>
        <v>293</v>
      </c>
      <c r="B294" s="1" t="s">
        <v>33</v>
      </c>
      <c r="C294" s="6" t="s">
        <v>680</v>
      </c>
      <c r="D294" s="15" t="s">
        <v>687</v>
      </c>
      <c r="E294" s="6">
        <v>201</v>
      </c>
      <c r="F294" s="4"/>
      <c r="G294" s="6">
        <v>201</v>
      </c>
      <c r="H294" s="4"/>
      <c r="I294" s="9"/>
      <c r="J294" s="4"/>
      <c r="K294" s="4"/>
      <c r="L294" s="10"/>
      <c r="M294" s="10" t="s">
        <v>46</v>
      </c>
      <c r="N294" s="10"/>
      <c r="O294" s="4"/>
      <c r="P294" s="4"/>
      <c r="Q294" s="18" t="s">
        <v>490</v>
      </c>
    </row>
    <row r="295" spans="1:17" ht="15">
      <c r="A295" s="4" t="str">
        <f t="shared" si="4"/>
        <v>294</v>
      </c>
      <c r="B295" s="1" t="s">
        <v>33</v>
      </c>
      <c r="C295" s="6" t="s">
        <v>680</v>
      </c>
      <c r="D295" s="15" t="s">
        <v>687</v>
      </c>
      <c r="E295" s="6">
        <v>202</v>
      </c>
      <c r="F295" s="4"/>
      <c r="G295" s="6">
        <v>202</v>
      </c>
      <c r="H295" s="4"/>
      <c r="I295" s="9"/>
      <c r="J295" s="4"/>
      <c r="K295" s="4"/>
      <c r="L295" s="10"/>
      <c r="M295" s="10" t="s">
        <v>46</v>
      </c>
      <c r="N295" s="10"/>
      <c r="O295" s="4"/>
      <c r="P295" s="4"/>
      <c r="Q295" s="18" t="s">
        <v>491</v>
      </c>
    </row>
    <row r="296" spans="1:17" ht="15">
      <c r="A296" s="4" t="str">
        <f t="shared" si="4"/>
        <v>295</v>
      </c>
      <c r="B296" s="1" t="s">
        <v>33</v>
      </c>
      <c r="C296" s="6" t="s">
        <v>680</v>
      </c>
      <c r="D296" s="15" t="s">
        <v>687</v>
      </c>
      <c r="E296" s="6">
        <v>203</v>
      </c>
      <c r="F296" s="4"/>
      <c r="G296" s="6">
        <v>203</v>
      </c>
      <c r="H296" s="4"/>
      <c r="I296" s="9"/>
      <c r="J296" s="4"/>
      <c r="K296" s="4"/>
      <c r="L296" s="10"/>
      <c r="M296" s="10" t="s">
        <v>46</v>
      </c>
      <c r="N296" s="10"/>
      <c r="O296" s="4"/>
      <c r="P296" s="4"/>
      <c r="Q296" s="18" t="s">
        <v>492</v>
      </c>
    </row>
    <row r="297" spans="1:17" ht="15">
      <c r="A297" s="4" t="str">
        <f t="shared" si="4"/>
        <v>296</v>
      </c>
      <c r="B297" s="1" t="s">
        <v>33</v>
      </c>
      <c r="C297" s="6" t="s">
        <v>680</v>
      </c>
      <c r="D297" s="15" t="s">
        <v>687</v>
      </c>
      <c r="E297" s="6">
        <v>204</v>
      </c>
      <c r="F297" s="4"/>
      <c r="G297" s="6">
        <v>204</v>
      </c>
      <c r="H297" s="4"/>
      <c r="I297" s="9"/>
      <c r="J297" s="4"/>
      <c r="K297" s="4"/>
      <c r="L297" s="10"/>
      <c r="M297" s="10" t="s">
        <v>46</v>
      </c>
      <c r="N297" s="10"/>
      <c r="O297" s="4"/>
      <c r="P297" s="4"/>
      <c r="Q297" s="18" t="s">
        <v>493</v>
      </c>
    </row>
    <row r="298" spans="1:17" ht="15">
      <c r="A298" s="4" t="str">
        <f t="shared" si="4"/>
        <v>297</v>
      </c>
      <c r="B298" s="1" t="s">
        <v>33</v>
      </c>
      <c r="C298" s="6" t="s">
        <v>680</v>
      </c>
      <c r="D298" s="15" t="s">
        <v>687</v>
      </c>
      <c r="E298" s="6">
        <v>101</v>
      </c>
      <c r="F298" s="4"/>
      <c r="G298" s="6">
        <v>101</v>
      </c>
      <c r="H298" s="4"/>
      <c r="I298" s="9"/>
      <c r="J298" s="4"/>
      <c r="K298" s="4"/>
      <c r="L298" s="10"/>
      <c r="M298" s="10" t="s">
        <v>46</v>
      </c>
      <c r="N298" s="10"/>
      <c r="O298" s="4"/>
      <c r="P298" s="4"/>
      <c r="Q298" s="18" t="s">
        <v>494</v>
      </c>
    </row>
    <row r="299" spans="1:17" ht="15">
      <c r="A299" s="4" t="str">
        <f t="shared" si="4"/>
        <v>298</v>
      </c>
      <c r="B299" s="1" t="s">
        <v>33</v>
      </c>
      <c r="C299" s="6" t="s">
        <v>680</v>
      </c>
      <c r="D299" s="15" t="s">
        <v>687</v>
      </c>
      <c r="E299" s="6">
        <v>102</v>
      </c>
      <c r="F299" s="4"/>
      <c r="G299" s="6">
        <v>102</v>
      </c>
      <c r="H299" s="4"/>
      <c r="I299" s="9"/>
      <c r="J299" s="4"/>
      <c r="K299" s="4"/>
      <c r="L299" s="10"/>
      <c r="M299" s="10" t="s">
        <v>46</v>
      </c>
      <c r="N299" s="10"/>
      <c r="O299" s="4"/>
      <c r="P299" s="4"/>
      <c r="Q299" s="18" t="s">
        <v>495</v>
      </c>
    </row>
    <row r="300" spans="1:17" ht="15">
      <c r="A300" s="4" t="str">
        <f t="shared" si="4"/>
        <v>299</v>
      </c>
      <c r="B300" s="1" t="s">
        <v>33</v>
      </c>
      <c r="C300" s="6" t="s">
        <v>680</v>
      </c>
      <c r="D300" s="15" t="s">
        <v>687</v>
      </c>
      <c r="E300" s="6">
        <v>103</v>
      </c>
      <c r="F300" s="4"/>
      <c r="G300" s="6">
        <v>103</v>
      </c>
      <c r="H300" s="4"/>
      <c r="I300" s="9"/>
      <c r="J300" s="4"/>
      <c r="K300" s="4"/>
      <c r="L300" s="10"/>
      <c r="M300" s="10" t="s">
        <v>46</v>
      </c>
      <c r="N300" s="10"/>
      <c r="O300" s="4"/>
      <c r="P300" s="4"/>
      <c r="Q300" s="18" t="s">
        <v>496</v>
      </c>
    </row>
    <row r="301" spans="1:17" ht="15">
      <c r="A301" s="4" t="str">
        <f t="shared" si="4"/>
        <v>300</v>
      </c>
      <c r="B301" s="1" t="s">
        <v>33</v>
      </c>
      <c r="C301" s="6" t="s">
        <v>680</v>
      </c>
      <c r="D301" s="15" t="s">
        <v>687</v>
      </c>
      <c r="E301" s="6">
        <v>104</v>
      </c>
      <c r="F301" s="4"/>
      <c r="G301" s="6">
        <v>104</v>
      </c>
      <c r="H301" s="4"/>
      <c r="I301" s="9"/>
      <c r="J301" s="4"/>
      <c r="K301" s="4"/>
      <c r="L301" s="10"/>
      <c r="M301" s="10" t="s">
        <v>46</v>
      </c>
      <c r="N301" s="10"/>
      <c r="O301" s="4"/>
      <c r="P301" s="4"/>
      <c r="Q301" s="18" t="s">
        <v>497</v>
      </c>
    </row>
    <row r="302" spans="1:17" ht="15">
      <c r="A302" s="4" t="str">
        <f t="shared" si="4"/>
        <v>301</v>
      </c>
      <c r="B302" s="1" t="s">
        <v>33</v>
      </c>
      <c r="C302" s="6" t="s">
        <v>45</v>
      </c>
      <c r="D302" s="15" t="s">
        <v>686</v>
      </c>
      <c r="E302" s="6">
        <v>501</v>
      </c>
      <c r="F302" s="4"/>
      <c r="G302" s="6">
        <v>501</v>
      </c>
      <c r="H302" s="4"/>
      <c r="I302" s="9"/>
      <c r="J302" s="4"/>
      <c r="K302" s="4"/>
      <c r="L302" s="10"/>
      <c r="M302" s="10" t="s">
        <v>46</v>
      </c>
      <c r="N302" s="10"/>
      <c r="O302" s="4"/>
      <c r="P302" s="4"/>
      <c r="Q302" s="18" t="s">
        <v>498</v>
      </c>
    </row>
    <row r="303" spans="1:17" ht="15">
      <c r="A303" s="4" t="str">
        <f t="shared" si="4"/>
        <v>302</v>
      </c>
      <c r="B303" s="1" t="s">
        <v>33</v>
      </c>
      <c r="C303" s="6" t="s">
        <v>45</v>
      </c>
      <c r="D303" s="15" t="s">
        <v>686</v>
      </c>
      <c r="E303" s="6">
        <v>502</v>
      </c>
      <c r="F303" s="4"/>
      <c r="G303" s="6">
        <v>502</v>
      </c>
      <c r="H303" s="4"/>
      <c r="I303" s="9"/>
      <c r="J303" s="4"/>
      <c r="K303" s="4"/>
      <c r="L303" s="10"/>
      <c r="M303" s="10" t="s">
        <v>46</v>
      </c>
      <c r="N303" s="10"/>
      <c r="O303" s="4"/>
      <c r="P303" s="4"/>
      <c r="Q303" s="18" t="s">
        <v>499</v>
      </c>
    </row>
    <row r="304" spans="1:17" ht="15">
      <c r="A304" s="4" t="str">
        <f t="shared" si="4"/>
        <v>303</v>
      </c>
      <c r="B304" s="1" t="s">
        <v>33</v>
      </c>
      <c r="C304" s="6" t="s">
        <v>45</v>
      </c>
      <c r="D304" s="15" t="s">
        <v>686</v>
      </c>
      <c r="E304" s="6">
        <v>503</v>
      </c>
      <c r="F304" s="4"/>
      <c r="G304" s="6">
        <v>503</v>
      </c>
      <c r="H304" s="4"/>
      <c r="I304" s="9"/>
      <c r="J304" s="4"/>
      <c r="K304" s="4"/>
      <c r="L304" s="10"/>
      <c r="M304" s="10" t="s">
        <v>46</v>
      </c>
      <c r="N304" s="10"/>
      <c r="O304" s="4"/>
      <c r="P304" s="4"/>
      <c r="Q304" s="18" t="s">
        <v>500</v>
      </c>
    </row>
    <row r="305" spans="1:17" ht="15">
      <c r="A305" s="4" t="str">
        <f t="shared" si="4"/>
        <v>304</v>
      </c>
      <c r="B305" s="1" t="s">
        <v>33</v>
      </c>
      <c r="C305" s="6" t="s">
        <v>45</v>
      </c>
      <c r="D305" s="15" t="s">
        <v>686</v>
      </c>
      <c r="E305" s="6">
        <v>504</v>
      </c>
      <c r="F305" s="4"/>
      <c r="G305" s="6">
        <v>504</v>
      </c>
      <c r="H305" s="4"/>
      <c r="I305" s="9"/>
      <c r="J305" s="4"/>
      <c r="K305" s="4"/>
      <c r="L305" s="10"/>
      <c r="M305" s="10" t="s">
        <v>46</v>
      </c>
      <c r="N305" s="10"/>
      <c r="O305" s="4"/>
      <c r="P305" s="4"/>
      <c r="Q305" s="18" t="s">
        <v>501</v>
      </c>
    </row>
    <row r="306" spans="1:17" ht="15">
      <c r="A306" s="4" t="str">
        <f t="shared" si="4"/>
        <v>305</v>
      </c>
      <c r="B306" s="1" t="s">
        <v>33</v>
      </c>
      <c r="C306" s="6" t="s">
        <v>45</v>
      </c>
      <c r="D306" s="15" t="s">
        <v>686</v>
      </c>
      <c r="E306" s="6">
        <v>401</v>
      </c>
      <c r="F306" s="4"/>
      <c r="G306" s="6">
        <v>401</v>
      </c>
      <c r="H306" s="4"/>
      <c r="I306" s="9"/>
      <c r="J306" s="4"/>
      <c r="K306" s="4"/>
      <c r="L306" s="10"/>
      <c r="M306" s="10" t="s">
        <v>46</v>
      </c>
      <c r="N306" s="10"/>
      <c r="O306" s="4"/>
      <c r="P306" s="4"/>
      <c r="Q306" s="18" t="s">
        <v>502</v>
      </c>
    </row>
    <row r="307" spans="1:17" ht="15">
      <c r="A307" s="4" t="str">
        <f t="shared" si="4"/>
        <v>306</v>
      </c>
      <c r="B307" s="1" t="s">
        <v>33</v>
      </c>
      <c r="C307" s="6" t="s">
        <v>45</v>
      </c>
      <c r="D307" s="15" t="s">
        <v>686</v>
      </c>
      <c r="E307" s="6">
        <v>402</v>
      </c>
      <c r="F307" s="4"/>
      <c r="G307" s="6">
        <v>402</v>
      </c>
      <c r="H307" s="4"/>
      <c r="I307" s="9"/>
      <c r="J307" s="4"/>
      <c r="K307" s="4"/>
      <c r="L307" s="10"/>
      <c r="M307" s="10" t="s">
        <v>46</v>
      </c>
      <c r="N307" s="10"/>
      <c r="O307" s="4"/>
      <c r="P307" s="4"/>
      <c r="Q307" s="18" t="s">
        <v>503</v>
      </c>
    </row>
    <row r="308" spans="1:17" ht="15">
      <c r="A308" s="4" t="str">
        <f t="shared" si="4"/>
        <v>307</v>
      </c>
      <c r="B308" s="1" t="s">
        <v>33</v>
      </c>
      <c r="C308" s="6" t="s">
        <v>45</v>
      </c>
      <c r="D308" s="15" t="s">
        <v>686</v>
      </c>
      <c r="E308" s="6">
        <v>403</v>
      </c>
      <c r="F308" s="4"/>
      <c r="G308" s="6">
        <v>403</v>
      </c>
      <c r="H308" s="4"/>
      <c r="I308" s="9"/>
      <c r="J308" s="4"/>
      <c r="K308" s="4"/>
      <c r="L308" s="10"/>
      <c r="M308" s="10" t="s">
        <v>46</v>
      </c>
      <c r="N308" s="10"/>
      <c r="O308" s="4"/>
      <c r="P308" s="4"/>
      <c r="Q308" s="18" t="s">
        <v>504</v>
      </c>
    </row>
    <row r="309" spans="1:17" ht="15">
      <c r="A309" s="4" t="str">
        <f t="shared" si="4"/>
        <v>308</v>
      </c>
      <c r="B309" s="1" t="s">
        <v>33</v>
      </c>
      <c r="C309" s="6" t="s">
        <v>45</v>
      </c>
      <c r="D309" s="15" t="s">
        <v>686</v>
      </c>
      <c r="E309" s="6">
        <v>404</v>
      </c>
      <c r="F309" s="4"/>
      <c r="G309" s="6">
        <v>404</v>
      </c>
      <c r="H309" s="4"/>
      <c r="I309" s="9"/>
      <c r="J309" s="4"/>
      <c r="K309" s="4"/>
      <c r="L309" s="10"/>
      <c r="M309" s="10" t="s">
        <v>46</v>
      </c>
      <c r="N309" s="10"/>
      <c r="O309" s="4"/>
      <c r="P309" s="4"/>
      <c r="Q309" s="18" t="s">
        <v>505</v>
      </c>
    </row>
    <row r="310" spans="1:17" ht="15">
      <c r="A310" s="4" t="str">
        <f t="shared" si="4"/>
        <v>309</v>
      </c>
      <c r="B310" s="1" t="s">
        <v>33</v>
      </c>
      <c r="C310" s="6" t="s">
        <v>45</v>
      </c>
      <c r="D310" s="15" t="s">
        <v>686</v>
      </c>
      <c r="E310" s="6">
        <v>301</v>
      </c>
      <c r="F310" s="4"/>
      <c r="G310" s="6">
        <v>301</v>
      </c>
      <c r="H310" s="4"/>
      <c r="I310" s="9"/>
      <c r="J310" s="4"/>
      <c r="K310" s="4"/>
      <c r="L310" s="10"/>
      <c r="M310" s="10" t="s">
        <v>46</v>
      </c>
      <c r="N310" s="10"/>
      <c r="O310" s="4"/>
      <c r="P310" s="4"/>
      <c r="Q310" s="18" t="s">
        <v>506</v>
      </c>
    </row>
    <row r="311" spans="1:17" ht="15">
      <c r="A311" s="4" t="str">
        <f t="shared" si="4"/>
        <v>310</v>
      </c>
      <c r="B311" s="1" t="s">
        <v>33</v>
      </c>
      <c r="C311" s="6" t="s">
        <v>45</v>
      </c>
      <c r="D311" s="15" t="s">
        <v>686</v>
      </c>
      <c r="E311" s="6">
        <v>302</v>
      </c>
      <c r="F311" s="4"/>
      <c r="G311" s="6">
        <v>302</v>
      </c>
      <c r="H311" s="4"/>
      <c r="I311" s="9"/>
      <c r="J311" s="4"/>
      <c r="K311" s="4"/>
      <c r="L311" s="10"/>
      <c r="M311" s="10" t="s">
        <v>46</v>
      </c>
      <c r="N311" s="10"/>
      <c r="O311" s="4"/>
      <c r="P311" s="4"/>
      <c r="Q311" s="18" t="s">
        <v>507</v>
      </c>
    </row>
    <row r="312" spans="1:17" ht="15">
      <c r="A312" s="4" t="str">
        <f t="shared" si="4"/>
        <v>311</v>
      </c>
      <c r="B312" s="1" t="s">
        <v>33</v>
      </c>
      <c r="C312" s="6" t="s">
        <v>45</v>
      </c>
      <c r="D312" s="15" t="s">
        <v>686</v>
      </c>
      <c r="E312" s="6">
        <v>303</v>
      </c>
      <c r="F312" s="4"/>
      <c r="G312" s="6">
        <v>303</v>
      </c>
      <c r="H312" s="4"/>
      <c r="I312" s="9"/>
      <c r="J312" s="4"/>
      <c r="K312" s="4"/>
      <c r="L312" s="10"/>
      <c r="M312" s="10" t="s">
        <v>46</v>
      </c>
      <c r="N312" s="10"/>
      <c r="O312" s="4"/>
      <c r="P312" s="4"/>
      <c r="Q312" s="18" t="s">
        <v>508</v>
      </c>
    </row>
    <row r="313" spans="1:17" ht="15">
      <c r="A313" s="4" t="str">
        <f t="shared" si="4"/>
        <v>312</v>
      </c>
      <c r="B313" s="1" t="s">
        <v>33</v>
      </c>
      <c r="C313" s="6" t="s">
        <v>45</v>
      </c>
      <c r="D313" s="15" t="s">
        <v>686</v>
      </c>
      <c r="E313" s="6">
        <v>304</v>
      </c>
      <c r="F313" s="4"/>
      <c r="G313" s="6">
        <v>304</v>
      </c>
      <c r="H313" s="4"/>
      <c r="I313" s="9"/>
      <c r="J313" s="4"/>
      <c r="K313" s="4"/>
      <c r="L313" s="10"/>
      <c r="M313" s="10" t="s">
        <v>46</v>
      </c>
      <c r="N313" s="10"/>
      <c r="O313" s="4"/>
      <c r="P313" s="4"/>
      <c r="Q313" s="18" t="s">
        <v>509</v>
      </c>
    </row>
    <row r="314" spans="1:17" ht="15">
      <c r="A314" s="4" t="str">
        <f t="shared" si="4"/>
        <v>313</v>
      </c>
      <c r="B314" s="1" t="s">
        <v>33</v>
      </c>
      <c r="C314" s="6" t="s">
        <v>45</v>
      </c>
      <c r="D314" s="15" t="s">
        <v>686</v>
      </c>
      <c r="E314" s="6">
        <v>201</v>
      </c>
      <c r="F314" s="4"/>
      <c r="G314" s="6">
        <v>201</v>
      </c>
      <c r="H314" s="4"/>
      <c r="I314" s="9"/>
      <c r="J314" s="4"/>
      <c r="K314" s="4"/>
      <c r="L314" s="10"/>
      <c r="M314" s="10" t="s">
        <v>46</v>
      </c>
      <c r="N314" s="10"/>
      <c r="O314" s="4"/>
      <c r="P314" s="4"/>
      <c r="Q314" s="18" t="s">
        <v>510</v>
      </c>
    </row>
    <row r="315" spans="1:17" ht="15">
      <c r="A315" s="4" t="str">
        <f t="shared" si="4"/>
        <v>314</v>
      </c>
      <c r="B315" s="1" t="s">
        <v>33</v>
      </c>
      <c r="C315" s="6" t="s">
        <v>45</v>
      </c>
      <c r="D315" s="15" t="s">
        <v>686</v>
      </c>
      <c r="E315" s="6">
        <v>202</v>
      </c>
      <c r="F315" s="4"/>
      <c r="G315" s="6">
        <v>202</v>
      </c>
      <c r="H315" s="4"/>
      <c r="I315" s="9"/>
      <c r="J315" s="4"/>
      <c r="K315" s="4"/>
      <c r="L315" s="10"/>
      <c r="M315" s="10" t="s">
        <v>46</v>
      </c>
      <c r="N315" s="10"/>
      <c r="O315" s="4"/>
      <c r="P315" s="4"/>
      <c r="Q315" s="18" t="s">
        <v>511</v>
      </c>
    </row>
    <row r="316" spans="1:17" ht="15">
      <c r="A316" s="4" t="str">
        <f t="shared" si="4"/>
        <v>315</v>
      </c>
      <c r="B316" s="1" t="s">
        <v>33</v>
      </c>
      <c r="C316" s="6" t="s">
        <v>45</v>
      </c>
      <c r="D316" s="15" t="s">
        <v>686</v>
      </c>
      <c r="E316" s="6">
        <v>203</v>
      </c>
      <c r="F316" s="4"/>
      <c r="G316" s="6">
        <v>203</v>
      </c>
      <c r="H316" s="4"/>
      <c r="I316" s="9"/>
      <c r="J316" s="4"/>
      <c r="K316" s="4"/>
      <c r="L316" s="10"/>
      <c r="M316" s="10" t="s">
        <v>46</v>
      </c>
      <c r="N316" s="10"/>
      <c r="O316" s="4"/>
      <c r="P316" s="4"/>
      <c r="Q316" s="18" t="s">
        <v>512</v>
      </c>
    </row>
    <row r="317" spans="1:17" ht="15">
      <c r="A317" s="4" t="str">
        <f t="shared" si="4"/>
        <v>316</v>
      </c>
      <c r="B317" s="1" t="s">
        <v>33</v>
      </c>
      <c r="C317" s="1" t="s">
        <v>45</v>
      </c>
      <c r="D317" s="1" t="s">
        <v>686</v>
      </c>
      <c r="E317" s="1">
        <v>204</v>
      </c>
      <c r="G317" s="1">
        <v>204</v>
      </c>
      <c r="M317" s="1" t="s">
        <v>46</v>
      </c>
      <c r="Q317" s="1" t="s">
        <v>513</v>
      </c>
    </row>
    <row r="318" spans="1:17" ht="15">
      <c r="A318" s="4" t="str">
        <f t="shared" si="4"/>
        <v>317</v>
      </c>
      <c r="B318" s="1" t="s">
        <v>33</v>
      </c>
      <c r="C318" s="1" t="s">
        <v>45</v>
      </c>
      <c r="D318" s="1" t="s">
        <v>686</v>
      </c>
      <c r="E318" s="1">
        <v>101</v>
      </c>
      <c r="G318" s="1">
        <v>101</v>
      </c>
      <c r="M318" s="1" t="s">
        <v>46</v>
      </c>
      <c r="Q318" s="1" t="s">
        <v>514</v>
      </c>
    </row>
    <row r="319" spans="1:17" ht="15">
      <c r="A319" s="4" t="str">
        <f t="shared" si="4"/>
        <v>318</v>
      </c>
      <c r="B319" s="1" t="s">
        <v>33</v>
      </c>
      <c r="C319" s="1" t="s">
        <v>45</v>
      </c>
      <c r="D319" s="1" t="s">
        <v>686</v>
      </c>
      <c r="E319" s="1">
        <v>102</v>
      </c>
      <c r="G319" s="1">
        <v>102</v>
      </c>
      <c r="M319" s="1" t="s">
        <v>46</v>
      </c>
      <c r="Q319" s="1" t="s">
        <v>515</v>
      </c>
    </row>
    <row r="320" spans="1:17" ht="15">
      <c r="A320" s="4" t="str">
        <f t="shared" si="4"/>
        <v>319</v>
      </c>
      <c r="B320" s="1" t="s">
        <v>33</v>
      </c>
      <c r="C320" s="1" t="s">
        <v>45</v>
      </c>
      <c r="D320" s="1" t="s">
        <v>686</v>
      </c>
      <c r="E320" s="1">
        <v>103</v>
      </c>
      <c r="G320" s="1">
        <v>103</v>
      </c>
      <c r="M320" s="1" t="s">
        <v>46</v>
      </c>
      <c r="Q320" s="1" t="s">
        <v>516</v>
      </c>
    </row>
    <row r="321" spans="1:17" ht="15">
      <c r="A321" s="4" t="str">
        <f t="shared" si="4"/>
        <v>320</v>
      </c>
      <c r="B321" s="1" t="s">
        <v>33</v>
      </c>
      <c r="C321" s="1" t="s">
        <v>45</v>
      </c>
      <c r="D321" s="1" t="s">
        <v>686</v>
      </c>
      <c r="E321" s="1">
        <v>104</v>
      </c>
      <c r="G321" s="1">
        <v>104</v>
      </c>
      <c r="M321" s="1" t="s">
        <v>46</v>
      </c>
      <c r="Q321" s="1" t="s">
        <v>517</v>
      </c>
    </row>
    <row r="322" spans="1:17" ht="15">
      <c r="A322" s="4" t="str">
        <f t="shared" si="4"/>
        <v>321</v>
      </c>
      <c r="B322" s="1" t="s">
        <v>33</v>
      </c>
      <c r="C322" s="1" t="s">
        <v>45</v>
      </c>
      <c r="D322" s="1" t="s">
        <v>687</v>
      </c>
      <c r="E322" s="1">
        <v>501</v>
      </c>
      <c r="G322" s="1">
        <v>501</v>
      </c>
      <c r="M322" s="1" t="s">
        <v>46</v>
      </c>
      <c r="Q322" s="1" t="s">
        <v>272</v>
      </c>
    </row>
    <row r="323" spans="1:17" ht="15">
      <c r="A323" s="4" t="str">
        <f t="shared" ref="A323:A386" si="5">TEXT(ROW(A322),"000")</f>
        <v>322</v>
      </c>
      <c r="B323" s="1" t="s">
        <v>33</v>
      </c>
      <c r="C323" s="1" t="s">
        <v>45</v>
      </c>
      <c r="D323" s="1" t="s">
        <v>687</v>
      </c>
      <c r="E323" s="1">
        <v>502</v>
      </c>
      <c r="G323" s="1">
        <v>502</v>
      </c>
      <c r="M323" s="1" t="s">
        <v>46</v>
      </c>
      <c r="Q323" s="1" t="s">
        <v>273</v>
      </c>
    </row>
    <row r="324" spans="1:17" ht="15">
      <c r="A324" s="4" t="str">
        <f t="shared" si="5"/>
        <v>323</v>
      </c>
      <c r="B324" s="1" t="s">
        <v>33</v>
      </c>
      <c r="C324" s="1" t="s">
        <v>45</v>
      </c>
      <c r="D324" s="1" t="s">
        <v>687</v>
      </c>
      <c r="E324" s="1">
        <v>503</v>
      </c>
      <c r="G324" s="1">
        <v>503</v>
      </c>
      <c r="M324" s="1" t="s">
        <v>46</v>
      </c>
      <c r="Q324" s="1" t="s">
        <v>274</v>
      </c>
    </row>
    <row r="325" spans="1:17" ht="15">
      <c r="A325" s="4" t="str">
        <f t="shared" si="5"/>
        <v>324</v>
      </c>
      <c r="B325" s="1" t="s">
        <v>33</v>
      </c>
      <c r="C325" s="1" t="s">
        <v>45</v>
      </c>
      <c r="D325" s="1" t="s">
        <v>687</v>
      </c>
      <c r="E325" s="1">
        <v>504</v>
      </c>
      <c r="G325" s="1">
        <v>504</v>
      </c>
      <c r="M325" s="1" t="s">
        <v>46</v>
      </c>
      <c r="Q325" s="1" t="s">
        <v>275</v>
      </c>
    </row>
    <row r="326" spans="1:17" ht="15">
      <c r="A326" s="4" t="str">
        <f t="shared" si="5"/>
        <v>325</v>
      </c>
      <c r="B326" s="1" t="s">
        <v>33</v>
      </c>
      <c r="C326" s="1" t="s">
        <v>45</v>
      </c>
      <c r="D326" s="1" t="s">
        <v>687</v>
      </c>
      <c r="E326" s="1">
        <v>401</v>
      </c>
      <c r="G326" s="1">
        <v>401</v>
      </c>
      <c r="M326" s="1" t="s">
        <v>46</v>
      </c>
      <c r="Q326" s="1" t="s">
        <v>276</v>
      </c>
    </row>
    <row r="327" spans="1:17" ht="15">
      <c r="A327" s="4" t="str">
        <f t="shared" si="5"/>
        <v>326</v>
      </c>
      <c r="B327" s="1" t="s">
        <v>33</v>
      </c>
      <c r="C327" s="1" t="s">
        <v>45</v>
      </c>
      <c r="D327" s="1" t="s">
        <v>687</v>
      </c>
      <c r="E327" s="1">
        <v>402</v>
      </c>
      <c r="G327" s="1">
        <v>402</v>
      </c>
      <c r="M327" s="1" t="s">
        <v>46</v>
      </c>
      <c r="Q327" s="1" t="s">
        <v>277</v>
      </c>
    </row>
    <row r="328" spans="1:17" ht="15">
      <c r="A328" s="4" t="str">
        <f t="shared" si="5"/>
        <v>327</v>
      </c>
      <c r="B328" s="1" t="s">
        <v>33</v>
      </c>
      <c r="C328" s="1" t="s">
        <v>45</v>
      </c>
      <c r="D328" s="1" t="s">
        <v>687</v>
      </c>
      <c r="E328" s="1">
        <v>403</v>
      </c>
      <c r="G328" s="1">
        <v>403</v>
      </c>
      <c r="M328" s="1" t="s">
        <v>46</v>
      </c>
      <c r="Q328" s="1" t="s">
        <v>278</v>
      </c>
    </row>
    <row r="329" spans="1:17" ht="15">
      <c r="A329" s="4" t="str">
        <f t="shared" si="5"/>
        <v>328</v>
      </c>
      <c r="B329" s="1" t="s">
        <v>33</v>
      </c>
      <c r="C329" s="1" t="s">
        <v>45</v>
      </c>
      <c r="D329" s="1" t="s">
        <v>687</v>
      </c>
      <c r="E329" s="1">
        <v>404</v>
      </c>
      <c r="G329" s="1">
        <v>404</v>
      </c>
      <c r="M329" s="1" t="s">
        <v>46</v>
      </c>
      <c r="Q329" s="1" t="s">
        <v>279</v>
      </c>
    </row>
    <row r="330" spans="1:17" ht="15">
      <c r="A330" s="4" t="str">
        <f t="shared" si="5"/>
        <v>329</v>
      </c>
      <c r="B330" s="1" t="s">
        <v>33</v>
      </c>
      <c r="C330" s="1" t="s">
        <v>45</v>
      </c>
      <c r="D330" s="1" t="s">
        <v>687</v>
      </c>
      <c r="E330" s="1">
        <v>301</v>
      </c>
      <c r="G330" s="1">
        <v>301</v>
      </c>
      <c r="M330" s="1" t="s">
        <v>46</v>
      </c>
      <c r="Q330" s="1" t="s">
        <v>280</v>
      </c>
    </row>
    <row r="331" spans="1:17" ht="15">
      <c r="A331" s="4" t="str">
        <f t="shared" si="5"/>
        <v>330</v>
      </c>
      <c r="B331" s="1" t="s">
        <v>33</v>
      </c>
      <c r="C331" s="1" t="s">
        <v>45</v>
      </c>
      <c r="D331" s="1" t="s">
        <v>687</v>
      </c>
      <c r="E331" s="1">
        <v>302</v>
      </c>
      <c r="G331" s="1">
        <v>302</v>
      </c>
      <c r="M331" s="1" t="s">
        <v>46</v>
      </c>
      <c r="Q331" s="1" t="s">
        <v>281</v>
      </c>
    </row>
    <row r="332" spans="1:17" ht="15">
      <c r="A332" s="4" t="str">
        <f t="shared" si="5"/>
        <v>331</v>
      </c>
      <c r="B332" s="1" t="s">
        <v>33</v>
      </c>
      <c r="C332" s="1" t="s">
        <v>45</v>
      </c>
      <c r="D332" s="1" t="s">
        <v>687</v>
      </c>
      <c r="E332" s="1">
        <v>303</v>
      </c>
      <c r="G332" s="1">
        <v>303</v>
      </c>
      <c r="M332" s="1" t="s">
        <v>46</v>
      </c>
      <c r="Q332" s="1" t="s">
        <v>282</v>
      </c>
    </row>
    <row r="333" spans="1:17" ht="15">
      <c r="A333" s="4" t="str">
        <f t="shared" si="5"/>
        <v>332</v>
      </c>
      <c r="B333" s="1" t="s">
        <v>33</v>
      </c>
      <c r="C333" s="1" t="s">
        <v>45</v>
      </c>
      <c r="D333" s="1" t="s">
        <v>687</v>
      </c>
      <c r="E333" s="1">
        <v>304</v>
      </c>
      <c r="G333" s="1">
        <v>304</v>
      </c>
      <c r="M333" s="1" t="s">
        <v>46</v>
      </c>
      <c r="Q333" s="1" t="s">
        <v>283</v>
      </c>
    </row>
    <row r="334" spans="1:17" ht="15">
      <c r="A334" s="4" t="str">
        <f t="shared" si="5"/>
        <v>333</v>
      </c>
      <c r="B334" s="1" t="s">
        <v>33</v>
      </c>
      <c r="C334" s="1" t="s">
        <v>45</v>
      </c>
      <c r="D334" s="1" t="s">
        <v>687</v>
      </c>
      <c r="E334" s="1">
        <v>201</v>
      </c>
      <c r="G334" s="1">
        <v>201</v>
      </c>
      <c r="M334" s="1" t="s">
        <v>46</v>
      </c>
      <c r="Q334" s="1" t="s">
        <v>284</v>
      </c>
    </row>
    <row r="335" spans="1:17" ht="15">
      <c r="A335" s="4" t="str">
        <f t="shared" si="5"/>
        <v>334</v>
      </c>
      <c r="B335" s="1" t="s">
        <v>33</v>
      </c>
      <c r="C335" s="1" t="s">
        <v>45</v>
      </c>
      <c r="D335" s="1" t="s">
        <v>687</v>
      </c>
      <c r="E335" s="1">
        <v>202</v>
      </c>
      <c r="G335" s="1">
        <v>202</v>
      </c>
      <c r="M335" s="1" t="s">
        <v>46</v>
      </c>
      <c r="Q335" s="1" t="s">
        <v>285</v>
      </c>
    </row>
    <row r="336" spans="1:17" ht="15">
      <c r="A336" s="4" t="str">
        <f t="shared" si="5"/>
        <v>335</v>
      </c>
      <c r="B336" s="1" t="s">
        <v>33</v>
      </c>
      <c r="C336" s="1" t="s">
        <v>45</v>
      </c>
      <c r="D336" s="1" t="s">
        <v>687</v>
      </c>
      <c r="E336" s="1">
        <v>203</v>
      </c>
      <c r="G336" s="1">
        <v>203</v>
      </c>
      <c r="M336" s="1" t="s">
        <v>46</v>
      </c>
      <c r="Q336" s="1" t="s">
        <v>286</v>
      </c>
    </row>
    <row r="337" spans="1:17" ht="15">
      <c r="A337" s="4" t="str">
        <f t="shared" si="5"/>
        <v>336</v>
      </c>
      <c r="B337" s="1" t="s">
        <v>33</v>
      </c>
      <c r="C337" s="1" t="s">
        <v>45</v>
      </c>
      <c r="D337" s="1" t="s">
        <v>687</v>
      </c>
      <c r="E337" s="1">
        <v>204</v>
      </c>
      <c r="G337" s="1">
        <v>204</v>
      </c>
      <c r="M337" s="1" t="s">
        <v>46</v>
      </c>
      <c r="Q337" s="1" t="s">
        <v>287</v>
      </c>
    </row>
    <row r="338" spans="1:17" ht="15">
      <c r="A338" s="4" t="str">
        <f t="shared" si="5"/>
        <v>337</v>
      </c>
      <c r="B338" s="1" t="s">
        <v>33</v>
      </c>
      <c r="C338" s="1" t="s">
        <v>45</v>
      </c>
      <c r="D338" s="1" t="s">
        <v>687</v>
      </c>
      <c r="E338" s="1">
        <v>101</v>
      </c>
      <c r="G338" s="1">
        <v>101</v>
      </c>
      <c r="M338" s="1" t="s">
        <v>46</v>
      </c>
      <c r="Q338" s="1" t="s">
        <v>288</v>
      </c>
    </row>
    <row r="339" spans="1:17" ht="15">
      <c r="A339" s="4" t="str">
        <f t="shared" si="5"/>
        <v>338</v>
      </c>
      <c r="B339" s="1" t="s">
        <v>33</v>
      </c>
      <c r="C339" s="1" t="s">
        <v>45</v>
      </c>
      <c r="D339" s="1" t="s">
        <v>687</v>
      </c>
      <c r="E339" s="1">
        <v>102</v>
      </c>
      <c r="G339" s="1">
        <v>102</v>
      </c>
      <c r="M339" s="1" t="s">
        <v>46</v>
      </c>
      <c r="Q339" s="1" t="s">
        <v>289</v>
      </c>
    </row>
    <row r="340" spans="1:17" ht="15">
      <c r="A340" s="4" t="str">
        <f t="shared" si="5"/>
        <v>339</v>
      </c>
      <c r="B340" s="1" t="s">
        <v>33</v>
      </c>
      <c r="C340" s="1" t="s">
        <v>45</v>
      </c>
      <c r="D340" s="1" t="s">
        <v>687</v>
      </c>
      <c r="E340" s="1">
        <v>103</v>
      </c>
      <c r="G340" s="1">
        <v>103</v>
      </c>
      <c r="M340" s="1" t="s">
        <v>46</v>
      </c>
      <c r="Q340" s="1" t="s">
        <v>290</v>
      </c>
    </row>
    <row r="341" spans="1:17" ht="15">
      <c r="A341" s="4" t="str">
        <f t="shared" si="5"/>
        <v>340</v>
      </c>
      <c r="B341" s="1" t="s">
        <v>33</v>
      </c>
      <c r="C341" s="1" t="s">
        <v>45</v>
      </c>
      <c r="D341" s="1" t="s">
        <v>687</v>
      </c>
      <c r="E341" s="1">
        <v>104</v>
      </c>
      <c r="G341" s="1">
        <v>104</v>
      </c>
      <c r="M341" s="1" t="s">
        <v>46</v>
      </c>
      <c r="Q341" s="1" t="s">
        <v>291</v>
      </c>
    </row>
    <row r="342" spans="1:17" ht="15">
      <c r="A342" s="4" t="str">
        <f t="shared" si="5"/>
        <v>341</v>
      </c>
      <c r="B342" s="1" t="s">
        <v>33</v>
      </c>
      <c r="C342" s="1" t="s">
        <v>45</v>
      </c>
      <c r="D342" s="1" t="s">
        <v>688</v>
      </c>
      <c r="E342" s="1">
        <v>501</v>
      </c>
      <c r="G342" s="1">
        <v>501</v>
      </c>
      <c r="M342" s="1" t="s">
        <v>46</v>
      </c>
      <c r="Q342" s="1" t="s">
        <v>518</v>
      </c>
    </row>
    <row r="343" spans="1:17" ht="15">
      <c r="A343" s="4" t="str">
        <f t="shared" si="5"/>
        <v>342</v>
      </c>
      <c r="B343" s="1" t="s">
        <v>33</v>
      </c>
      <c r="C343" s="1" t="s">
        <v>45</v>
      </c>
      <c r="D343" s="1" t="s">
        <v>688</v>
      </c>
      <c r="E343" s="1">
        <v>502</v>
      </c>
      <c r="G343" s="1">
        <v>502</v>
      </c>
      <c r="M343" s="1" t="s">
        <v>46</v>
      </c>
      <c r="Q343" s="1" t="s">
        <v>519</v>
      </c>
    </row>
    <row r="344" spans="1:17" ht="15">
      <c r="A344" s="4" t="str">
        <f t="shared" si="5"/>
        <v>343</v>
      </c>
      <c r="B344" s="1" t="s">
        <v>33</v>
      </c>
      <c r="C344" s="1" t="s">
        <v>45</v>
      </c>
      <c r="D344" s="1" t="s">
        <v>688</v>
      </c>
      <c r="E344" s="1">
        <v>503</v>
      </c>
      <c r="G344" s="1">
        <v>503</v>
      </c>
      <c r="M344" s="1" t="s">
        <v>46</v>
      </c>
      <c r="Q344" s="1" t="s">
        <v>520</v>
      </c>
    </row>
    <row r="345" spans="1:17" ht="15">
      <c r="A345" s="4" t="str">
        <f t="shared" si="5"/>
        <v>344</v>
      </c>
      <c r="B345" s="1" t="s">
        <v>33</v>
      </c>
      <c r="C345" s="1" t="s">
        <v>45</v>
      </c>
      <c r="D345" s="1" t="s">
        <v>688</v>
      </c>
      <c r="E345" s="1">
        <v>504</v>
      </c>
      <c r="G345" s="1">
        <v>504</v>
      </c>
      <c r="M345" s="1" t="s">
        <v>46</v>
      </c>
      <c r="Q345" s="1" t="s">
        <v>521</v>
      </c>
    </row>
    <row r="346" spans="1:17" ht="15">
      <c r="A346" s="4" t="str">
        <f t="shared" si="5"/>
        <v>345</v>
      </c>
      <c r="B346" s="1" t="s">
        <v>33</v>
      </c>
      <c r="C346" s="1" t="s">
        <v>45</v>
      </c>
      <c r="D346" s="1" t="s">
        <v>688</v>
      </c>
      <c r="E346" s="1">
        <v>401</v>
      </c>
      <c r="G346" s="1">
        <v>401</v>
      </c>
      <c r="M346" s="1" t="s">
        <v>46</v>
      </c>
      <c r="Q346" s="1" t="s">
        <v>522</v>
      </c>
    </row>
    <row r="347" spans="1:17" ht="15">
      <c r="A347" s="4" t="str">
        <f t="shared" si="5"/>
        <v>346</v>
      </c>
      <c r="B347" s="1" t="s">
        <v>33</v>
      </c>
      <c r="C347" s="1" t="s">
        <v>45</v>
      </c>
      <c r="D347" s="1" t="s">
        <v>688</v>
      </c>
      <c r="E347" s="1">
        <v>402</v>
      </c>
      <c r="G347" s="1">
        <v>402</v>
      </c>
      <c r="M347" s="1" t="s">
        <v>46</v>
      </c>
      <c r="Q347" s="1" t="s">
        <v>523</v>
      </c>
    </row>
    <row r="348" spans="1:17" ht="15">
      <c r="A348" s="4" t="str">
        <f t="shared" si="5"/>
        <v>347</v>
      </c>
      <c r="B348" s="1" t="s">
        <v>33</v>
      </c>
      <c r="C348" s="1" t="s">
        <v>45</v>
      </c>
      <c r="D348" s="1" t="s">
        <v>688</v>
      </c>
      <c r="E348" s="1">
        <v>403</v>
      </c>
      <c r="G348" s="1">
        <v>403</v>
      </c>
      <c r="M348" s="1" t="s">
        <v>46</v>
      </c>
      <c r="Q348" s="1" t="s">
        <v>524</v>
      </c>
    </row>
    <row r="349" spans="1:17" ht="15">
      <c r="A349" s="4" t="str">
        <f t="shared" si="5"/>
        <v>348</v>
      </c>
      <c r="B349" s="1" t="s">
        <v>33</v>
      </c>
      <c r="C349" s="1" t="s">
        <v>45</v>
      </c>
      <c r="D349" s="1" t="s">
        <v>688</v>
      </c>
      <c r="E349" s="1">
        <v>404</v>
      </c>
      <c r="G349" s="1">
        <v>404</v>
      </c>
      <c r="M349" s="1" t="s">
        <v>46</v>
      </c>
      <c r="Q349" s="1" t="s">
        <v>525</v>
      </c>
    </row>
    <row r="350" spans="1:17" ht="15">
      <c r="A350" s="4" t="str">
        <f t="shared" si="5"/>
        <v>349</v>
      </c>
      <c r="B350" s="1" t="s">
        <v>33</v>
      </c>
      <c r="C350" s="1" t="s">
        <v>45</v>
      </c>
      <c r="D350" s="1" t="s">
        <v>688</v>
      </c>
      <c r="E350" s="1">
        <v>301</v>
      </c>
      <c r="G350" s="1">
        <v>301</v>
      </c>
      <c r="M350" s="1" t="s">
        <v>46</v>
      </c>
      <c r="Q350" s="1" t="s">
        <v>526</v>
      </c>
    </row>
    <row r="351" spans="1:17" ht="15">
      <c r="A351" s="4" t="str">
        <f t="shared" si="5"/>
        <v>350</v>
      </c>
      <c r="B351" s="1" t="s">
        <v>33</v>
      </c>
      <c r="C351" s="1" t="s">
        <v>45</v>
      </c>
      <c r="D351" s="1" t="s">
        <v>688</v>
      </c>
      <c r="E351" s="1">
        <v>302</v>
      </c>
      <c r="G351" s="1">
        <v>302</v>
      </c>
      <c r="M351" s="1" t="s">
        <v>46</v>
      </c>
      <c r="Q351" s="1" t="s">
        <v>527</v>
      </c>
    </row>
    <row r="352" spans="1:17" ht="15">
      <c r="A352" s="4" t="str">
        <f t="shared" si="5"/>
        <v>351</v>
      </c>
      <c r="B352" s="1" t="s">
        <v>33</v>
      </c>
      <c r="C352" s="1" t="s">
        <v>45</v>
      </c>
      <c r="D352" s="1" t="s">
        <v>688</v>
      </c>
      <c r="E352" s="1">
        <v>303</v>
      </c>
      <c r="G352" s="1">
        <v>303</v>
      </c>
      <c r="M352" s="1" t="s">
        <v>46</v>
      </c>
      <c r="Q352" s="1" t="s">
        <v>528</v>
      </c>
    </row>
    <row r="353" spans="1:17" ht="15">
      <c r="A353" s="4" t="str">
        <f t="shared" si="5"/>
        <v>352</v>
      </c>
      <c r="B353" s="1" t="s">
        <v>33</v>
      </c>
      <c r="C353" s="1" t="s">
        <v>45</v>
      </c>
      <c r="D353" s="1" t="s">
        <v>688</v>
      </c>
      <c r="E353" s="1">
        <v>304</v>
      </c>
      <c r="G353" s="1">
        <v>304</v>
      </c>
      <c r="M353" s="1" t="s">
        <v>46</v>
      </c>
      <c r="Q353" s="1" t="s">
        <v>529</v>
      </c>
    </row>
    <row r="354" spans="1:17" ht="15">
      <c r="A354" s="4" t="str">
        <f t="shared" si="5"/>
        <v>353</v>
      </c>
      <c r="B354" s="1" t="s">
        <v>33</v>
      </c>
      <c r="C354" s="1" t="s">
        <v>45</v>
      </c>
      <c r="D354" s="1" t="s">
        <v>688</v>
      </c>
      <c r="E354" s="1">
        <v>201</v>
      </c>
      <c r="G354" s="1">
        <v>201</v>
      </c>
      <c r="M354" s="1" t="s">
        <v>46</v>
      </c>
      <c r="Q354" s="1" t="s">
        <v>530</v>
      </c>
    </row>
    <row r="355" spans="1:17" ht="15">
      <c r="A355" s="4" t="str">
        <f t="shared" si="5"/>
        <v>354</v>
      </c>
      <c r="B355" s="1" t="s">
        <v>33</v>
      </c>
      <c r="C355" s="1" t="s">
        <v>45</v>
      </c>
      <c r="D355" s="1" t="s">
        <v>688</v>
      </c>
      <c r="E355" s="1">
        <v>202</v>
      </c>
      <c r="G355" s="1">
        <v>202</v>
      </c>
      <c r="M355" s="1" t="s">
        <v>46</v>
      </c>
      <c r="Q355" s="1" t="s">
        <v>531</v>
      </c>
    </row>
    <row r="356" spans="1:17" ht="15">
      <c r="A356" s="4" t="str">
        <f t="shared" si="5"/>
        <v>355</v>
      </c>
      <c r="B356" s="1" t="s">
        <v>33</v>
      </c>
      <c r="C356" s="1" t="s">
        <v>45</v>
      </c>
      <c r="D356" s="1" t="s">
        <v>688</v>
      </c>
      <c r="E356" s="1">
        <v>203</v>
      </c>
      <c r="G356" s="1">
        <v>203</v>
      </c>
      <c r="M356" s="1" t="s">
        <v>46</v>
      </c>
      <c r="Q356" s="1" t="s">
        <v>532</v>
      </c>
    </row>
    <row r="357" spans="1:17" ht="15">
      <c r="A357" s="4" t="str">
        <f t="shared" si="5"/>
        <v>356</v>
      </c>
      <c r="B357" s="1" t="s">
        <v>33</v>
      </c>
      <c r="C357" s="1" t="s">
        <v>45</v>
      </c>
      <c r="D357" s="1" t="s">
        <v>688</v>
      </c>
      <c r="E357" s="1">
        <v>204</v>
      </c>
      <c r="G357" s="1">
        <v>204</v>
      </c>
      <c r="M357" s="1" t="s">
        <v>46</v>
      </c>
      <c r="Q357" s="1" t="s">
        <v>533</v>
      </c>
    </row>
    <row r="358" spans="1:17" ht="15">
      <c r="A358" s="4" t="str">
        <f t="shared" si="5"/>
        <v>357</v>
      </c>
      <c r="B358" s="1" t="s">
        <v>33</v>
      </c>
      <c r="C358" s="1" t="s">
        <v>45</v>
      </c>
      <c r="D358" s="1" t="s">
        <v>688</v>
      </c>
      <c r="E358" s="1">
        <v>101</v>
      </c>
      <c r="G358" s="1">
        <v>101</v>
      </c>
      <c r="M358" s="1" t="s">
        <v>46</v>
      </c>
      <c r="Q358" s="1" t="s">
        <v>534</v>
      </c>
    </row>
    <row r="359" spans="1:17" ht="15">
      <c r="A359" s="4" t="str">
        <f t="shared" si="5"/>
        <v>358</v>
      </c>
      <c r="B359" s="1" t="s">
        <v>33</v>
      </c>
      <c r="C359" s="1" t="s">
        <v>45</v>
      </c>
      <c r="D359" s="1" t="s">
        <v>688</v>
      </c>
      <c r="E359" s="1">
        <v>102</v>
      </c>
      <c r="G359" s="1">
        <v>102</v>
      </c>
      <c r="M359" s="1" t="s">
        <v>46</v>
      </c>
      <c r="Q359" s="1" t="s">
        <v>535</v>
      </c>
    </row>
    <row r="360" spans="1:17" ht="15">
      <c r="A360" s="4" t="str">
        <f t="shared" si="5"/>
        <v>359</v>
      </c>
      <c r="B360" s="1" t="s">
        <v>33</v>
      </c>
      <c r="C360" s="1" t="s">
        <v>45</v>
      </c>
      <c r="D360" s="1" t="s">
        <v>688</v>
      </c>
      <c r="E360" s="1">
        <v>103</v>
      </c>
      <c r="G360" s="1">
        <v>103</v>
      </c>
      <c r="M360" s="1" t="s">
        <v>46</v>
      </c>
      <c r="Q360" s="1" t="s">
        <v>536</v>
      </c>
    </row>
    <row r="361" spans="1:17" ht="15">
      <c r="A361" s="4" t="str">
        <f t="shared" si="5"/>
        <v>360</v>
      </c>
      <c r="B361" s="1" t="s">
        <v>33</v>
      </c>
      <c r="C361" s="1" t="s">
        <v>45</v>
      </c>
      <c r="D361" s="1" t="s">
        <v>688</v>
      </c>
      <c r="E361" s="1">
        <v>104</v>
      </c>
      <c r="G361" s="1">
        <v>104</v>
      </c>
      <c r="M361" s="1" t="s">
        <v>46</v>
      </c>
      <c r="Q361" s="1" t="s">
        <v>537</v>
      </c>
    </row>
    <row r="362" spans="1:17" ht="15">
      <c r="A362" s="4" t="str">
        <f t="shared" si="5"/>
        <v>361</v>
      </c>
      <c r="B362" s="1" t="s">
        <v>33</v>
      </c>
      <c r="C362" s="1" t="s">
        <v>44</v>
      </c>
      <c r="D362" s="1" t="s">
        <v>686</v>
      </c>
      <c r="E362" s="1">
        <v>101</v>
      </c>
      <c r="G362" s="1">
        <v>101</v>
      </c>
      <c r="M362" s="1" t="s">
        <v>46</v>
      </c>
      <c r="Q362" s="1" t="s">
        <v>315</v>
      </c>
    </row>
    <row r="363" spans="1:17" ht="15">
      <c r="A363" s="4" t="str">
        <f t="shared" si="5"/>
        <v>362</v>
      </c>
      <c r="B363" s="1" t="s">
        <v>33</v>
      </c>
      <c r="C363" s="1" t="s">
        <v>44</v>
      </c>
      <c r="D363" s="1" t="s">
        <v>686</v>
      </c>
      <c r="E363" s="1">
        <v>102</v>
      </c>
      <c r="G363" s="1">
        <v>102</v>
      </c>
      <c r="M363" s="1" t="s">
        <v>46</v>
      </c>
      <c r="Q363" s="1" t="s">
        <v>316</v>
      </c>
    </row>
    <row r="364" spans="1:17" ht="15">
      <c r="A364" s="4" t="str">
        <f t="shared" si="5"/>
        <v>363</v>
      </c>
      <c r="B364" s="1" t="s">
        <v>33</v>
      </c>
      <c r="C364" s="1" t="s">
        <v>44</v>
      </c>
      <c r="D364" s="1" t="s">
        <v>686</v>
      </c>
      <c r="E364" s="1">
        <v>103</v>
      </c>
      <c r="G364" s="1">
        <v>103</v>
      </c>
      <c r="M364" s="1" t="s">
        <v>46</v>
      </c>
      <c r="Q364" s="1" t="s">
        <v>317</v>
      </c>
    </row>
    <row r="365" spans="1:17" ht="15">
      <c r="A365" s="4" t="str">
        <f t="shared" si="5"/>
        <v>364</v>
      </c>
      <c r="B365" s="1" t="s">
        <v>33</v>
      </c>
      <c r="C365" s="1" t="s">
        <v>44</v>
      </c>
      <c r="D365" s="1" t="s">
        <v>686</v>
      </c>
      <c r="E365" s="1">
        <v>104</v>
      </c>
      <c r="G365" s="1">
        <v>104</v>
      </c>
      <c r="M365" s="1" t="s">
        <v>46</v>
      </c>
      <c r="Q365" s="1" t="s">
        <v>318</v>
      </c>
    </row>
    <row r="366" spans="1:17" ht="15">
      <c r="A366" s="4" t="str">
        <f t="shared" si="5"/>
        <v>365</v>
      </c>
      <c r="B366" s="1" t="s">
        <v>33</v>
      </c>
      <c r="C366" s="1" t="s">
        <v>44</v>
      </c>
      <c r="D366" s="1" t="s">
        <v>686</v>
      </c>
      <c r="E366" s="1">
        <v>201</v>
      </c>
      <c r="G366" s="1">
        <v>201</v>
      </c>
      <c r="M366" s="1" t="s">
        <v>46</v>
      </c>
      <c r="Q366" s="1" t="s">
        <v>311</v>
      </c>
    </row>
    <row r="367" spans="1:17" ht="15">
      <c r="A367" s="4" t="str">
        <f t="shared" si="5"/>
        <v>366</v>
      </c>
      <c r="B367" s="1" t="s">
        <v>33</v>
      </c>
      <c r="C367" s="1" t="s">
        <v>44</v>
      </c>
      <c r="D367" s="1" t="s">
        <v>686</v>
      </c>
      <c r="E367" s="1">
        <v>202</v>
      </c>
      <c r="G367" s="1">
        <v>202</v>
      </c>
      <c r="M367" s="1" t="s">
        <v>46</v>
      </c>
      <c r="Q367" s="1" t="s">
        <v>312</v>
      </c>
    </row>
    <row r="368" spans="1:17" ht="15">
      <c r="A368" s="4" t="str">
        <f t="shared" si="5"/>
        <v>367</v>
      </c>
      <c r="B368" s="1" t="s">
        <v>33</v>
      </c>
      <c r="C368" s="1" t="s">
        <v>44</v>
      </c>
      <c r="D368" s="1" t="s">
        <v>686</v>
      </c>
      <c r="E368" s="1">
        <v>203</v>
      </c>
      <c r="G368" s="1">
        <v>203</v>
      </c>
      <c r="M368" s="1" t="s">
        <v>46</v>
      </c>
      <c r="Q368" s="1" t="s">
        <v>313</v>
      </c>
    </row>
    <row r="369" spans="1:17" ht="15">
      <c r="A369" s="4" t="str">
        <f t="shared" si="5"/>
        <v>368</v>
      </c>
      <c r="B369" s="1" t="s">
        <v>33</v>
      </c>
      <c r="C369" s="1" t="s">
        <v>44</v>
      </c>
      <c r="D369" s="1" t="s">
        <v>686</v>
      </c>
      <c r="E369" s="1">
        <v>204</v>
      </c>
      <c r="G369" s="1">
        <v>204</v>
      </c>
      <c r="M369" s="1" t="s">
        <v>46</v>
      </c>
      <c r="Q369" s="1" t="s">
        <v>314</v>
      </c>
    </row>
    <row r="370" spans="1:17" ht="15">
      <c r="A370" s="4" t="str">
        <f t="shared" si="5"/>
        <v>369</v>
      </c>
      <c r="B370" s="1" t="s">
        <v>33</v>
      </c>
      <c r="C370" s="1" t="s">
        <v>44</v>
      </c>
      <c r="D370" s="1" t="s">
        <v>686</v>
      </c>
      <c r="E370" s="1">
        <v>301</v>
      </c>
      <c r="G370" s="1">
        <v>301</v>
      </c>
      <c r="M370" s="1" t="s">
        <v>46</v>
      </c>
      <c r="Q370" s="1" t="s">
        <v>538</v>
      </c>
    </row>
    <row r="371" spans="1:17" ht="15">
      <c r="A371" s="4" t="str">
        <f t="shared" si="5"/>
        <v>370</v>
      </c>
      <c r="B371" s="1" t="s">
        <v>33</v>
      </c>
      <c r="C371" s="1" t="s">
        <v>44</v>
      </c>
      <c r="D371" s="1" t="s">
        <v>686</v>
      </c>
      <c r="E371" s="1">
        <v>302</v>
      </c>
      <c r="G371" s="1">
        <v>302</v>
      </c>
      <c r="M371" s="1" t="s">
        <v>46</v>
      </c>
      <c r="Q371" s="1" t="s">
        <v>539</v>
      </c>
    </row>
    <row r="372" spans="1:17" ht="15">
      <c r="A372" s="4" t="str">
        <f t="shared" si="5"/>
        <v>371</v>
      </c>
      <c r="B372" s="1" t="s">
        <v>33</v>
      </c>
      <c r="C372" s="1" t="s">
        <v>44</v>
      </c>
      <c r="D372" s="1" t="s">
        <v>686</v>
      </c>
      <c r="E372" s="1">
        <v>303</v>
      </c>
      <c r="G372" s="1">
        <v>303</v>
      </c>
      <c r="M372" s="1" t="s">
        <v>46</v>
      </c>
      <c r="Q372" s="1" t="s">
        <v>540</v>
      </c>
    </row>
    <row r="373" spans="1:17" ht="15">
      <c r="A373" s="4" t="str">
        <f t="shared" si="5"/>
        <v>372</v>
      </c>
      <c r="B373" s="1" t="s">
        <v>33</v>
      </c>
      <c r="C373" s="1" t="s">
        <v>44</v>
      </c>
      <c r="D373" s="1" t="s">
        <v>686</v>
      </c>
      <c r="E373" s="1">
        <v>304</v>
      </c>
      <c r="G373" s="1">
        <v>304</v>
      </c>
      <c r="M373" s="1" t="s">
        <v>46</v>
      </c>
      <c r="Q373" s="1" t="s">
        <v>541</v>
      </c>
    </row>
    <row r="374" spans="1:17" ht="15">
      <c r="A374" s="4" t="str">
        <f t="shared" si="5"/>
        <v>373</v>
      </c>
      <c r="B374" s="1" t="s">
        <v>33</v>
      </c>
      <c r="C374" s="1" t="s">
        <v>44</v>
      </c>
      <c r="D374" s="1" t="s">
        <v>686</v>
      </c>
      <c r="E374" s="1">
        <v>401</v>
      </c>
      <c r="G374" s="1">
        <v>401</v>
      </c>
      <c r="M374" s="1" t="s">
        <v>46</v>
      </c>
      <c r="Q374" s="1" t="s">
        <v>542</v>
      </c>
    </row>
    <row r="375" spans="1:17" ht="15">
      <c r="A375" s="4" t="str">
        <f t="shared" si="5"/>
        <v>374</v>
      </c>
      <c r="B375" s="1" t="s">
        <v>33</v>
      </c>
      <c r="C375" s="1" t="s">
        <v>44</v>
      </c>
      <c r="D375" s="1" t="s">
        <v>686</v>
      </c>
      <c r="E375" s="1">
        <v>402</v>
      </c>
      <c r="G375" s="1">
        <v>402</v>
      </c>
      <c r="M375" s="1" t="s">
        <v>46</v>
      </c>
      <c r="Q375" s="1" t="s">
        <v>543</v>
      </c>
    </row>
    <row r="376" spans="1:17" ht="15">
      <c r="A376" s="4" t="str">
        <f t="shared" si="5"/>
        <v>375</v>
      </c>
      <c r="B376" s="1" t="s">
        <v>33</v>
      </c>
      <c r="C376" s="1" t="s">
        <v>44</v>
      </c>
      <c r="D376" s="1" t="s">
        <v>686</v>
      </c>
      <c r="E376" s="1">
        <v>403</v>
      </c>
      <c r="G376" s="1">
        <v>403</v>
      </c>
      <c r="M376" s="1" t="s">
        <v>46</v>
      </c>
      <c r="Q376" s="1" t="s">
        <v>544</v>
      </c>
    </row>
    <row r="377" spans="1:17" ht="15">
      <c r="A377" s="4" t="str">
        <f t="shared" si="5"/>
        <v>376</v>
      </c>
      <c r="B377" s="1" t="s">
        <v>33</v>
      </c>
      <c r="C377" s="1" t="s">
        <v>44</v>
      </c>
      <c r="D377" s="1" t="s">
        <v>686</v>
      </c>
      <c r="E377" s="1">
        <v>404</v>
      </c>
      <c r="G377" s="1">
        <v>404</v>
      </c>
      <c r="M377" s="1" t="s">
        <v>46</v>
      </c>
      <c r="Q377" s="1" t="s">
        <v>545</v>
      </c>
    </row>
    <row r="378" spans="1:17" ht="15">
      <c r="A378" s="4" t="str">
        <f t="shared" si="5"/>
        <v>377</v>
      </c>
      <c r="B378" s="1" t="s">
        <v>33</v>
      </c>
      <c r="C378" s="1" t="s">
        <v>44</v>
      </c>
      <c r="D378" s="1" t="s">
        <v>686</v>
      </c>
      <c r="E378" s="1">
        <v>501</v>
      </c>
      <c r="G378" s="1">
        <v>501</v>
      </c>
      <c r="M378" s="1" t="s">
        <v>46</v>
      </c>
      <c r="Q378" s="1" t="s">
        <v>546</v>
      </c>
    </row>
    <row r="379" spans="1:17" ht="15">
      <c r="A379" s="4" t="str">
        <f t="shared" si="5"/>
        <v>378</v>
      </c>
      <c r="B379" s="1" t="s">
        <v>33</v>
      </c>
      <c r="C379" s="1" t="s">
        <v>44</v>
      </c>
      <c r="D379" s="1" t="s">
        <v>686</v>
      </c>
      <c r="E379" s="1">
        <v>502</v>
      </c>
      <c r="G379" s="1">
        <v>502</v>
      </c>
      <c r="M379" s="1" t="s">
        <v>46</v>
      </c>
      <c r="Q379" s="1" t="s">
        <v>547</v>
      </c>
    </row>
    <row r="380" spans="1:17" ht="15">
      <c r="A380" s="4" t="str">
        <f t="shared" si="5"/>
        <v>379</v>
      </c>
      <c r="B380" s="1" t="s">
        <v>33</v>
      </c>
      <c r="C380" s="1" t="s">
        <v>44</v>
      </c>
      <c r="D380" s="1" t="s">
        <v>686</v>
      </c>
      <c r="E380" s="1">
        <v>503</v>
      </c>
      <c r="G380" s="1">
        <v>503</v>
      </c>
      <c r="M380" s="1" t="s">
        <v>46</v>
      </c>
      <c r="Q380" s="1" t="s">
        <v>548</v>
      </c>
    </row>
    <row r="381" spans="1:17" ht="15">
      <c r="A381" s="4" t="str">
        <f t="shared" si="5"/>
        <v>380</v>
      </c>
      <c r="B381" s="1" t="s">
        <v>33</v>
      </c>
      <c r="C381" s="1" t="s">
        <v>44</v>
      </c>
      <c r="D381" s="1" t="s">
        <v>686</v>
      </c>
      <c r="E381" s="1">
        <v>504</v>
      </c>
      <c r="G381" s="1">
        <v>504</v>
      </c>
      <c r="M381" s="1" t="s">
        <v>46</v>
      </c>
      <c r="Q381" s="1" t="s">
        <v>549</v>
      </c>
    </row>
    <row r="382" spans="1:17" ht="15">
      <c r="A382" s="4" t="str">
        <f t="shared" si="5"/>
        <v>381</v>
      </c>
      <c r="B382" s="1" t="s">
        <v>33</v>
      </c>
      <c r="C382" s="1" t="s">
        <v>44</v>
      </c>
      <c r="D382" s="1" t="s">
        <v>687</v>
      </c>
      <c r="E382" s="1">
        <v>501</v>
      </c>
      <c r="G382" s="1">
        <v>501</v>
      </c>
      <c r="M382" s="1" t="s">
        <v>46</v>
      </c>
      <c r="Q382" s="1" t="s">
        <v>550</v>
      </c>
    </row>
    <row r="383" spans="1:17" ht="15">
      <c r="A383" s="4" t="str">
        <f t="shared" si="5"/>
        <v>382</v>
      </c>
      <c r="B383" s="1" t="s">
        <v>33</v>
      </c>
      <c r="C383" s="1" t="s">
        <v>44</v>
      </c>
      <c r="D383" s="1" t="s">
        <v>687</v>
      </c>
      <c r="E383" s="1">
        <v>502</v>
      </c>
      <c r="G383" s="1">
        <v>502</v>
      </c>
      <c r="M383" s="1" t="s">
        <v>46</v>
      </c>
      <c r="Q383" s="1" t="s">
        <v>551</v>
      </c>
    </row>
    <row r="384" spans="1:17" ht="15">
      <c r="A384" s="4" t="str">
        <f t="shared" si="5"/>
        <v>383</v>
      </c>
      <c r="B384" s="1" t="s">
        <v>33</v>
      </c>
      <c r="C384" s="1" t="s">
        <v>44</v>
      </c>
      <c r="D384" s="1" t="s">
        <v>687</v>
      </c>
      <c r="E384" s="1">
        <v>503</v>
      </c>
      <c r="G384" s="1">
        <v>503</v>
      </c>
      <c r="M384" s="1" t="s">
        <v>46</v>
      </c>
      <c r="Q384" s="1" t="s">
        <v>552</v>
      </c>
    </row>
    <row r="385" spans="1:17" ht="15">
      <c r="A385" s="4" t="str">
        <f t="shared" si="5"/>
        <v>384</v>
      </c>
      <c r="B385" s="1" t="s">
        <v>33</v>
      </c>
      <c r="C385" s="1" t="s">
        <v>44</v>
      </c>
      <c r="D385" s="1" t="s">
        <v>687</v>
      </c>
      <c r="E385" s="1">
        <v>504</v>
      </c>
      <c r="G385" s="1">
        <v>504</v>
      </c>
      <c r="M385" s="1" t="s">
        <v>46</v>
      </c>
      <c r="Q385" s="1" t="s">
        <v>553</v>
      </c>
    </row>
    <row r="386" spans="1:17" ht="15">
      <c r="A386" s="4" t="str">
        <f t="shared" si="5"/>
        <v>385</v>
      </c>
      <c r="B386" s="1" t="s">
        <v>33</v>
      </c>
      <c r="C386" s="1" t="s">
        <v>44</v>
      </c>
      <c r="D386" s="1" t="s">
        <v>687</v>
      </c>
      <c r="E386" s="1">
        <v>101</v>
      </c>
      <c r="G386" s="1">
        <v>101</v>
      </c>
      <c r="M386" s="1" t="s">
        <v>46</v>
      </c>
      <c r="Q386" s="1" t="s">
        <v>554</v>
      </c>
    </row>
    <row r="387" spans="1:17" ht="15">
      <c r="A387" s="4" t="str">
        <f t="shared" ref="A387:A450" si="6">TEXT(ROW(A386),"000")</f>
        <v>386</v>
      </c>
      <c r="B387" s="1" t="s">
        <v>33</v>
      </c>
      <c r="C387" s="1" t="s">
        <v>44</v>
      </c>
      <c r="D387" s="1" t="s">
        <v>687</v>
      </c>
      <c r="E387" s="1">
        <v>102</v>
      </c>
      <c r="G387" s="1">
        <v>102</v>
      </c>
      <c r="M387" s="1" t="s">
        <v>46</v>
      </c>
      <c r="Q387" s="1" t="s">
        <v>555</v>
      </c>
    </row>
    <row r="388" spans="1:17" ht="15">
      <c r="A388" s="4" t="str">
        <f t="shared" si="6"/>
        <v>387</v>
      </c>
      <c r="B388" s="1" t="s">
        <v>33</v>
      </c>
      <c r="C388" s="1" t="s">
        <v>44</v>
      </c>
      <c r="D388" s="1" t="s">
        <v>687</v>
      </c>
      <c r="E388" s="1">
        <v>103</v>
      </c>
      <c r="G388" s="1">
        <v>103</v>
      </c>
      <c r="M388" s="1" t="s">
        <v>46</v>
      </c>
      <c r="Q388" s="1" t="s">
        <v>556</v>
      </c>
    </row>
    <row r="389" spans="1:17" ht="15">
      <c r="A389" s="4" t="str">
        <f t="shared" si="6"/>
        <v>388</v>
      </c>
      <c r="B389" s="1" t="s">
        <v>33</v>
      </c>
      <c r="C389" s="1" t="s">
        <v>44</v>
      </c>
      <c r="D389" s="1" t="s">
        <v>687</v>
      </c>
      <c r="E389" s="1">
        <v>104</v>
      </c>
      <c r="G389" s="1">
        <v>104</v>
      </c>
      <c r="M389" s="1" t="s">
        <v>46</v>
      </c>
      <c r="Q389" s="1" t="s">
        <v>557</v>
      </c>
    </row>
    <row r="390" spans="1:17" ht="15">
      <c r="A390" s="4" t="str">
        <f t="shared" si="6"/>
        <v>389</v>
      </c>
      <c r="B390" s="1" t="s">
        <v>33</v>
      </c>
      <c r="C390" s="1" t="s">
        <v>44</v>
      </c>
      <c r="D390" s="1" t="s">
        <v>687</v>
      </c>
      <c r="E390" s="1">
        <v>201</v>
      </c>
      <c r="G390" s="1">
        <v>201</v>
      </c>
      <c r="M390" s="1" t="s">
        <v>46</v>
      </c>
      <c r="Q390" s="1" t="s">
        <v>558</v>
      </c>
    </row>
    <row r="391" spans="1:17" ht="15">
      <c r="A391" s="4" t="str">
        <f t="shared" si="6"/>
        <v>390</v>
      </c>
      <c r="B391" s="1" t="s">
        <v>33</v>
      </c>
      <c r="C391" s="1" t="s">
        <v>44</v>
      </c>
      <c r="D391" s="1" t="s">
        <v>687</v>
      </c>
      <c r="E391" s="1">
        <v>202</v>
      </c>
      <c r="G391" s="1">
        <v>202</v>
      </c>
      <c r="M391" s="1" t="s">
        <v>46</v>
      </c>
      <c r="Q391" s="1" t="s">
        <v>559</v>
      </c>
    </row>
    <row r="392" spans="1:17" ht="15">
      <c r="A392" s="4" t="str">
        <f t="shared" si="6"/>
        <v>391</v>
      </c>
      <c r="B392" s="1" t="s">
        <v>33</v>
      </c>
      <c r="C392" s="1" t="s">
        <v>44</v>
      </c>
      <c r="D392" s="1" t="s">
        <v>687</v>
      </c>
      <c r="E392" s="1">
        <v>203</v>
      </c>
      <c r="G392" s="1">
        <v>203</v>
      </c>
      <c r="M392" s="1" t="s">
        <v>46</v>
      </c>
      <c r="Q392" s="1" t="s">
        <v>560</v>
      </c>
    </row>
    <row r="393" spans="1:17" ht="15">
      <c r="A393" s="4" t="str">
        <f t="shared" si="6"/>
        <v>392</v>
      </c>
      <c r="B393" s="1" t="s">
        <v>33</v>
      </c>
      <c r="C393" s="1" t="s">
        <v>44</v>
      </c>
      <c r="D393" s="1" t="s">
        <v>687</v>
      </c>
      <c r="E393" s="1">
        <v>204</v>
      </c>
      <c r="G393" s="1">
        <v>204</v>
      </c>
      <c r="M393" s="1" t="s">
        <v>46</v>
      </c>
      <c r="Q393" s="1" t="s">
        <v>561</v>
      </c>
    </row>
    <row r="394" spans="1:17" ht="15">
      <c r="A394" s="4" t="str">
        <f t="shared" si="6"/>
        <v>393</v>
      </c>
      <c r="B394" s="1" t="s">
        <v>33</v>
      </c>
      <c r="C394" s="1" t="s">
        <v>44</v>
      </c>
      <c r="D394" s="1" t="s">
        <v>687</v>
      </c>
      <c r="E394" s="1">
        <v>301</v>
      </c>
      <c r="G394" s="1">
        <v>301</v>
      </c>
      <c r="M394" s="1" t="s">
        <v>46</v>
      </c>
      <c r="Q394" s="1" t="s">
        <v>562</v>
      </c>
    </row>
    <row r="395" spans="1:17" ht="15">
      <c r="A395" s="4" t="str">
        <f t="shared" si="6"/>
        <v>394</v>
      </c>
      <c r="B395" s="1" t="s">
        <v>33</v>
      </c>
      <c r="C395" s="1" t="s">
        <v>44</v>
      </c>
      <c r="D395" s="1" t="s">
        <v>687</v>
      </c>
      <c r="E395" s="1">
        <v>302</v>
      </c>
      <c r="G395" s="1">
        <v>302</v>
      </c>
      <c r="M395" s="1" t="s">
        <v>46</v>
      </c>
      <c r="Q395" s="1" t="s">
        <v>563</v>
      </c>
    </row>
    <row r="396" spans="1:17" ht="15">
      <c r="A396" s="4" t="str">
        <f t="shared" si="6"/>
        <v>395</v>
      </c>
      <c r="B396" s="1" t="s">
        <v>33</v>
      </c>
      <c r="C396" s="1" t="s">
        <v>44</v>
      </c>
      <c r="D396" s="1" t="s">
        <v>687</v>
      </c>
      <c r="E396" s="1">
        <v>303</v>
      </c>
      <c r="G396" s="1">
        <v>303</v>
      </c>
      <c r="M396" s="1" t="s">
        <v>46</v>
      </c>
      <c r="Q396" s="1" t="s">
        <v>564</v>
      </c>
    </row>
    <row r="397" spans="1:17" ht="15">
      <c r="A397" s="4" t="str">
        <f t="shared" si="6"/>
        <v>396</v>
      </c>
      <c r="B397" s="1" t="s">
        <v>33</v>
      </c>
      <c r="C397" s="1" t="s">
        <v>44</v>
      </c>
      <c r="D397" s="1" t="s">
        <v>687</v>
      </c>
      <c r="E397" s="1">
        <v>304</v>
      </c>
      <c r="G397" s="1">
        <v>304</v>
      </c>
      <c r="M397" s="1" t="s">
        <v>46</v>
      </c>
      <c r="Q397" s="1" t="s">
        <v>565</v>
      </c>
    </row>
    <row r="398" spans="1:17" ht="15">
      <c r="A398" s="4" t="str">
        <f t="shared" si="6"/>
        <v>397</v>
      </c>
      <c r="B398" s="1" t="s">
        <v>33</v>
      </c>
      <c r="C398" s="1" t="s">
        <v>44</v>
      </c>
      <c r="D398" s="1" t="s">
        <v>687</v>
      </c>
      <c r="E398" s="1">
        <v>401</v>
      </c>
      <c r="G398" s="1">
        <v>401</v>
      </c>
      <c r="M398" s="1" t="s">
        <v>46</v>
      </c>
      <c r="Q398" s="1" t="s">
        <v>566</v>
      </c>
    </row>
    <row r="399" spans="1:17" ht="15">
      <c r="A399" s="4" t="str">
        <f t="shared" si="6"/>
        <v>398</v>
      </c>
      <c r="B399" s="1" t="s">
        <v>33</v>
      </c>
      <c r="C399" s="1" t="s">
        <v>44</v>
      </c>
      <c r="D399" s="1" t="s">
        <v>687</v>
      </c>
      <c r="E399" s="1">
        <v>402</v>
      </c>
      <c r="G399" s="1">
        <v>402</v>
      </c>
      <c r="M399" s="1" t="s">
        <v>46</v>
      </c>
      <c r="Q399" s="1" t="s">
        <v>567</v>
      </c>
    </row>
    <row r="400" spans="1:17" ht="15">
      <c r="A400" s="4" t="str">
        <f t="shared" si="6"/>
        <v>399</v>
      </c>
      <c r="B400" s="1" t="s">
        <v>33</v>
      </c>
      <c r="C400" s="1" t="s">
        <v>44</v>
      </c>
      <c r="D400" s="1" t="s">
        <v>687</v>
      </c>
      <c r="E400" s="1">
        <v>403</v>
      </c>
      <c r="G400" s="1">
        <v>403</v>
      </c>
      <c r="M400" s="1" t="s">
        <v>46</v>
      </c>
      <c r="Q400" s="1" t="s">
        <v>568</v>
      </c>
    </row>
    <row r="401" spans="1:17" ht="15">
      <c r="A401" s="4" t="str">
        <f t="shared" si="6"/>
        <v>400</v>
      </c>
      <c r="B401" s="1" t="s">
        <v>33</v>
      </c>
      <c r="C401" s="1" t="s">
        <v>44</v>
      </c>
      <c r="D401" s="1" t="s">
        <v>687</v>
      </c>
      <c r="E401" s="1">
        <v>404</v>
      </c>
      <c r="G401" s="1">
        <v>404</v>
      </c>
      <c r="M401" s="1" t="s">
        <v>46</v>
      </c>
      <c r="Q401" s="1" t="s">
        <v>569</v>
      </c>
    </row>
    <row r="402" spans="1:17" ht="15">
      <c r="A402" s="4" t="str">
        <f t="shared" si="6"/>
        <v>401</v>
      </c>
      <c r="B402" s="1" t="s">
        <v>33</v>
      </c>
      <c r="C402" s="1" t="s">
        <v>681</v>
      </c>
      <c r="D402" s="1" t="s">
        <v>686</v>
      </c>
      <c r="E402" s="1">
        <v>601</v>
      </c>
      <c r="G402" s="1">
        <v>601</v>
      </c>
      <c r="M402" s="1" t="s">
        <v>46</v>
      </c>
      <c r="Q402" s="1" t="s">
        <v>570</v>
      </c>
    </row>
    <row r="403" spans="1:17" ht="15">
      <c r="A403" s="4" t="str">
        <f t="shared" si="6"/>
        <v>402</v>
      </c>
      <c r="B403" s="1" t="s">
        <v>33</v>
      </c>
      <c r="C403" s="1" t="s">
        <v>681</v>
      </c>
      <c r="D403" s="1" t="s">
        <v>686</v>
      </c>
      <c r="E403" s="1">
        <v>602</v>
      </c>
      <c r="G403" s="1">
        <v>602</v>
      </c>
      <c r="M403" s="1" t="s">
        <v>46</v>
      </c>
      <c r="Q403" s="1" t="s">
        <v>571</v>
      </c>
    </row>
    <row r="404" spans="1:17" ht="15">
      <c r="A404" s="4" t="str">
        <f t="shared" si="6"/>
        <v>403</v>
      </c>
      <c r="B404" s="1" t="s">
        <v>33</v>
      </c>
      <c r="C404" s="1" t="s">
        <v>681</v>
      </c>
      <c r="D404" s="1" t="s">
        <v>686</v>
      </c>
      <c r="E404" s="1">
        <v>603</v>
      </c>
      <c r="G404" s="1">
        <v>603</v>
      </c>
      <c r="M404" s="1" t="s">
        <v>46</v>
      </c>
      <c r="Q404" s="1" t="s">
        <v>572</v>
      </c>
    </row>
    <row r="405" spans="1:17" ht="15">
      <c r="A405" s="4" t="str">
        <f t="shared" si="6"/>
        <v>404</v>
      </c>
      <c r="B405" s="1" t="s">
        <v>33</v>
      </c>
      <c r="C405" s="1" t="s">
        <v>681</v>
      </c>
      <c r="D405" s="1" t="s">
        <v>686</v>
      </c>
      <c r="E405" s="1">
        <v>604</v>
      </c>
      <c r="G405" s="1">
        <v>604</v>
      </c>
      <c r="M405" s="1" t="s">
        <v>46</v>
      </c>
      <c r="Q405" s="1" t="s">
        <v>573</v>
      </c>
    </row>
    <row r="406" spans="1:17" ht="15">
      <c r="A406" s="4" t="str">
        <f t="shared" si="6"/>
        <v>405</v>
      </c>
      <c r="B406" s="1" t="s">
        <v>33</v>
      </c>
      <c r="C406" s="1" t="s">
        <v>681</v>
      </c>
      <c r="D406" s="1" t="s">
        <v>686</v>
      </c>
      <c r="E406" s="1">
        <v>501</v>
      </c>
      <c r="G406" s="1">
        <v>501</v>
      </c>
      <c r="M406" s="1" t="s">
        <v>46</v>
      </c>
      <c r="Q406" s="1" t="s">
        <v>574</v>
      </c>
    </row>
    <row r="407" spans="1:17" ht="15">
      <c r="A407" s="4" t="str">
        <f t="shared" si="6"/>
        <v>406</v>
      </c>
      <c r="B407" s="1" t="s">
        <v>33</v>
      </c>
      <c r="C407" s="1" t="s">
        <v>681</v>
      </c>
      <c r="D407" s="1" t="s">
        <v>686</v>
      </c>
      <c r="E407" s="1">
        <v>502</v>
      </c>
      <c r="G407" s="1">
        <v>502</v>
      </c>
      <c r="M407" s="1" t="s">
        <v>46</v>
      </c>
      <c r="Q407" s="1" t="s">
        <v>575</v>
      </c>
    </row>
    <row r="408" spans="1:17" ht="15">
      <c r="A408" s="4" t="str">
        <f t="shared" si="6"/>
        <v>407</v>
      </c>
      <c r="B408" s="1" t="s">
        <v>33</v>
      </c>
      <c r="C408" s="1" t="s">
        <v>681</v>
      </c>
      <c r="D408" s="1" t="s">
        <v>686</v>
      </c>
      <c r="E408" s="1">
        <v>503</v>
      </c>
      <c r="G408" s="1">
        <v>503</v>
      </c>
      <c r="M408" s="1" t="s">
        <v>46</v>
      </c>
      <c r="Q408" s="1" t="s">
        <v>576</v>
      </c>
    </row>
    <row r="409" spans="1:17" ht="15">
      <c r="A409" s="4" t="str">
        <f t="shared" si="6"/>
        <v>408</v>
      </c>
      <c r="B409" s="1" t="s">
        <v>33</v>
      </c>
      <c r="C409" s="1" t="s">
        <v>681</v>
      </c>
      <c r="D409" s="1" t="s">
        <v>686</v>
      </c>
      <c r="E409" s="1">
        <v>504</v>
      </c>
      <c r="G409" s="1">
        <v>504</v>
      </c>
      <c r="M409" s="1" t="s">
        <v>46</v>
      </c>
      <c r="Q409" s="1" t="s">
        <v>577</v>
      </c>
    </row>
    <row r="410" spans="1:17" ht="15">
      <c r="A410" s="4" t="str">
        <f t="shared" si="6"/>
        <v>409</v>
      </c>
      <c r="B410" s="1" t="s">
        <v>33</v>
      </c>
      <c r="C410" s="1" t="s">
        <v>681</v>
      </c>
      <c r="D410" s="1" t="s">
        <v>686</v>
      </c>
      <c r="E410" s="1">
        <v>401</v>
      </c>
      <c r="G410" s="1">
        <v>401</v>
      </c>
      <c r="M410" s="1" t="s">
        <v>46</v>
      </c>
      <c r="Q410" s="1" t="s">
        <v>578</v>
      </c>
    </row>
    <row r="411" spans="1:17" ht="15">
      <c r="A411" s="4" t="str">
        <f t="shared" si="6"/>
        <v>410</v>
      </c>
      <c r="B411" s="1" t="s">
        <v>33</v>
      </c>
      <c r="C411" s="1" t="s">
        <v>681</v>
      </c>
      <c r="D411" s="1" t="s">
        <v>686</v>
      </c>
      <c r="E411" s="1">
        <v>402</v>
      </c>
      <c r="G411" s="1">
        <v>402</v>
      </c>
      <c r="M411" s="1" t="s">
        <v>46</v>
      </c>
      <c r="Q411" s="1" t="s">
        <v>579</v>
      </c>
    </row>
    <row r="412" spans="1:17" ht="15">
      <c r="A412" s="4" t="str">
        <f t="shared" si="6"/>
        <v>411</v>
      </c>
      <c r="B412" s="1" t="s">
        <v>33</v>
      </c>
      <c r="C412" s="1" t="s">
        <v>681</v>
      </c>
      <c r="D412" s="1" t="s">
        <v>686</v>
      </c>
      <c r="E412" s="1">
        <v>403</v>
      </c>
      <c r="G412" s="1">
        <v>403</v>
      </c>
      <c r="M412" s="1" t="s">
        <v>46</v>
      </c>
      <c r="Q412" s="1" t="s">
        <v>580</v>
      </c>
    </row>
    <row r="413" spans="1:17" ht="15">
      <c r="A413" s="4" t="str">
        <f t="shared" si="6"/>
        <v>412</v>
      </c>
      <c r="B413" s="1" t="s">
        <v>33</v>
      </c>
      <c r="C413" s="1" t="s">
        <v>681</v>
      </c>
      <c r="D413" s="1" t="s">
        <v>686</v>
      </c>
      <c r="E413" s="1">
        <v>404</v>
      </c>
      <c r="G413" s="1">
        <v>404</v>
      </c>
      <c r="M413" s="1" t="s">
        <v>46</v>
      </c>
      <c r="Q413" s="1" t="s">
        <v>581</v>
      </c>
    </row>
    <row r="414" spans="1:17" ht="15">
      <c r="A414" s="4" t="str">
        <f t="shared" si="6"/>
        <v>413</v>
      </c>
      <c r="B414" s="1" t="s">
        <v>33</v>
      </c>
      <c r="C414" s="1" t="s">
        <v>681</v>
      </c>
      <c r="D414" s="1" t="s">
        <v>686</v>
      </c>
      <c r="E414" s="1">
        <v>301</v>
      </c>
      <c r="G414" s="1">
        <v>301</v>
      </c>
      <c r="M414" s="1" t="s">
        <v>46</v>
      </c>
      <c r="Q414" s="1" t="s">
        <v>582</v>
      </c>
    </row>
    <row r="415" spans="1:17" ht="15">
      <c r="A415" s="4" t="str">
        <f t="shared" si="6"/>
        <v>414</v>
      </c>
      <c r="B415" s="1" t="s">
        <v>33</v>
      </c>
      <c r="C415" s="1" t="s">
        <v>681</v>
      </c>
      <c r="D415" s="1" t="s">
        <v>686</v>
      </c>
      <c r="E415" s="1">
        <v>302</v>
      </c>
      <c r="G415" s="1">
        <v>302</v>
      </c>
      <c r="M415" s="1" t="s">
        <v>46</v>
      </c>
      <c r="Q415" s="1" t="s">
        <v>583</v>
      </c>
    </row>
    <row r="416" spans="1:17" ht="15">
      <c r="A416" s="4" t="str">
        <f t="shared" si="6"/>
        <v>415</v>
      </c>
      <c r="B416" s="1" t="s">
        <v>33</v>
      </c>
      <c r="C416" s="1" t="s">
        <v>681</v>
      </c>
      <c r="D416" s="1" t="s">
        <v>686</v>
      </c>
      <c r="E416" s="1">
        <v>303</v>
      </c>
      <c r="G416" s="1">
        <v>303</v>
      </c>
      <c r="M416" s="1" t="s">
        <v>46</v>
      </c>
      <c r="Q416" s="1" t="s">
        <v>584</v>
      </c>
    </row>
    <row r="417" spans="1:17" ht="15">
      <c r="A417" s="4" t="str">
        <f t="shared" si="6"/>
        <v>416</v>
      </c>
      <c r="B417" s="1" t="s">
        <v>33</v>
      </c>
      <c r="C417" s="1" t="s">
        <v>681</v>
      </c>
      <c r="D417" s="1" t="s">
        <v>686</v>
      </c>
      <c r="E417" s="1">
        <v>304</v>
      </c>
      <c r="G417" s="1">
        <v>304</v>
      </c>
      <c r="M417" s="1" t="s">
        <v>46</v>
      </c>
      <c r="Q417" s="1" t="s">
        <v>585</v>
      </c>
    </row>
    <row r="418" spans="1:17" ht="15">
      <c r="A418" s="4" t="str">
        <f t="shared" si="6"/>
        <v>417</v>
      </c>
      <c r="B418" s="1" t="s">
        <v>33</v>
      </c>
      <c r="C418" s="1" t="s">
        <v>681</v>
      </c>
      <c r="D418" s="1" t="s">
        <v>686</v>
      </c>
      <c r="E418" s="1">
        <v>201</v>
      </c>
      <c r="G418" s="1">
        <v>201</v>
      </c>
      <c r="M418" s="1" t="s">
        <v>46</v>
      </c>
      <c r="Q418" s="1" t="s">
        <v>586</v>
      </c>
    </row>
    <row r="419" spans="1:17" ht="15">
      <c r="A419" s="4" t="str">
        <f t="shared" si="6"/>
        <v>418</v>
      </c>
      <c r="B419" s="1" t="s">
        <v>33</v>
      </c>
      <c r="C419" s="1" t="s">
        <v>681</v>
      </c>
      <c r="D419" s="1" t="s">
        <v>686</v>
      </c>
      <c r="E419" s="1">
        <v>202</v>
      </c>
      <c r="G419" s="1">
        <v>202</v>
      </c>
      <c r="M419" s="1" t="s">
        <v>46</v>
      </c>
      <c r="Q419" s="1" t="s">
        <v>587</v>
      </c>
    </row>
    <row r="420" spans="1:17" ht="15">
      <c r="A420" s="4" t="str">
        <f t="shared" si="6"/>
        <v>419</v>
      </c>
      <c r="B420" s="1" t="s">
        <v>33</v>
      </c>
      <c r="C420" s="1" t="s">
        <v>681</v>
      </c>
      <c r="D420" s="1" t="s">
        <v>686</v>
      </c>
      <c r="E420" s="1">
        <v>203</v>
      </c>
      <c r="G420" s="1">
        <v>203</v>
      </c>
      <c r="M420" s="1" t="s">
        <v>46</v>
      </c>
      <c r="Q420" s="1" t="s">
        <v>588</v>
      </c>
    </row>
    <row r="421" spans="1:17" ht="15">
      <c r="A421" s="4" t="str">
        <f t="shared" si="6"/>
        <v>420</v>
      </c>
      <c r="B421" s="1" t="s">
        <v>33</v>
      </c>
      <c r="C421" s="1" t="s">
        <v>681</v>
      </c>
      <c r="D421" s="1" t="s">
        <v>686</v>
      </c>
      <c r="E421" s="1">
        <v>204</v>
      </c>
      <c r="G421" s="1">
        <v>204</v>
      </c>
      <c r="M421" s="1" t="s">
        <v>46</v>
      </c>
      <c r="Q421" s="1" t="s">
        <v>589</v>
      </c>
    </row>
    <row r="422" spans="1:17" ht="15">
      <c r="A422" s="4" t="str">
        <f t="shared" si="6"/>
        <v>421</v>
      </c>
      <c r="B422" s="1" t="s">
        <v>33</v>
      </c>
      <c r="C422" s="1" t="s">
        <v>681</v>
      </c>
      <c r="D422" s="1" t="s">
        <v>686</v>
      </c>
      <c r="E422" s="1">
        <v>101</v>
      </c>
      <c r="G422" s="1">
        <v>101</v>
      </c>
      <c r="M422" s="1" t="s">
        <v>46</v>
      </c>
      <c r="Q422" s="1" t="s">
        <v>590</v>
      </c>
    </row>
    <row r="423" spans="1:17" ht="15">
      <c r="A423" s="4" t="str">
        <f t="shared" si="6"/>
        <v>422</v>
      </c>
      <c r="B423" s="1" t="s">
        <v>33</v>
      </c>
      <c r="C423" s="1" t="s">
        <v>681</v>
      </c>
      <c r="D423" s="1" t="s">
        <v>686</v>
      </c>
      <c r="E423" s="1">
        <v>102</v>
      </c>
      <c r="G423" s="1">
        <v>102</v>
      </c>
      <c r="M423" s="1" t="s">
        <v>46</v>
      </c>
      <c r="Q423" s="1" t="s">
        <v>591</v>
      </c>
    </row>
    <row r="424" spans="1:17" ht="15">
      <c r="A424" s="4" t="str">
        <f t="shared" si="6"/>
        <v>423</v>
      </c>
      <c r="B424" s="1" t="s">
        <v>33</v>
      </c>
      <c r="C424" s="1" t="s">
        <v>681</v>
      </c>
      <c r="D424" s="1" t="s">
        <v>686</v>
      </c>
      <c r="E424" s="1">
        <v>103</v>
      </c>
      <c r="G424" s="1">
        <v>103</v>
      </c>
      <c r="M424" s="1" t="s">
        <v>46</v>
      </c>
      <c r="Q424" s="1" t="s">
        <v>592</v>
      </c>
    </row>
    <row r="425" spans="1:17" ht="15">
      <c r="A425" s="4" t="str">
        <f t="shared" si="6"/>
        <v>424</v>
      </c>
      <c r="B425" s="1" t="s">
        <v>33</v>
      </c>
      <c r="C425" s="1" t="s">
        <v>681</v>
      </c>
      <c r="D425" s="1" t="s">
        <v>686</v>
      </c>
      <c r="E425" s="1">
        <v>104</v>
      </c>
      <c r="G425" s="1">
        <v>104</v>
      </c>
      <c r="M425" s="1" t="s">
        <v>46</v>
      </c>
      <c r="Q425" s="1" t="s">
        <v>593</v>
      </c>
    </row>
    <row r="426" spans="1:17" ht="15">
      <c r="A426" s="4" t="str">
        <f t="shared" si="6"/>
        <v>425</v>
      </c>
      <c r="B426" s="1" t="s">
        <v>33</v>
      </c>
      <c r="C426" s="1" t="s">
        <v>681</v>
      </c>
      <c r="D426" s="1" t="s">
        <v>687</v>
      </c>
      <c r="E426" s="1">
        <v>601</v>
      </c>
      <c r="G426" s="1">
        <v>601</v>
      </c>
      <c r="M426" s="1" t="s">
        <v>46</v>
      </c>
      <c r="Q426" s="1" t="s">
        <v>594</v>
      </c>
    </row>
    <row r="427" spans="1:17" ht="15">
      <c r="A427" s="4" t="str">
        <f t="shared" si="6"/>
        <v>426</v>
      </c>
      <c r="B427" s="1" t="s">
        <v>33</v>
      </c>
      <c r="C427" s="1" t="s">
        <v>681</v>
      </c>
      <c r="D427" s="1" t="s">
        <v>687</v>
      </c>
      <c r="E427" s="1">
        <v>602</v>
      </c>
      <c r="G427" s="1">
        <v>602</v>
      </c>
      <c r="M427" s="1" t="s">
        <v>46</v>
      </c>
      <c r="Q427" s="1" t="s">
        <v>595</v>
      </c>
    </row>
    <row r="428" spans="1:17" ht="15">
      <c r="A428" s="4" t="str">
        <f t="shared" si="6"/>
        <v>427</v>
      </c>
      <c r="B428" s="1" t="s">
        <v>33</v>
      </c>
      <c r="C428" s="1" t="s">
        <v>681</v>
      </c>
      <c r="D428" s="1" t="s">
        <v>687</v>
      </c>
      <c r="E428" s="1">
        <v>603</v>
      </c>
      <c r="G428" s="1">
        <v>603</v>
      </c>
      <c r="M428" s="1" t="s">
        <v>46</v>
      </c>
      <c r="Q428" s="1" t="s">
        <v>596</v>
      </c>
    </row>
    <row r="429" spans="1:17" ht="15">
      <c r="A429" s="4" t="str">
        <f t="shared" si="6"/>
        <v>428</v>
      </c>
      <c r="B429" s="1" t="s">
        <v>33</v>
      </c>
      <c r="C429" s="1" t="s">
        <v>681</v>
      </c>
      <c r="D429" s="1" t="s">
        <v>687</v>
      </c>
      <c r="E429" s="1">
        <v>604</v>
      </c>
      <c r="G429" s="1">
        <v>604</v>
      </c>
      <c r="M429" s="1" t="s">
        <v>46</v>
      </c>
      <c r="Q429" s="1" t="s">
        <v>393</v>
      </c>
    </row>
    <row r="430" spans="1:17" ht="15">
      <c r="A430" s="4" t="str">
        <f t="shared" si="6"/>
        <v>429</v>
      </c>
      <c r="B430" s="1" t="s">
        <v>33</v>
      </c>
      <c r="C430" s="1" t="s">
        <v>681</v>
      </c>
      <c r="D430" s="1" t="s">
        <v>687</v>
      </c>
      <c r="E430" s="1">
        <v>501</v>
      </c>
      <c r="G430" s="1">
        <v>501</v>
      </c>
      <c r="M430" s="1" t="s">
        <v>46</v>
      </c>
      <c r="Q430" s="1" t="s">
        <v>597</v>
      </c>
    </row>
    <row r="431" spans="1:17" ht="15">
      <c r="A431" s="4" t="str">
        <f t="shared" si="6"/>
        <v>430</v>
      </c>
      <c r="B431" s="1" t="s">
        <v>33</v>
      </c>
      <c r="C431" s="1" t="s">
        <v>681</v>
      </c>
      <c r="D431" s="1" t="s">
        <v>687</v>
      </c>
      <c r="E431" s="1">
        <v>502</v>
      </c>
      <c r="G431" s="1">
        <v>502</v>
      </c>
      <c r="M431" s="1" t="s">
        <v>46</v>
      </c>
      <c r="Q431" s="1" t="s">
        <v>598</v>
      </c>
    </row>
    <row r="432" spans="1:17" ht="15">
      <c r="A432" s="4" t="str">
        <f t="shared" si="6"/>
        <v>431</v>
      </c>
      <c r="B432" s="1" t="s">
        <v>33</v>
      </c>
      <c r="C432" s="1" t="s">
        <v>681</v>
      </c>
      <c r="D432" s="1" t="s">
        <v>687</v>
      </c>
      <c r="E432" s="1">
        <v>503</v>
      </c>
      <c r="G432" s="1">
        <v>503</v>
      </c>
      <c r="M432" s="1" t="s">
        <v>46</v>
      </c>
      <c r="Q432" s="1" t="s">
        <v>599</v>
      </c>
    </row>
    <row r="433" spans="1:17" ht="15">
      <c r="A433" s="4" t="str">
        <f t="shared" si="6"/>
        <v>432</v>
      </c>
      <c r="B433" s="1" t="s">
        <v>33</v>
      </c>
      <c r="C433" s="1" t="s">
        <v>681</v>
      </c>
      <c r="D433" s="1" t="s">
        <v>687</v>
      </c>
      <c r="E433" s="1">
        <v>504</v>
      </c>
      <c r="G433" s="1">
        <v>504</v>
      </c>
      <c r="M433" s="1" t="s">
        <v>46</v>
      </c>
      <c r="Q433" s="1" t="s">
        <v>600</v>
      </c>
    </row>
    <row r="434" spans="1:17" ht="15">
      <c r="A434" s="4" t="str">
        <f t="shared" si="6"/>
        <v>433</v>
      </c>
      <c r="B434" s="1" t="s">
        <v>33</v>
      </c>
      <c r="C434" s="1" t="s">
        <v>681</v>
      </c>
      <c r="D434" s="1" t="s">
        <v>687</v>
      </c>
      <c r="E434" s="1">
        <v>401</v>
      </c>
      <c r="G434" s="1">
        <v>401</v>
      </c>
      <c r="M434" s="1" t="s">
        <v>46</v>
      </c>
      <c r="Q434" s="1" t="s">
        <v>601</v>
      </c>
    </row>
    <row r="435" spans="1:17" ht="15">
      <c r="A435" s="4" t="str">
        <f t="shared" si="6"/>
        <v>434</v>
      </c>
      <c r="B435" s="1" t="s">
        <v>33</v>
      </c>
      <c r="C435" s="1" t="s">
        <v>681</v>
      </c>
      <c r="D435" s="1" t="s">
        <v>687</v>
      </c>
      <c r="E435" s="1">
        <v>402</v>
      </c>
      <c r="G435" s="1">
        <v>402</v>
      </c>
      <c r="M435" s="1" t="s">
        <v>46</v>
      </c>
      <c r="Q435" s="1" t="s">
        <v>602</v>
      </c>
    </row>
    <row r="436" spans="1:17" ht="15">
      <c r="A436" s="4" t="str">
        <f t="shared" si="6"/>
        <v>435</v>
      </c>
      <c r="B436" s="1" t="s">
        <v>33</v>
      </c>
      <c r="C436" s="1" t="s">
        <v>681</v>
      </c>
      <c r="D436" s="1" t="s">
        <v>687</v>
      </c>
      <c r="E436" s="1">
        <v>403</v>
      </c>
      <c r="G436" s="1">
        <v>403</v>
      </c>
      <c r="M436" s="1" t="s">
        <v>46</v>
      </c>
      <c r="Q436" s="1" t="s">
        <v>603</v>
      </c>
    </row>
    <row r="437" spans="1:17" ht="15">
      <c r="A437" s="4" t="str">
        <f t="shared" si="6"/>
        <v>436</v>
      </c>
      <c r="B437" s="1" t="s">
        <v>33</v>
      </c>
      <c r="C437" s="1" t="s">
        <v>681</v>
      </c>
      <c r="D437" s="1" t="s">
        <v>687</v>
      </c>
      <c r="E437" s="1">
        <v>404</v>
      </c>
      <c r="G437" s="1">
        <v>404</v>
      </c>
      <c r="M437" s="1" t="s">
        <v>46</v>
      </c>
      <c r="Q437" s="1" t="s">
        <v>604</v>
      </c>
    </row>
    <row r="438" spans="1:17" ht="15">
      <c r="A438" s="4" t="str">
        <f t="shared" si="6"/>
        <v>437</v>
      </c>
      <c r="B438" s="1" t="s">
        <v>33</v>
      </c>
      <c r="C438" s="1" t="s">
        <v>681</v>
      </c>
      <c r="D438" s="1" t="s">
        <v>687</v>
      </c>
      <c r="E438" s="1">
        <v>301</v>
      </c>
      <c r="G438" s="1">
        <v>301</v>
      </c>
      <c r="M438" s="1" t="s">
        <v>46</v>
      </c>
      <c r="Q438" s="1" t="s">
        <v>605</v>
      </c>
    </row>
    <row r="439" spans="1:17" ht="15">
      <c r="A439" s="4" t="str">
        <f t="shared" si="6"/>
        <v>438</v>
      </c>
      <c r="B439" s="1" t="s">
        <v>33</v>
      </c>
      <c r="C439" s="1" t="s">
        <v>681</v>
      </c>
      <c r="D439" s="1" t="s">
        <v>687</v>
      </c>
      <c r="E439" s="1">
        <v>302</v>
      </c>
      <c r="G439" s="1">
        <v>302</v>
      </c>
      <c r="M439" s="1" t="s">
        <v>46</v>
      </c>
      <c r="Q439" s="1" t="s">
        <v>606</v>
      </c>
    </row>
    <row r="440" spans="1:17" ht="15">
      <c r="A440" s="4" t="str">
        <f t="shared" si="6"/>
        <v>439</v>
      </c>
      <c r="B440" s="1" t="s">
        <v>33</v>
      </c>
      <c r="C440" s="1" t="s">
        <v>681</v>
      </c>
      <c r="D440" s="1" t="s">
        <v>687</v>
      </c>
      <c r="E440" s="1">
        <v>303</v>
      </c>
      <c r="G440" s="1">
        <v>303</v>
      </c>
      <c r="M440" s="1" t="s">
        <v>46</v>
      </c>
      <c r="Q440" s="1" t="s">
        <v>607</v>
      </c>
    </row>
    <row r="441" spans="1:17" ht="15">
      <c r="A441" s="4" t="str">
        <f t="shared" si="6"/>
        <v>440</v>
      </c>
      <c r="B441" s="1" t="s">
        <v>33</v>
      </c>
      <c r="C441" s="1" t="s">
        <v>681</v>
      </c>
      <c r="D441" s="1" t="s">
        <v>687</v>
      </c>
      <c r="E441" s="1">
        <v>304</v>
      </c>
      <c r="G441" s="1">
        <v>304</v>
      </c>
      <c r="M441" s="1" t="s">
        <v>46</v>
      </c>
      <c r="Q441" s="1" t="s">
        <v>608</v>
      </c>
    </row>
    <row r="442" spans="1:17" ht="15">
      <c r="A442" s="4" t="str">
        <f t="shared" si="6"/>
        <v>441</v>
      </c>
      <c r="B442" s="1" t="s">
        <v>33</v>
      </c>
      <c r="C442" s="1" t="s">
        <v>681</v>
      </c>
      <c r="D442" s="1" t="s">
        <v>687</v>
      </c>
      <c r="E442" s="1">
        <v>201</v>
      </c>
      <c r="G442" s="1">
        <v>201</v>
      </c>
      <c r="M442" s="1" t="s">
        <v>46</v>
      </c>
      <c r="Q442" s="1" t="s">
        <v>609</v>
      </c>
    </row>
    <row r="443" spans="1:17" ht="15">
      <c r="A443" s="4" t="str">
        <f t="shared" si="6"/>
        <v>442</v>
      </c>
      <c r="B443" s="1" t="s">
        <v>33</v>
      </c>
      <c r="C443" s="1" t="s">
        <v>681</v>
      </c>
      <c r="D443" s="1" t="s">
        <v>687</v>
      </c>
      <c r="E443" s="1">
        <v>202</v>
      </c>
      <c r="G443" s="1">
        <v>202</v>
      </c>
      <c r="M443" s="1" t="s">
        <v>46</v>
      </c>
      <c r="Q443" s="1" t="s">
        <v>610</v>
      </c>
    </row>
    <row r="444" spans="1:17" ht="15">
      <c r="A444" s="4" t="str">
        <f t="shared" si="6"/>
        <v>443</v>
      </c>
      <c r="B444" s="1" t="s">
        <v>33</v>
      </c>
      <c r="C444" s="1" t="s">
        <v>681</v>
      </c>
      <c r="D444" s="1" t="s">
        <v>687</v>
      </c>
      <c r="E444" s="1">
        <v>203</v>
      </c>
      <c r="G444" s="1">
        <v>203</v>
      </c>
      <c r="M444" s="1" t="s">
        <v>46</v>
      </c>
      <c r="Q444" s="1" t="s">
        <v>611</v>
      </c>
    </row>
    <row r="445" spans="1:17" ht="15">
      <c r="A445" s="4" t="str">
        <f t="shared" si="6"/>
        <v>444</v>
      </c>
      <c r="B445" s="1" t="s">
        <v>33</v>
      </c>
      <c r="C445" s="1" t="s">
        <v>681</v>
      </c>
      <c r="D445" s="1" t="s">
        <v>687</v>
      </c>
      <c r="E445" s="1">
        <v>204</v>
      </c>
      <c r="G445" s="1">
        <v>204</v>
      </c>
      <c r="M445" s="1" t="s">
        <v>46</v>
      </c>
      <c r="Q445" s="1" t="s">
        <v>612</v>
      </c>
    </row>
    <row r="446" spans="1:17" ht="15">
      <c r="A446" s="4" t="str">
        <f t="shared" si="6"/>
        <v>445</v>
      </c>
      <c r="B446" s="1" t="s">
        <v>33</v>
      </c>
      <c r="C446" s="1" t="s">
        <v>681</v>
      </c>
      <c r="D446" s="1" t="s">
        <v>687</v>
      </c>
      <c r="E446" s="1">
        <v>101</v>
      </c>
      <c r="G446" s="1">
        <v>101</v>
      </c>
      <c r="M446" s="1" t="s">
        <v>46</v>
      </c>
      <c r="Q446" s="1" t="s">
        <v>613</v>
      </c>
    </row>
    <row r="447" spans="1:17" ht="15">
      <c r="A447" s="4" t="str">
        <f t="shared" si="6"/>
        <v>446</v>
      </c>
      <c r="B447" s="1" t="s">
        <v>33</v>
      </c>
      <c r="C447" s="1" t="s">
        <v>681</v>
      </c>
      <c r="D447" s="1" t="s">
        <v>687</v>
      </c>
      <c r="E447" s="1">
        <v>102</v>
      </c>
      <c r="G447" s="1">
        <v>102</v>
      </c>
      <c r="M447" s="1" t="s">
        <v>46</v>
      </c>
      <c r="Q447" s="1" t="s">
        <v>614</v>
      </c>
    </row>
    <row r="448" spans="1:17" ht="15">
      <c r="A448" s="4" t="str">
        <f t="shared" si="6"/>
        <v>447</v>
      </c>
      <c r="B448" s="1" t="s">
        <v>33</v>
      </c>
      <c r="C448" s="1" t="s">
        <v>681</v>
      </c>
      <c r="D448" s="1" t="s">
        <v>687</v>
      </c>
      <c r="E448" s="1">
        <v>103</v>
      </c>
      <c r="G448" s="1">
        <v>103</v>
      </c>
      <c r="M448" s="1" t="s">
        <v>46</v>
      </c>
      <c r="Q448" s="1" t="s">
        <v>615</v>
      </c>
    </row>
    <row r="449" spans="1:17" ht="15">
      <c r="A449" s="4" t="str">
        <f t="shared" si="6"/>
        <v>448</v>
      </c>
      <c r="B449" s="1" t="s">
        <v>33</v>
      </c>
      <c r="C449" s="1" t="s">
        <v>681</v>
      </c>
      <c r="D449" s="1" t="s">
        <v>687</v>
      </c>
      <c r="E449" s="1">
        <v>104</v>
      </c>
      <c r="G449" s="1">
        <v>104</v>
      </c>
      <c r="M449" s="1" t="s">
        <v>46</v>
      </c>
      <c r="Q449" s="1" t="s">
        <v>616</v>
      </c>
    </row>
    <row r="450" spans="1:17" ht="15">
      <c r="A450" s="4" t="str">
        <f t="shared" si="6"/>
        <v>449</v>
      </c>
      <c r="B450" s="1" t="s">
        <v>33</v>
      </c>
      <c r="C450" s="1" t="s">
        <v>682</v>
      </c>
      <c r="D450" s="1" t="s">
        <v>686</v>
      </c>
      <c r="E450" s="1">
        <v>501</v>
      </c>
      <c r="G450" s="1">
        <v>501</v>
      </c>
      <c r="M450" s="1" t="s">
        <v>46</v>
      </c>
      <c r="Q450" s="1" t="s">
        <v>319</v>
      </c>
    </row>
    <row r="451" spans="1:17" ht="15">
      <c r="A451" s="4" t="str">
        <f t="shared" ref="A451:A514" si="7">TEXT(ROW(A450),"000")</f>
        <v>450</v>
      </c>
      <c r="B451" s="1" t="s">
        <v>33</v>
      </c>
      <c r="C451" s="1" t="s">
        <v>682</v>
      </c>
      <c r="D451" s="1" t="s">
        <v>686</v>
      </c>
      <c r="E451" s="1">
        <v>502</v>
      </c>
      <c r="G451" s="1">
        <v>502</v>
      </c>
      <c r="M451" s="1" t="s">
        <v>46</v>
      </c>
      <c r="Q451" s="1" t="s">
        <v>320</v>
      </c>
    </row>
    <row r="452" spans="1:17" ht="15">
      <c r="A452" s="4" t="str">
        <f t="shared" si="7"/>
        <v>451</v>
      </c>
      <c r="B452" s="1" t="s">
        <v>33</v>
      </c>
      <c r="C452" s="1" t="s">
        <v>682</v>
      </c>
      <c r="D452" s="1" t="s">
        <v>686</v>
      </c>
      <c r="E452" s="1">
        <v>401</v>
      </c>
      <c r="G452" s="1">
        <v>401</v>
      </c>
      <c r="M452" s="1" t="s">
        <v>46</v>
      </c>
      <c r="Q452" s="1" t="s">
        <v>321</v>
      </c>
    </row>
    <row r="453" spans="1:17" ht="15">
      <c r="A453" s="4" t="str">
        <f t="shared" si="7"/>
        <v>452</v>
      </c>
      <c r="B453" s="1" t="s">
        <v>33</v>
      </c>
      <c r="C453" s="1" t="s">
        <v>682</v>
      </c>
      <c r="D453" s="1" t="s">
        <v>686</v>
      </c>
      <c r="E453" s="1">
        <v>402</v>
      </c>
      <c r="G453" s="1">
        <v>402</v>
      </c>
      <c r="M453" s="1" t="s">
        <v>46</v>
      </c>
      <c r="Q453" s="1" t="s">
        <v>322</v>
      </c>
    </row>
    <row r="454" spans="1:17" ht="15">
      <c r="A454" s="4" t="str">
        <f t="shared" si="7"/>
        <v>453</v>
      </c>
      <c r="B454" s="1" t="s">
        <v>33</v>
      </c>
      <c r="C454" s="1" t="s">
        <v>682</v>
      </c>
      <c r="D454" s="1" t="s">
        <v>686</v>
      </c>
      <c r="E454" s="1">
        <v>301</v>
      </c>
      <c r="G454" s="1">
        <v>301</v>
      </c>
      <c r="M454" s="1" t="s">
        <v>46</v>
      </c>
      <c r="Q454" s="1" t="s">
        <v>323</v>
      </c>
    </row>
    <row r="455" spans="1:17" ht="15">
      <c r="A455" s="4" t="str">
        <f t="shared" si="7"/>
        <v>454</v>
      </c>
      <c r="B455" s="1" t="s">
        <v>33</v>
      </c>
      <c r="C455" s="1" t="s">
        <v>682</v>
      </c>
      <c r="D455" s="1" t="s">
        <v>686</v>
      </c>
      <c r="E455" s="1">
        <v>302</v>
      </c>
      <c r="G455" s="1">
        <v>302</v>
      </c>
      <c r="M455" s="1" t="s">
        <v>46</v>
      </c>
      <c r="Q455" s="1" t="s">
        <v>324</v>
      </c>
    </row>
    <row r="456" spans="1:17" ht="15">
      <c r="A456" s="4" t="str">
        <f t="shared" si="7"/>
        <v>455</v>
      </c>
      <c r="B456" s="1" t="s">
        <v>33</v>
      </c>
      <c r="C456" s="1" t="s">
        <v>682</v>
      </c>
      <c r="D456" s="1" t="s">
        <v>686</v>
      </c>
      <c r="E456" s="1">
        <v>201</v>
      </c>
      <c r="G456" s="1">
        <v>201</v>
      </c>
      <c r="M456" s="1" t="s">
        <v>46</v>
      </c>
      <c r="Q456" s="1" t="s">
        <v>325</v>
      </c>
    </row>
    <row r="457" spans="1:17" ht="15">
      <c r="A457" s="4" t="str">
        <f t="shared" si="7"/>
        <v>456</v>
      </c>
      <c r="B457" s="1" t="s">
        <v>33</v>
      </c>
      <c r="C457" s="1" t="s">
        <v>682</v>
      </c>
      <c r="D457" s="1" t="s">
        <v>686</v>
      </c>
      <c r="E457" s="1">
        <v>202</v>
      </c>
      <c r="G457" s="1">
        <v>202</v>
      </c>
      <c r="M457" s="1" t="s">
        <v>46</v>
      </c>
      <c r="Q457" s="1" t="s">
        <v>326</v>
      </c>
    </row>
    <row r="458" spans="1:17" ht="15">
      <c r="A458" s="4" t="str">
        <f t="shared" si="7"/>
        <v>457</v>
      </c>
      <c r="B458" s="1" t="s">
        <v>33</v>
      </c>
      <c r="C458" s="1" t="s">
        <v>682</v>
      </c>
      <c r="D458" s="1" t="s">
        <v>686</v>
      </c>
      <c r="E458" s="1">
        <v>101</v>
      </c>
      <c r="G458" s="1">
        <v>101</v>
      </c>
      <c r="M458" s="1" t="s">
        <v>46</v>
      </c>
      <c r="Q458" s="1" t="s">
        <v>617</v>
      </c>
    </row>
    <row r="459" spans="1:17" ht="15">
      <c r="A459" s="4" t="str">
        <f t="shared" si="7"/>
        <v>458</v>
      </c>
      <c r="B459" s="1" t="s">
        <v>33</v>
      </c>
      <c r="C459" s="1" t="s">
        <v>682</v>
      </c>
      <c r="D459" s="1" t="s">
        <v>686</v>
      </c>
      <c r="E459" s="1">
        <v>102</v>
      </c>
      <c r="G459" s="1">
        <v>102</v>
      </c>
      <c r="M459" s="1" t="s">
        <v>46</v>
      </c>
      <c r="Q459" s="1" t="s">
        <v>328</v>
      </c>
    </row>
    <row r="460" spans="1:17" ht="15">
      <c r="A460" s="4" t="str">
        <f t="shared" si="7"/>
        <v>459</v>
      </c>
      <c r="B460" s="1" t="s">
        <v>33</v>
      </c>
      <c r="C460" s="1" t="s">
        <v>682</v>
      </c>
      <c r="D460" s="1" t="s">
        <v>688</v>
      </c>
      <c r="E460" s="1">
        <v>501</v>
      </c>
      <c r="G460" s="1">
        <v>501</v>
      </c>
      <c r="M460" s="1" t="s">
        <v>46</v>
      </c>
      <c r="Q460" s="1" t="s">
        <v>339</v>
      </c>
    </row>
    <row r="461" spans="1:17" ht="15">
      <c r="A461" s="4" t="str">
        <f t="shared" si="7"/>
        <v>460</v>
      </c>
      <c r="B461" s="1" t="s">
        <v>33</v>
      </c>
      <c r="C461" s="1" t="s">
        <v>682</v>
      </c>
      <c r="D461" s="1" t="s">
        <v>688</v>
      </c>
      <c r="E461" s="1">
        <v>502</v>
      </c>
      <c r="G461" s="1">
        <v>502</v>
      </c>
      <c r="M461" s="1" t="s">
        <v>46</v>
      </c>
      <c r="Q461" s="1" t="s">
        <v>340</v>
      </c>
    </row>
    <row r="462" spans="1:17" ht="15">
      <c r="A462" s="4" t="str">
        <f t="shared" si="7"/>
        <v>461</v>
      </c>
      <c r="B462" s="1" t="s">
        <v>33</v>
      </c>
      <c r="C462" s="1" t="s">
        <v>682</v>
      </c>
      <c r="D462" s="1" t="s">
        <v>688</v>
      </c>
      <c r="E462" s="1">
        <v>401</v>
      </c>
      <c r="G462" s="1">
        <v>401</v>
      </c>
      <c r="M462" s="1" t="s">
        <v>46</v>
      </c>
      <c r="Q462" s="1" t="s">
        <v>341</v>
      </c>
    </row>
    <row r="463" spans="1:17" ht="15">
      <c r="A463" s="4" t="str">
        <f t="shared" si="7"/>
        <v>462</v>
      </c>
      <c r="B463" s="1" t="s">
        <v>33</v>
      </c>
      <c r="C463" s="1" t="s">
        <v>682</v>
      </c>
      <c r="D463" s="1" t="s">
        <v>688</v>
      </c>
      <c r="E463" s="1">
        <v>402</v>
      </c>
      <c r="G463" s="1">
        <v>402</v>
      </c>
      <c r="M463" s="1" t="s">
        <v>46</v>
      </c>
      <c r="Q463" s="1" t="s">
        <v>342</v>
      </c>
    </row>
    <row r="464" spans="1:17" ht="15">
      <c r="A464" s="4" t="str">
        <f t="shared" si="7"/>
        <v>463</v>
      </c>
      <c r="B464" s="1" t="s">
        <v>33</v>
      </c>
      <c r="C464" s="1" t="s">
        <v>682</v>
      </c>
      <c r="D464" s="1" t="s">
        <v>688</v>
      </c>
      <c r="E464" s="1">
        <v>301</v>
      </c>
      <c r="G464" s="1">
        <v>301</v>
      </c>
      <c r="M464" s="1" t="s">
        <v>46</v>
      </c>
      <c r="Q464" s="1" t="s">
        <v>343</v>
      </c>
    </row>
    <row r="465" spans="1:17" ht="15">
      <c r="A465" s="4" t="str">
        <f t="shared" si="7"/>
        <v>464</v>
      </c>
      <c r="B465" s="1" t="s">
        <v>33</v>
      </c>
      <c r="C465" s="1" t="s">
        <v>682</v>
      </c>
      <c r="D465" s="1" t="s">
        <v>688</v>
      </c>
      <c r="E465" s="1">
        <v>302</v>
      </c>
      <c r="G465" s="1">
        <v>302</v>
      </c>
      <c r="M465" s="1" t="s">
        <v>46</v>
      </c>
      <c r="Q465" s="1" t="s">
        <v>344</v>
      </c>
    </row>
    <row r="466" spans="1:17" ht="15">
      <c r="A466" s="4" t="str">
        <f t="shared" si="7"/>
        <v>465</v>
      </c>
      <c r="B466" s="1" t="s">
        <v>33</v>
      </c>
      <c r="C466" s="1" t="s">
        <v>682</v>
      </c>
      <c r="D466" s="1" t="s">
        <v>688</v>
      </c>
      <c r="E466" s="1">
        <v>201</v>
      </c>
      <c r="G466" s="1">
        <v>201</v>
      </c>
      <c r="M466" s="1" t="s">
        <v>46</v>
      </c>
      <c r="Q466" s="1" t="s">
        <v>345</v>
      </c>
    </row>
    <row r="467" spans="1:17" ht="15">
      <c r="A467" s="4" t="str">
        <f t="shared" si="7"/>
        <v>466</v>
      </c>
      <c r="B467" s="1" t="s">
        <v>33</v>
      </c>
      <c r="C467" s="1" t="s">
        <v>682</v>
      </c>
      <c r="D467" s="1" t="s">
        <v>688</v>
      </c>
      <c r="E467" s="1">
        <v>202</v>
      </c>
      <c r="G467" s="1">
        <v>202</v>
      </c>
      <c r="M467" s="1" t="s">
        <v>46</v>
      </c>
      <c r="Q467" s="1" t="s">
        <v>346</v>
      </c>
    </row>
    <row r="468" spans="1:17" ht="15">
      <c r="A468" s="4" t="str">
        <f t="shared" si="7"/>
        <v>467</v>
      </c>
      <c r="B468" s="1" t="s">
        <v>33</v>
      </c>
      <c r="C468" s="1" t="s">
        <v>682</v>
      </c>
      <c r="D468" s="1" t="s">
        <v>688</v>
      </c>
      <c r="E468" s="1">
        <v>101</v>
      </c>
      <c r="G468" s="1">
        <v>101</v>
      </c>
      <c r="M468" s="1" t="s">
        <v>46</v>
      </c>
      <c r="Q468" s="1" t="s">
        <v>347</v>
      </c>
    </row>
    <row r="469" spans="1:17" ht="15">
      <c r="A469" s="4" t="str">
        <f t="shared" si="7"/>
        <v>468</v>
      </c>
      <c r="B469" s="1" t="s">
        <v>33</v>
      </c>
      <c r="C469" s="1" t="s">
        <v>682</v>
      </c>
      <c r="D469" s="1" t="s">
        <v>688</v>
      </c>
      <c r="E469" s="1">
        <v>102</v>
      </c>
      <c r="G469" s="1">
        <v>102</v>
      </c>
      <c r="M469" s="1" t="s">
        <v>46</v>
      </c>
      <c r="Q469" s="1" t="s">
        <v>348</v>
      </c>
    </row>
    <row r="470" spans="1:17" ht="15">
      <c r="A470" s="4" t="str">
        <f t="shared" si="7"/>
        <v>469</v>
      </c>
      <c r="B470" s="1" t="s">
        <v>33</v>
      </c>
      <c r="C470" s="1" t="s">
        <v>682</v>
      </c>
      <c r="D470" s="1" t="s">
        <v>687</v>
      </c>
      <c r="E470" s="1">
        <v>501</v>
      </c>
      <c r="G470" s="1">
        <v>501</v>
      </c>
      <c r="M470" s="1" t="s">
        <v>46</v>
      </c>
      <c r="Q470" s="1" t="s">
        <v>329</v>
      </c>
    </row>
    <row r="471" spans="1:17" ht="15">
      <c r="A471" s="4" t="str">
        <f t="shared" si="7"/>
        <v>470</v>
      </c>
      <c r="B471" s="1" t="s">
        <v>33</v>
      </c>
      <c r="C471" s="1" t="s">
        <v>682</v>
      </c>
      <c r="D471" s="1" t="s">
        <v>687</v>
      </c>
      <c r="E471" s="1">
        <v>502</v>
      </c>
      <c r="G471" s="1">
        <v>502</v>
      </c>
      <c r="M471" s="1" t="s">
        <v>46</v>
      </c>
      <c r="Q471" s="1" t="s">
        <v>330</v>
      </c>
    </row>
    <row r="472" spans="1:17" ht="15">
      <c r="A472" s="4" t="str">
        <f t="shared" si="7"/>
        <v>471</v>
      </c>
      <c r="B472" s="1" t="s">
        <v>33</v>
      </c>
      <c r="C472" s="1" t="s">
        <v>682</v>
      </c>
      <c r="D472" s="1" t="s">
        <v>687</v>
      </c>
      <c r="E472" s="1">
        <v>401</v>
      </c>
      <c r="G472" s="1">
        <v>401</v>
      </c>
      <c r="M472" s="1" t="s">
        <v>46</v>
      </c>
      <c r="Q472" s="1" t="s">
        <v>331</v>
      </c>
    </row>
    <row r="473" spans="1:17" ht="15">
      <c r="A473" s="4" t="str">
        <f t="shared" si="7"/>
        <v>472</v>
      </c>
      <c r="B473" s="1" t="s">
        <v>33</v>
      </c>
      <c r="C473" s="1" t="s">
        <v>682</v>
      </c>
      <c r="D473" s="1" t="s">
        <v>687</v>
      </c>
      <c r="E473" s="1">
        <v>402</v>
      </c>
      <c r="G473" s="1">
        <v>402</v>
      </c>
      <c r="M473" s="1" t="s">
        <v>46</v>
      </c>
      <c r="Q473" s="1" t="s">
        <v>332</v>
      </c>
    </row>
    <row r="474" spans="1:17" ht="15">
      <c r="A474" s="4" t="str">
        <f t="shared" si="7"/>
        <v>473</v>
      </c>
      <c r="B474" s="1" t="s">
        <v>33</v>
      </c>
      <c r="C474" s="1" t="s">
        <v>682</v>
      </c>
      <c r="D474" s="1" t="s">
        <v>687</v>
      </c>
      <c r="E474" s="1">
        <v>301</v>
      </c>
      <c r="G474" s="1">
        <v>301</v>
      </c>
      <c r="M474" s="1" t="s">
        <v>46</v>
      </c>
      <c r="Q474" s="1" t="s">
        <v>333</v>
      </c>
    </row>
    <row r="475" spans="1:17" ht="15">
      <c r="A475" s="4" t="str">
        <f t="shared" si="7"/>
        <v>474</v>
      </c>
      <c r="B475" s="1" t="s">
        <v>33</v>
      </c>
      <c r="C475" s="1" t="s">
        <v>682</v>
      </c>
      <c r="D475" s="1" t="s">
        <v>687</v>
      </c>
      <c r="E475" s="1">
        <v>302</v>
      </c>
      <c r="G475" s="1">
        <v>302</v>
      </c>
      <c r="M475" s="1" t="s">
        <v>46</v>
      </c>
      <c r="Q475" s="1" t="s">
        <v>334</v>
      </c>
    </row>
    <row r="476" spans="1:17" ht="15">
      <c r="A476" s="4" t="str">
        <f t="shared" si="7"/>
        <v>475</v>
      </c>
      <c r="B476" s="1" t="s">
        <v>33</v>
      </c>
      <c r="C476" s="1" t="s">
        <v>682</v>
      </c>
      <c r="D476" s="1" t="s">
        <v>687</v>
      </c>
      <c r="E476" s="1">
        <v>201</v>
      </c>
      <c r="G476" s="1">
        <v>201</v>
      </c>
      <c r="M476" s="1" t="s">
        <v>46</v>
      </c>
      <c r="Q476" s="1" t="s">
        <v>335</v>
      </c>
    </row>
    <row r="477" spans="1:17" ht="15">
      <c r="A477" s="4" t="str">
        <f t="shared" si="7"/>
        <v>476</v>
      </c>
      <c r="B477" s="1" t="s">
        <v>33</v>
      </c>
      <c r="C477" s="1" t="s">
        <v>682</v>
      </c>
      <c r="D477" s="1" t="s">
        <v>687</v>
      </c>
      <c r="E477" s="1">
        <v>202</v>
      </c>
      <c r="G477" s="1">
        <v>202</v>
      </c>
      <c r="M477" s="1" t="s">
        <v>46</v>
      </c>
      <c r="Q477" s="1" t="s">
        <v>336</v>
      </c>
    </row>
    <row r="478" spans="1:17" ht="15">
      <c r="A478" s="4" t="str">
        <f t="shared" si="7"/>
        <v>477</v>
      </c>
      <c r="B478" s="1" t="s">
        <v>33</v>
      </c>
      <c r="C478" s="1" t="s">
        <v>682</v>
      </c>
      <c r="D478" s="1" t="s">
        <v>687</v>
      </c>
      <c r="E478" s="1">
        <v>101</v>
      </c>
      <c r="G478" s="1">
        <v>101</v>
      </c>
      <c r="M478" s="1" t="s">
        <v>46</v>
      </c>
      <c r="Q478" s="1" t="s">
        <v>337</v>
      </c>
    </row>
    <row r="479" spans="1:17" ht="15">
      <c r="A479" s="4" t="str">
        <f t="shared" si="7"/>
        <v>478</v>
      </c>
      <c r="B479" s="1" t="s">
        <v>33</v>
      </c>
      <c r="C479" s="1" t="s">
        <v>682</v>
      </c>
      <c r="D479" s="1" t="s">
        <v>687</v>
      </c>
      <c r="E479" s="1">
        <v>102</v>
      </c>
      <c r="G479" s="1">
        <v>102</v>
      </c>
      <c r="M479" s="1" t="s">
        <v>46</v>
      </c>
      <c r="Q479" s="1" t="s">
        <v>338</v>
      </c>
    </row>
    <row r="480" spans="1:17" ht="15">
      <c r="A480" s="4" t="str">
        <f t="shared" si="7"/>
        <v>479</v>
      </c>
      <c r="B480" s="1" t="s">
        <v>33</v>
      </c>
      <c r="C480" s="1" t="s">
        <v>683</v>
      </c>
      <c r="D480" s="1" t="s">
        <v>686</v>
      </c>
      <c r="E480" s="1">
        <v>101</v>
      </c>
      <c r="G480" s="1">
        <v>101</v>
      </c>
      <c r="M480" s="1" t="s">
        <v>46</v>
      </c>
      <c r="Q480" s="1" t="s">
        <v>618</v>
      </c>
    </row>
    <row r="481" spans="1:17" ht="15">
      <c r="A481" s="4" t="str">
        <f t="shared" si="7"/>
        <v>480</v>
      </c>
      <c r="B481" s="1" t="s">
        <v>33</v>
      </c>
      <c r="C481" s="1" t="s">
        <v>683</v>
      </c>
      <c r="D481" s="1" t="s">
        <v>686</v>
      </c>
      <c r="E481" s="1">
        <v>102</v>
      </c>
      <c r="G481" s="1">
        <v>102</v>
      </c>
      <c r="M481" s="1" t="s">
        <v>46</v>
      </c>
      <c r="Q481" s="1" t="s">
        <v>619</v>
      </c>
    </row>
    <row r="482" spans="1:17" ht="15">
      <c r="A482" s="4" t="str">
        <f t="shared" si="7"/>
        <v>481</v>
      </c>
      <c r="B482" s="1" t="s">
        <v>33</v>
      </c>
      <c r="C482" s="1" t="s">
        <v>683</v>
      </c>
      <c r="D482" s="1" t="s">
        <v>686</v>
      </c>
      <c r="E482" s="1">
        <v>201</v>
      </c>
      <c r="G482" s="1">
        <v>201</v>
      </c>
      <c r="M482" s="1" t="s">
        <v>46</v>
      </c>
      <c r="Q482" s="1" t="s">
        <v>620</v>
      </c>
    </row>
    <row r="483" spans="1:17" ht="15">
      <c r="A483" s="4" t="str">
        <f t="shared" si="7"/>
        <v>482</v>
      </c>
      <c r="B483" s="1" t="s">
        <v>33</v>
      </c>
      <c r="C483" s="1" t="s">
        <v>683</v>
      </c>
      <c r="D483" s="1" t="s">
        <v>686</v>
      </c>
      <c r="E483" s="1">
        <v>202</v>
      </c>
      <c r="G483" s="1">
        <v>202</v>
      </c>
      <c r="M483" s="1" t="s">
        <v>46</v>
      </c>
      <c r="Q483" s="1" t="s">
        <v>621</v>
      </c>
    </row>
    <row r="484" spans="1:17" ht="15">
      <c r="A484" s="4" t="str">
        <f t="shared" si="7"/>
        <v>483</v>
      </c>
      <c r="B484" s="1" t="s">
        <v>33</v>
      </c>
      <c r="C484" s="1" t="s">
        <v>683</v>
      </c>
      <c r="D484" s="1" t="s">
        <v>686</v>
      </c>
      <c r="E484" s="1">
        <v>301</v>
      </c>
      <c r="G484" s="1">
        <v>301</v>
      </c>
      <c r="M484" s="1" t="s">
        <v>46</v>
      </c>
      <c r="Q484" s="1" t="s">
        <v>622</v>
      </c>
    </row>
    <row r="485" spans="1:17" ht="15">
      <c r="A485" s="4" t="str">
        <f t="shared" si="7"/>
        <v>484</v>
      </c>
      <c r="B485" s="1" t="s">
        <v>33</v>
      </c>
      <c r="C485" s="1" t="s">
        <v>683</v>
      </c>
      <c r="D485" s="1" t="s">
        <v>686</v>
      </c>
      <c r="E485" s="1">
        <v>302</v>
      </c>
      <c r="G485" s="1">
        <v>302</v>
      </c>
      <c r="M485" s="1" t="s">
        <v>46</v>
      </c>
      <c r="Q485" s="1" t="s">
        <v>623</v>
      </c>
    </row>
    <row r="486" spans="1:17" ht="15">
      <c r="A486" s="4" t="str">
        <f t="shared" si="7"/>
        <v>485</v>
      </c>
      <c r="B486" s="1" t="s">
        <v>33</v>
      </c>
      <c r="C486" s="1" t="s">
        <v>683</v>
      </c>
      <c r="D486" s="1" t="s">
        <v>686</v>
      </c>
      <c r="E486" s="1">
        <v>401</v>
      </c>
      <c r="G486" s="1">
        <v>401</v>
      </c>
      <c r="M486" s="1" t="s">
        <v>46</v>
      </c>
      <c r="Q486" s="1" t="s">
        <v>624</v>
      </c>
    </row>
    <row r="487" spans="1:17" ht="15">
      <c r="A487" s="4" t="str">
        <f t="shared" si="7"/>
        <v>486</v>
      </c>
      <c r="B487" s="1" t="s">
        <v>33</v>
      </c>
      <c r="C487" s="1" t="s">
        <v>683</v>
      </c>
      <c r="D487" s="1" t="s">
        <v>686</v>
      </c>
      <c r="E487" s="1">
        <v>402</v>
      </c>
      <c r="G487" s="1">
        <v>402</v>
      </c>
      <c r="M487" s="1" t="s">
        <v>46</v>
      </c>
      <c r="Q487" s="1" t="s">
        <v>625</v>
      </c>
    </row>
    <row r="488" spans="1:17" ht="15">
      <c r="A488" s="4" t="str">
        <f t="shared" si="7"/>
        <v>487</v>
      </c>
      <c r="B488" s="1" t="s">
        <v>33</v>
      </c>
      <c r="C488" s="1" t="s">
        <v>683</v>
      </c>
      <c r="D488" s="1" t="s">
        <v>686</v>
      </c>
      <c r="E488" s="1">
        <v>501</v>
      </c>
      <c r="G488" s="1">
        <v>501</v>
      </c>
      <c r="M488" s="1" t="s">
        <v>46</v>
      </c>
      <c r="Q488" s="1" t="s">
        <v>626</v>
      </c>
    </row>
    <row r="489" spans="1:17" ht="15">
      <c r="A489" s="4" t="str">
        <f t="shared" si="7"/>
        <v>488</v>
      </c>
      <c r="B489" s="1" t="s">
        <v>33</v>
      </c>
      <c r="C489" s="1" t="s">
        <v>683</v>
      </c>
      <c r="D489" s="1" t="s">
        <v>686</v>
      </c>
      <c r="E489" s="1">
        <v>502</v>
      </c>
      <c r="G489" s="1">
        <v>502</v>
      </c>
      <c r="M489" s="1" t="s">
        <v>46</v>
      </c>
      <c r="Q489" s="1" t="s">
        <v>627</v>
      </c>
    </row>
    <row r="490" spans="1:17" ht="15">
      <c r="A490" s="4" t="str">
        <f t="shared" si="7"/>
        <v>489</v>
      </c>
      <c r="B490" s="1" t="s">
        <v>33</v>
      </c>
      <c r="C490" s="1" t="s">
        <v>683</v>
      </c>
      <c r="D490" s="1" t="s">
        <v>687</v>
      </c>
      <c r="E490" s="1">
        <v>101</v>
      </c>
      <c r="G490" s="1">
        <v>101</v>
      </c>
      <c r="M490" s="1" t="s">
        <v>46</v>
      </c>
      <c r="Q490" s="1" t="s">
        <v>628</v>
      </c>
    </row>
    <row r="491" spans="1:17" ht="15">
      <c r="A491" s="4" t="str">
        <f t="shared" si="7"/>
        <v>490</v>
      </c>
      <c r="B491" s="1" t="s">
        <v>33</v>
      </c>
      <c r="C491" s="1" t="s">
        <v>683</v>
      </c>
      <c r="D491" s="1" t="s">
        <v>687</v>
      </c>
      <c r="E491" s="1">
        <v>102</v>
      </c>
      <c r="G491" s="1">
        <v>102</v>
      </c>
      <c r="M491" s="1" t="s">
        <v>46</v>
      </c>
      <c r="Q491" s="1" t="s">
        <v>629</v>
      </c>
    </row>
    <row r="492" spans="1:17" ht="15">
      <c r="A492" s="4" t="str">
        <f t="shared" si="7"/>
        <v>491</v>
      </c>
      <c r="B492" s="1" t="s">
        <v>33</v>
      </c>
      <c r="C492" s="1" t="s">
        <v>683</v>
      </c>
      <c r="D492" s="1" t="s">
        <v>687</v>
      </c>
      <c r="E492" s="1">
        <v>201</v>
      </c>
      <c r="G492" s="1">
        <v>201</v>
      </c>
      <c r="M492" s="1" t="s">
        <v>46</v>
      </c>
      <c r="Q492" s="1" t="s">
        <v>630</v>
      </c>
    </row>
    <row r="493" spans="1:17" ht="15">
      <c r="A493" s="4" t="str">
        <f t="shared" si="7"/>
        <v>492</v>
      </c>
      <c r="B493" s="1" t="s">
        <v>33</v>
      </c>
      <c r="C493" s="1" t="s">
        <v>683</v>
      </c>
      <c r="D493" s="1" t="s">
        <v>687</v>
      </c>
      <c r="E493" s="1">
        <v>202</v>
      </c>
      <c r="G493" s="1">
        <v>202</v>
      </c>
      <c r="M493" s="1" t="s">
        <v>46</v>
      </c>
      <c r="Q493" s="1" t="s">
        <v>631</v>
      </c>
    </row>
    <row r="494" spans="1:17" ht="15">
      <c r="A494" s="4" t="str">
        <f t="shared" si="7"/>
        <v>493</v>
      </c>
      <c r="B494" s="1" t="s">
        <v>33</v>
      </c>
      <c r="C494" s="1" t="s">
        <v>683</v>
      </c>
      <c r="D494" s="1" t="s">
        <v>687</v>
      </c>
      <c r="E494" s="1">
        <v>301</v>
      </c>
      <c r="G494" s="1">
        <v>301</v>
      </c>
      <c r="M494" s="1" t="s">
        <v>46</v>
      </c>
      <c r="Q494" s="1" t="s">
        <v>632</v>
      </c>
    </row>
    <row r="495" spans="1:17" ht="15">
      <c r="A495" s="4" t="str">
        <f t="shared" si="7"/>
        <v>494</v>
      </c>
      <c r="B495" s="1" t="s">
        <v>33</v>
      </c>
      <c r="C495" s="1" t="s">
        <v>683</v>
      </c>
      <c r="D495" s="1" t="s">
        <v>687</v>
      </c>
      <c r="E495" s="1">
        <v>302</v>
      </c>
      <c r="G495" s="1">
        <v>302</v>
      </c>
      <c r="M495" s="1" t="s">
        <v>46</v>
      </c>
      <c r="Q495" s="1" t="s">
        <v>633</v>
      </c>
    </row>
    <row r="496" spans="1:17" ht="15">
      <c r="A496" s="4" t="str">
        <f t="shared" si="7"/>
        <v>495</v>
      </c>
      <c r="B496" s="1" t="s">
        <v>33</v>
      </c>
      <c r="C496" s="1" t="s">
        <v>683</v>
      </c>
      <c r="D496" s="1" t="s">
        <v>687</v>
      </c>
      <c r="E496" s="1">
        <v>401</v>
      </c>
      <c r="G496" s="1">
        <v>401</v>
      </c>
      <c r="M496" s="1" t="s">
        <v>46</v>
      </c>
      <c r="Q496" s="1" t="s">
        <v>634</v>
      </c>
    </row>
    <row r="497" spans="1:17" ht="15">
      <c r="A497" s="4" t="str">
        <f t="shared" si="7"/>
        <v>496</v>
      </c>
      <c r="B497" s="1" t="s">
        <v>33</v>
      </c>
      <c r="C497" s="1" t="s">
        <v>683</v>
      </c>
      <c r="D497" s="1" t="s">
        <v>687</v>
      </c>
      <c r="E497" s="1">
        <v>402</v>
      </c>
      <c r="G497" s="1">
        <v>402</v>
      </c>
      <c r="M497" s="1" t="s">
        <v>46</v>
      </c>
      <c r="Q497" s="1" t="s">
        <v>635</v>
      </c>
    </row>
    <row r="498" spans="1:17" ht="15">
      <c r="A498" s="4" t="str">
        <f t="shared" si="7"/>
        <v>497</v>
      </c>
      <c r="B498" s="1" t="s">
        <v>33</v>
      </c>
      <c r="C498" s="1" t="s">
        <v>683</v>
      </c>
      <c r="D498" s="1" t="s">
        <v>687</v>
      </c>
      <c r="E498" s="1">
        <v>501</v>
      </c>
      <c r="G498" s="1">
        <v>501</v>
      </c>
      <c r="M498" s="1" t="s">
        <v>46</v>
      </c>
      <c r="Q498" s="1" t="s">
        <v>636</v>
      </c>
    </row>
    <row r="499" spans="1:17" ht="15">
      <c r="A499" s="4" t="str">
        <f t="shared" si="7"/>
        <v>498</v>
      </c>
      <c r="B499" s="1" t="s">
        <v>33</v>
      </c>
      <c r="C499" s="1" t="s">
        <v>683</v>
      </c>
      <c r="D499" s="1" t="s">
        <v>687</v>
      </c>
      <c r="E499" s="1">
        <v>502</v>
      </c>
      <c r="G499" s="1">
        <v>502</v>
      </c>
      <c r="M499" s="1" t="s">
        <v>46</v>
      </c>
      <c r="Q499" s="1" t="s">
        <v>637</v>
      </c>
    </row>
    <row r="500" spans="1:17" ht="15">
      <c r="A500" s="4" t="str">
        <f t="shared" si="7"/>
        <v>499</v>
      </c>
      <c r="B500" s="1" t="s">
        <v>33</v>
      </c>
      <c r="C500" s="1" t="s">
        <v>684</v>
      </c>
      <c r="D500" s="1" t="s">
        <v>686</v>
      </c>
      <c r="E500" s="1">
        <v>601</v>
      </c>
      <c r="G500" s="1">
        <v>601</v>
      </c>
      <c r="M500" s="1" t="s">
        <v>46</v>
      </c>
      <c r="Q500" s="1" t="s">
        <v>638</v>
      </c>
    </row>
    <row r="501" spans="1:17" ht="15">
      <c r="A501" s="4" t="str">
        <f t="shared" si="7"/>
        <v>500</v>
      </c>
      <c r="B501" s="1" t="s">
        <v>33</v>
      </c>
      <c r="C501" s="1" t="s">
        <v>684</v>
      </c>
      <c r="D501" s="1" t="s">
        <v>686</v>
      </c>
      <c r="E501" s="1">
        <v>602</v>
      </c>
      <c r="G501" s="1">
        <v>602</v>
      </c>
      <c r="M501" s="1" t="s">
        <v>46</v>
      </c>
      <c r="Q501" s="1" t="s">
        <v>639</v>
      </c>
    </row>
    <row r="502" spans="1:17" ht="15">
      <c r="A502" s="4" t="str">
        <f t="shared" si="7"/>
        <v>501</v>
      </c>
      <c r="B502" s="1" t="s">
        <v>33</v>
      </c>
      <c r="C502" s="1" t="s">
        <v>684</v>
      </c>
      <c r="D502" s="1" t="s">
        <v>686</v>
      </c>
      <c r="E502" s="1">
        <v>501</v>
      </c>
      <c r="G502" s="1">
        <v>501</v>
      </c>
      <c r="M502" s="1" t="s">
        <v>46</v>
      </c>
      <c r="Q502" s="1" t="s">
        <v>640</v>
      </c>
    </row>
    <row r="503" spans="1:17" ht="15">
      <c r="A503" s="4" t="str">
        <f t="shared" si="7"/>
        <v>502</v>
      </c>
      <c r="B503" s="1" t="s">
        <v>33</v>
      </c>
      <c r="C503" s="1" t="s">
        <v>684</v>
      </c>
      <c r="D503" s="1" t="s">
        <v>686</v>
      </c>
      <c r="E503" s="1">
        <v>502</v>
      </c>
      <c r="G503" s="1">
        <v>502</v>
      </c>
      <c r="M503" s="1" t="s">
        <v>46</v>
      </c>
      <c r="Q503" s="1" t="s">
        <v>641</v>
      </c>
    </row>
    <row r="504" spans="1:17" ht="15">
      <c r="A504" s="4" t="str">
        <f t="shared" si="7"/>
        <v>503</v>
      </c>
      <c r="B504" s="1" t="s">
        <v>33</v>
      </c>
      <c r="C504" s="1" t="s">
        <v>684</v>
      </c>
      <c r="D504" s="1" t="s">
        <v>686</v>
      </c>
      <c r="E504" s="1">
        <v>401</v>
      </c>
      <c r="G504" s="1">
        <v>401</v>
      </c>
      <c r="M504" s="1" t="s">
        <v>46</v>
      </c>
      <c r="Q504" s="1" t="s">
        <v>642</v>
      </c>
    </row>
    <row r="505" spans="1:17" ht="15">
      <c r="A505" s="4" t="str">
        <f t="shared" si="7"/>
        <v>504</v>
      </c>
      <c r="B505" s="1" t="s">
        <v>33</v>
      </c>
      <c r="C505" s="1" t="s">
        <v>684</v>
      </c>
      <c r="D505" s="1" t="s">
        <v>686</v>
      </c>
      <c r="E505" s="1">
        <v>402</v>
      </c>
      <c r="G505" s="1">
        <v>402</v>
      </c>
      <c r="M505" s="1" t="s">
        <v>46</v>
      </c>
      <c r="Q505" s="1" t="s">
        <v>643</v>
      </c>
    </row>
    <row r="506" spans="1:17" ht="15">
      <c r="A506" s="4" t="str">
        <f t="shared" si="7"/>
        <v>505</v>
      </c>
      <c r="B506" s="1" t="s">
        <v>33</v>
      </c>
      <c r="C506" s="1" t="s">
        <v>684</v>
      </c>
      <c r="D506" s="1" t="s">
        <v>686</v>
      </c>
      <c r="E506" s="1">
        <v>301</v>
      </c>
      <c r="G506" s="1">
        <v>301</v>
      </c>
      <c r="M506" s="1" t="s">
        <v>46</v>
      </c>
      <c r="Q506" s="1" t="s">
        <v>644</v>
      </c>
    </row>
    <row r="507" spans="1:17" ht="15">
      <c r="A507" s="4" t="str">
        <f t="shared" si="7"/>
        <v>506</v>
      </c>
      <c r="B507" s="1" t="s">
        <v>33</v>
      </c>
      <c r="C507" s="1" t="s">
        <v>684</v>
      </c>
      <c r="D507" s="1" t="s">
        <v>686</v>
      </c>
      <c r="E507" s="1">
        <v>302</v>
      </c>
      <c r="G507" s="1">
        <v>302</v>
      </c>
      <c r="M507" s="1" t="s">
        <v>46</v>
      </c>
      <c r="Q507" s="1" t="s">
        <v>645</v>
      </c>
    </row>
    <row r="508" spans="1:17" ht="15">
      <c r="A508" s="4" t="str">
        <f t="shared" si="7"/>
        <v>507</v>
      </c>
      <c r="B508" s="1" t="s">
        <v>33</v>
      </c>
      <c r="C508" s="1" t="s">
        <v>684</v>
      </c>
      <c r="D508" s="1" t="s">
        <v>686</v>
      </c>
      <c r="E508" s="1">
        <v>201</v>
      </c>
      <c r="G508" s="1">
        <v>201</v>
      </c>
      <c r="M508" s="1" t="s">
        <v>46</v>
      </c>
      <c r="Q508" s="1" t="s">
        <v>646</v>
      </c>
    </row>
    <row r="509" spans="1:17" ht="15">
      <c r="A509" s="4" t="str">
        <f t="shared" si="7"/>
        <v>508</v>
      </c>
      <c r="B509" s="1" t="s">
        <v>33</v>
      </c>
      <c r="C509" s="1" t="s">
        <v>684</v>
      </c>
      <c r="D509" s="1" t="s">
        <v>686</v>
      </c>
      <c r="E509" s="1">
        <v>202</v>
      </c>
      <c r="G509" s="1">
        <v>202</v>
      </c>
      <c r="M509" s="1" t="s">
        <v>46</v>
      </c>
      <c r="Q509" s="1" t="s">
        <v>647</v>
      </c>
    </row>
    <row r="510" spans="1:17" ht="15">
      <c r="A510" s="4" t="str">
        <f t="shared" si="7"/>
        <v>509</v>
      </c>
      <c r="B510" s="1" t="s">
        <v>33</v>
      </c>
      <c r="C510" s="1" t="s">
        <v>684</v>
      </c>
      <c r="D510" s="1" t="s">
        <v>686</v>
      </c>
      <c r="E510" s="1">
        <v>101</v>
      </c>
      <c r="G510" s="1">
        <v>101</v>
      </c>
      <c r="M510" s="1" t="s">
        <v>46</v>
      </c>
      <c r="Q510" s="1" t="s">
        <v>648</v>
      </c>
    </row>
    <row r="511" spans="1:17" ht="15">
      <c r="A511" s="4" t="str">
        <f t="shared" si="7"/>
        <v>510</v>
      </c>
      <c r="B511" s="1" t="s">
        <v>33</v>
      </c>
      <c r="C511" s="1" t="s">
        <v>684</v>
      </c>
      <c r="D511" s="1" t="s">
        <v>686</v>
      </c>
      <c r="E511" s="1">
        <v>102</v>
      </c>
      <c r="G511" s="1">
        <v>102</v>
      </c>
      <c r="M511" s="1" t="s">
        <v>46</v>
      </c>
      <c r="Q511" s="1" t="s">
        <v>649</v>
      </c>
    </row>
    <row r="512" spans="1:17" ht="15">
      <c r="A512" s="4" t="str">
        <f t="shared" si="7"/>
        <v>511</v>
      </c>
      <c r="B512" s="1" t="s">
        <v>33</v>
      </c>
      <c r="C512" s="1" t="s">
        <v>684</v>
      </c>
      <c r="D512" s="1" t="s">
        <v>688</v>
      </c>
      <c r="E512" s="1">
        <v>601</v>
      </c>
      <c r="G512" s="1">
        <v>601</v>
      </c>
      <c r="M512" s="1" t="s">
        <v>46</v>
      </c>
      <c r="Q512" s="1" t="s">
        <v>650</v>
      </c>
    </row>
    <row r="513" spans="1:17" ht="15">
      <c r="A513" s="4" t="str">
        <f t="shared" si="7"/>
        <v>512</v>
      </c>
      <c r="B513" s="1" t="s">
        <v>33</v>
      </c>
      <c r="C513" s="1" t="s">
        <v>684</v>
      </c>
      <c r="D513" s="1" t="s">
        <v>688</v>
      </c>
      <c r="E513" s="1">
        <v>602</v>
      </c>
      <c r="G513" s="1">
        <v>602</v>
      </c>
      <c r="M513" s="1" t="s">
        <v>46</v>
      </c>
      <c r="Q513" s="1" t="s">
        <v>651</v>
      </c>
    </row>
    <row r="514" spans="1:17" ht="15">
      <c r="A514" s="4" t="str">
        <f t="shared" si="7"/>
        <v>513</v>
      </c>
      <c r="B514" s="1" t="s">
        <v>33</v>
      </c>
      <c r="C514" s="1" t="s">
        <v>684</v>
      </c>
      <c r="D514" s="1" t="s">
        <v>688</v>
      </c>
      <c r="E514" s="1">
        <v>501</v>
      </c>
      <c r="G514" s="1">
        <v>501</v>
      </c>
      <c r="M514" s="1" t="s">
        <v>46</v>
      </c>
      <c r="Q514" s="1" t="s">
        <v>652</v>
      </c>
    </row>
    <row r="515" spans="1:17" ht="15">
      <c r="A515" s="4" t="str">
        <f t="shared" ref="A515:A578" si="8">TEXT(ROW(A514),"000")</f>
        <v>514</v>
      </c>
      <c r="B515" s="1" t="s">
        <v>33</v>
      </c>
      <c r="C515" s="1" t="s">
        <v>684</v>
      </c>
      <c r="D515" s="1" t="s">
        <v>688</v>
      </c>
      <c r="E515" s="1">
        <v>502</v>
      </c>
      <c r="G515" s="1">
        <v>502</v>
      </c>
      <c r="M515" s="1" t="s">
        <v>46</v>
      </c>
      <c r="Q515" s="1" t="s">
        <v>653</v>
      </c>
    </row>
    <row r="516" spans="1:17" ht="15">
      <c r="A516" s="4" t="str">
        <f t="shared" si="8"/>
        <v>515</v>
      </c>
      <c r="B516" s="1" t="s">
        <v>33</v>
      </c>
      <c r="C516" s="1" t="s">
        <v>684</v>
      </c>
      <c r="D516" s="1" t="s">
        <v>688</v>
      </c>
      <c r="E516" s="1">
        <v>401</v>
      </c>
      <c r="G516" s="1">
        <v>401</v>
      </c>
      <c r="M516" s="1" t="s">
        <v>46</v>
      </c>
      <c r="Q516" s="1" t="s">
        <v>654</v>
      </c>
    </row>
    <row r="517" spans="1:17" ht="15">
      <c r="A517" s="4" t="str">
        <f t="shared" si="8"/>
        <v>516</v>
      </c>
      <c r="B517" s="1" t="s">
        <v>33</v>
      </c>
      <c r="C517" s="1" t="s">
        <v>684</v>
      </c>
      <c r="D517" s="1" t="s">
        <v>688</v>
      </c>
      <c r="E517" s="1">
        <v>402</v>
      </c>
      <c r="G517" s="1">
        <v>402</v>
      </c>
      <c r="M517" s="1" t="s">
        <v>46</v>
      </c>
      <c r="Q517" s="1" t="s">
        <v>655</v>
      </c>
    </row>
    <row r="518" spans="1:17" ht="15">
      <c r="A518" s="4" t="str">
        <f t="shared" si="8"/>
        <v>517</v>
      </c>
      <c r="B518" s="1" t="s">
        <v>33</v>
      </c>
      <c r="C518" s="1" t="s">
        <v>684</v>
      </c>
      <c r="D518" s="1" t="s">
        <v>688</v>
      </c>
      <c r="E518" s="1">
        <v>301</v>
      </c>
      <c r="G518" s="1">
        <v>301</v>
      </c>
      <c r="M518" s="1" t="s">
        <v>46</v>
      </c>
      <c r="Q518" s="1" t="s">
        <v>656</v>
      </c>
    </row>
    <row r="519" spans="1:17" ht="15">
      <c r="A519" s="4" t="str">
        <f t="shared" si="8"/>
        <v>518</v>
      </c>
      <c r="B519" s="1" t="s">
        <v>33</v>
      </c>
      <c r="C519" s="1" t="s">
        <v>684</v>
      </c>
      <c r="D519" s="1" t="s">
        <v>688</v>
      </c>
      <c r="E519" s="1">
        <v>302</v>
      </c>
      <c r="G519" s="1">
        <v>302</v>
      </c>
      <c r="M519" s="1" t="s">
        <v>46</v>
      </c>
      <c r="Q519" s="1" t="s">
        <v>657</v>
      </c>
    </row>
    <row r="520" spans="1:17" ht="15">
      <c r="A520" s="4" t="str">
        <f t="shared" si="8"/>
        <v>519</v>
      </c>
      <c r="B520" s="1" t="s">
        <v>33</v>
      </c>
      <c r="C520" s="1" t="s">
        <v>684</v>
      </c>
      <c r="D520" s="1" t="s">
        <v>688</v>
      </c>
      <c r="E520" s="1">
        <v>201</v>
      </c>
      <c r="G520" s="1">
        <v>201</v>
      </c>
      <c r="M520" s="1" t="s">
        <v>46</v>
      </c>
      <c r="Q520" s="1" t="s">
        <v>658</v>
      </c>
    </row>
    <row r="521" spans="1:17" ht="15">
      <c r="A521" s="4" t="str">
        <f t="shared" si="8"/>
        <v>520</v>
      </c>
      <c r="B521" s="1" t="s">
        <v>33</v>
      </c>
      <c r="C521" s="1" t="s">
        <v>684</v>
      </c>
      <c r="D521" s="1" t="s">
        <v>688</v>
      </c>
      <c r="E521" s="1">
        <v>202</v>
      </c>
      <c r="G521" s="1">
        <v>202</v>
      </c>
      <c r="M521" s="1" t="s">
        <v>46</v>
      </c>
      <c r="Q521" s="1" t="s">
        <v>659</v>
      </c>
    </row>
    <row r="522" spans="1:17" ht="15">
      <c r="A522" s="4" t="str">
        <f t="shared" si="8"/>
        <v>521</v>
      </c>
      <c r="B522" s="1" t="s">
        <v>33</v>
      </c>
      <c r="C522" s="1" t="s">
        <v>684</v>
      </c>
      <c r="D522" s="1" t="s">
        <v>688</v>
      </c>
      <c r="E522" s="1">
        <v>101</v>
      </c>
      <c r="G522" s="1">
        <v>101</v>
      </c>
      <c r="M522" s="1" t="s">
        <v>46</v>
      </c>
      <c r="Q522" s="1" t="s">
        <v>660</v>
      </c>
    </row>
    <row r="523" spans="1:17" ht="15">
      <c r="A523" s="4" t="str">
        <f t="shared" si="8"/>
        <v>522</v>
      </c>
      <c r="B523" s="1" t="s">
        <v>33</v>
      </c>
      <c r="C523" s="1" t="s">
        <v>684</v>
      </c>
      <c r="D523" s="1" t="s">
        <v>688</v>
      </c>
      <c r="E523" s="1">
        <v>102</v>
      </c>
      <c r="G523" s="1">
        <v>102</v>
      </c>
      <c r="M523" s="1" t="s">
        <v>46</v>
      </c>
      <c r="Q523" s="1" t="s">
        <v>661</v>
      </c>
    </row>
    <row r="524" spans="1:17" ht="15">
      <c r="A524" s="4" t="str">
        <f t="shared" si="8"/>
        <v>523</v>
      </c>
      <c r="B524" s="1" t="s">
        <v>33</v>
      </c>
      <c r="C524" s="1" t="s">
        <v>684</v>
      </c>
      <c r="D524" s="1" t="s">
        <v>687</v>
      </c>
      <c r="E524" s="1">
        <v>601</v>
      </c>
      <c r="G524" s="1">
        <v>601</v>
      </c>
      <c r="M524" s="1" t="s">
        <v>46</v>
      </c>
      <c r="Q524" s="1" t="s">
        <v>662</v>
      </c>
    </row>
    <row r="525" spans="1:17" ht="15">
      <c r="A525" s="4" t="str">
        <f t="shared" si="8"/>
        <v>524</v>
      </c>
      <c r="B525" s="1" t="s">
        <v>33</v>
      </c>
      <c r="C525" s="1" t="s">
        <v>684</v>
      </c>
      <c r="D525" s="1" t="s">
        <v>687</v>
      </c>
      <c r="E525" s="1">
        <v>602</v>
      </c>
      <c r="G525" s="1">
        <v>602</v>
      </c>
      <c r="M525" s="1" t="s">
        <v>46</v>
      </c>
      <c r="Q525" s="1" t="s">
        <v>663</v>
      </c>
    </row>
    <row r="526" spans="1:17" ht="15">
      <c r="A526" s="4" t="str">
        <f t="shared" si="8"/>
        <v>525</v>
      </c>
      <c r="B526" s="1" t="s">
        <v>33</v>
      </c>
      <c r="C526" s="1" t="s">
        <v>684</v>
      </c>
      <c r="D526" s="1" t="s">
        <v>687</v>
      </c>
      <c r="E526" s="1">
        <v>501</v>
      </c>
      <c r="G526" s="1">
        <v>501</v>
      </c>
      <c r="M526" s="1" t="s">
        <v>46</v>
      </c>
      <c r="Q526" s="1" t="s">
        <v>664</v>
      </c>
    </row>
    <row r="527" spans="1:17" ht="15">
      <c r="A527" s="4" t="str">
        <f t="shared" si="8"/>
        <v>526</v>
      </c>
      <c r="B527" s="1" t="s">
        <v>33</v>
      </c>
      <c r="C527" s="1" t="s">
        <v>684</v>
      </c>
      <c r="D527" s="1" t="s">
        <v>687</v>
      </c>
      <c r="E527" s="1">
        <v>502</v>
      </c>
      <c r="G527" s="1">
        <v>502</v>
      </c>
      <c r="M527" s="1" t="s">
        <v>46</v>
      </c>
      <c r="Q527" s="1" t="s">
        <v>665</v>
      </c>
    </row>
    <row r="528" spans="1:17" ht="15">
      <c r="A528" s="4" t="str">
        <f t="shared" si="8"/>
        <v>527</v>
      </c>
      <c r="B528" s="1" t="s">
        <v>33</v>
      </c>
      <c r="C528" s="1" t="s">
        <v>684</v>
      </c>
      <c r="D528" s="1" t="s">
        <v>687</v>
      </c>
      <c r="E528" s="1">
        <v>401</v>
      </c>
      <c r="G528" s="1">
        <v>401</v>
      </c>
      <c r="M528" s="1" t="s">
        <v>46</v>
      </c>
      <c r="Q528" s="1" t="s">
        <v>666</v>
      </c>
    </row>
    <row r="529" spans="1:17" ht="15">
      <c r="A529" s="4" t="str">
        <f t="shared" si="8"/>
        <v>528</v>
      </c>
      <c r="B529" s="1" t="s">
        <v>33</v>
      </c>
      <c r="C529" s="1" t="s">
        <v>684</v>
      </c>
      <c r="D529" s="1" t="s">
        <v>687</v>
      </c>
      <c r="E529" s="1">
        <v>402</v>
      </c>
      <c r="G529" s="1">
        <v>402</v>
      </c>
      <c r="M529" s="1" t="s">
        <v>46</v>
      </c>
      <c r="Q529" s="1" t="s">
        <v>667</v>
      </c>
    </row>
    <row r="530" spans="1:17" ht="15">
      <c r="A530" s="4" t="str">
        <f t="shared" si="8"/>
        <v>529</v>
      </c>
      <c r="B530" s="1" t="s">
        <v>33</v>
      </c>
      <c r="C530" s="1" t="s">
        <v>684</v>
      </c>
      <c r="D530" s="1" t="s">
        <v>687</v>
      </c>
      <c r="E530" s="1">
        <v>301</v>
      </c>
      <c r="G530" s="1">
        <v>301</v>
      </c>
      <c r="M530" s="1" t="s">
        <v>46</v>
      </c>
      <c r="Q530" s="1" t="s">
        <v>668</v>
      </c>
    </row>
    <row r="531" spans="1:17" ht="15">
      <c r="A531" s="4" t="str">
        <f t="shared" si="8"/>
        <v>530</v>
      </c>
      <c r="B531" s="1" t="s">
        <v>33</v>
      </c>
      <c r="C531" s="1" t="s">
        <v>684</v>
      </c>
      <c r="D531" s="1" t="s">
        <v>687</v>
      </c>
      <c r="E531" s="1">
        <v>302</v>
      </c>
      <c r="G531" s="1">
        <v>302</v>
      </c>
      <c r="M531" s="1" t="s">
        <v>46</v>
      </c>
      <c r="Q531" s="1" t="s">
        <v>327</v>
      </c>
    </row>
    <row r="532" spans="1:17" ht="15">
      <c r="A532" s="4" t="str">
        <f t="shared" si="8"/>
        <v>531</v>
      </c>
      <c r="B532" s="1" t="s">
        <v>33</v>
      </c>
      <c r="C532" s="1" t="s">
        <v>684</v>
      </c>
      <c r="D532" s="1" t="s">
        <v>687</v>
      </c>
      <c r="E532" s="1">
        <v>201</v>
      </c>
      <c r="G532" s="1">
        <v>201</v>
      </c>
      <c r="M532" s="1" t="s">
        <v>46</v>
      </c>
      <c r="Q532" s="1" t="s">
        <v>669</v>
      </c>
    </row>
    <row r="533" spans="1:17" ht="15">
      <c r="A533" s="4" t="str">
        <f t="shared" si="8"/>
        <v>532</v>
      </c>
      <c r="B533" s="1" t="s">
        <v>33</v>
      </c>
      <c r="C533" s="1" t="s">
        <v>684</v>
      </c>
      <c r="D533" s="1" t="s">
        <v>687</v>
      </c>
      <c r="E533" s="1">
        <v>202</v>
      </c>
      <c r="G533" s="1">
        <v>202</v>
      </c>
      <c r="M533" s="1" t="s">
        <v>46</v>
      </c>
      <c r="Q533" s="1" t="s">
        <v>670</v>
      </c>
    </row>
    <row r="534" spans="1:17" ht="15">
      <c r="A534" s="4" t="str">
        <f t="shared" si="8"/>
        <v>533</v>
      </c>
      <c r="B534" s="1" t="s">
        <v>33</v>
      </c>
      <c r="C534" s="1" t="s">
        <v>684</v>
      </c>
      <c r="D534" s="1" t="s">
        <v>687</v>
      </c>
      <c r="E534" s="1">
        <v>101</v>
      </c>
      <c r="G534" s="1">
        <v>101</v>
      </c>
      <c r="M534" s="1" t="s">
        <v>46</v>
      </c>
      <c r="Q534" s="1" t="s">
        <v>671</v>
      </c>
    </row>
    <row r="535" spans="1:17" ht="15">
      <c r="A535" s="4" t="str">
        <f t="shared" si="8"/>
        <v>534</v>
      </c>
      <c r="B535" s="1" t="s">
        <v>33</v>
      </c>
      <c r="C535" s="1" t="s">
        <v>684</v>
      </c>
      <c r="D535" s="1" t="s">
        <v>687</v>
      </c>
      <c r="E535" s="1">
        <v>102</v>
      </c>
      <c r="G535" s="1">
        <v>102</v>
      </c>
      <c r="M535" s="1" t="s">
        <v>46</v>
      </c>
      <c r="Q535" s="1" t="s">
        <v>672</v>
      </c>
    </row>
    <row r="536" spans="1:17" ht="15">
      <c r="A536" s="4" t="str">
        <f t="shared" si="8"/>
        <v>535</v>
      </c>
      <c r="B536" s="1" t="s">
        <v>33</v>
      </c>
      <c r="C536" s="1" t="s">
        <v>41</v>
      </c>
      <c r="D536" s="1" t="s">
        <v>686</v>
      </c>
      <c r="E536" s="1">
        <v>601</v>
      </c>
      <c r="G536" s="1">
        <v>601</v>
      </c>
      <c r="M536" s="1" t="s">
        <v>46</v>
      </c>
      <c r="Q536" s="1" t="s">
        <v>216</v>
      </c>
    </row>
    <row r="537" spans="1:17" ht="15">
      <c r="A537" s="4" t="str">
        <f t="shared" si="8"/>
        <v>536</v>
      </c>
      <c r="B537" s="1" t="s">
        <v>33</v>
      </c>
      <c r="C537" s="1" t="s">
        <v>41</v>
      </c>
      <c r="D537" s="1" t="s">
        <v>686</v>
      </c>
      <c r="E537" s="1">
        <v>602</v>
      </c>
      <c r="G537" s="1">
        <v>602</v>
      </c>
      <c r="M537" s="1" t="s">
        <v>46</v>
      </c>
      <c r="Q537" s="1" t="s">
        <v>217</v>
      </c>
    </row>
    <row r="538" spans="1:17" ht="15">
      <c r="A538" s="4" t="str">
        <f t="shared" si="8"/>
        <v>537</v>
      </c>
      <c r="B538" s="1" t="s">
        <v>33</v>
      </c>
      <c r="C538" s="1" t="s">
        <v>41</v>
      </c>
      <c r="D538" s="1" t="s">
        <v>686</v>
      </c>
      <c r="E538" s="1">
        <v>603</v>
      </c>
      <c r="G538" s="1">
        <v>603</v>
      </c>
      <c r="M538" s="1" t="s">
        <v>46</v>
      </c>
      <c r="Q538" s="1" t="s">
        <v>218</v>
      </c>
    </row>
    <row r="539" spans="1:17" ht="15">
      <c r="A539" s="4" t="str">
        <f t="shared" si="8"/>
        <v>538</v>
      </c>
      <c r="B539" s="1" t="s">
        <v>33</v>
      </c>
      <c r="C539" s="1" t="s">
        <v>41</v>
      </c>
      <c r="D539" s="1" t="s">
        <v>686</v>
      </c>
      <c r="E539" s="1">
        <v>501</v>
      </c>
      <c r="G539" s="1">
        <v>501</v>
      </c>
      <c r="M539" s="1" t="s">
        <v>46</v>
      </c>
      <c r="Q539" s="1" t="s">
        <v>219</v>
      </c>
    </row>
    <row r="540" spans="1:17" ht="15">
      <c r="A540" s="4" t="str">
        <f t="shared" si="8"/>
        <v>539</v>
      </c>
      <c r="B540" s="1" t="s">
        <v>33</v>
      </c>
      <c r="C540" s="1" t="s">
        <v>41</v>
      </c>
      <c r="D540" s="1" t="s">
        <v>686</v>
      </c>
      <c r="E540" s="1">
        <v>502</v>
      </c>
      <c r="G540" s="1">
        <v>502</v>
      </c>
      <c r="M540" s="1" t="s">
        <v>46</v>
      </c>
      <c r="Q540" s="1" t="s">
        <v>220</v>
      </c>
    </row>
    <row r="541" spans="1:17" ht="15">
      <c r="A541" s="4" t="str">
        <f t="shared" si="8"/>
        <v>540</v>
      </c>
      <c r="B541" s="1" t="s">
        <v>33</v>
      </c>
      <c r="C541" s="1" t="s">
        <v>41</v>
      </c>
      <c r="D541" s="1" t="s">
        <v>686</v>
      </c>
      <c r="E541" s="1">
        <v>503</v>
      </c>
      <c r="G541" s="1">
        <v>503</v>
      </c>
      <c r="M541" s="1" t="s">
        <v>46</v>
      </c>
      <c r="Q541" s="1" t="s">
        <v>221</v>
      </c>
    </row>
    <row r="542" spans="1:17" ht="15">
      <c r="A542" s="4" t="str">
        <f t="shared" si="8"/>
        <v>541</v>
      </c>
      <c r="B542" s="1" t="s">
        <v>33</v>
      </c>
      <c r="C542" s="1" t="s">
        <v>41</v>
      </c>
      <c r="D542" s="1" t="s">
        <v>686</v>
      </c>
      <c r="E542" s="1">
        <v>401</v>
      </c>
      <c r="G542" s="1">
        <v>401</v>
      </c>
      <c r="M542" s="1" t="s">
        <v>46</v>
      </c>
      <c r="Q542" s="1" t="s">
        <v>222</v>
      </c>
    </row>
    <row r="543" spans="1:17" ht="15">
      <c r="A543" s="4" t="str">
        <f t="shared" si="8"/>
        <v>542</v>
      </c>
      <c r="B543" s="1" t="s">
        <v>33</v>
      </c>
      <c r="C543" s="1" t="s">
        <v>41</v>
      </c>
      <c r="D543" s="1" t="s">
        <v>686</v>
      </c>
      <c r="E543" s="1">
        <v>402</v>
      </c>
      <c r="G543" s="1">
        <v>402</v>
      </c>
      <c r="M543" s="1" t="s">
        <v>46</v>
      </c>
      <c r="Q543" s="1" t="s">
        <v>223</v>
      </c>
    </row>
    <row r="544" spans="1:17" ht="15">
      <c r="A544" s="4" t="str">
        <f t="shared" si="8"/>
        <v>543</v>
      </c>
      <c r="B544" s="1" t="s">
        <v>33</v>
      </c>
      <c r="C544" s="1" t="s">
        <v>41</v>
      </c>
      <c r="D544" s="1" t="s">
        <v>686</v>
      </c>
      <c r="E544" s="1">
        <v>403</v>
      </c>
      <c r="G544" s="1">
        <v>403</v>
      </c>
      <c r="M544" s="1" t="s">
        <v>46</v>
      </c>
      <c r="Q544" s="1" t="s">
        <v>224</v>
      </c>
    </row>
    <row r="545" spans="1:17" ht="15">
      <c r="A545" s="4" t="str">
        <f t="shared" si="8"/>
        <v>544</v>
      </c>
      <c r="B545" s="1" t="s">
        <v>33</v>
      </c>
      <c r="C545" s="1" t="s">
        <v>41</v>
      </c>
      <c r="D545" s="1" t="s">
        <v>686</v>
      </c>
      <c r="E545" s="1">
        <v>301</v>
      </c>
      <c r="G545" s="1">
        <v>301</v>
      </c>
      <c r="M545" s="1" t="s">
        <v>46</v>
      </c>
      <c r="Q545" s="1" t="s">
        <v>225</v>
      </c>
    </row>
    <row r="546" spans="1:17" ht="15">
      <c r="A546" s="4" t="str">
        <f t="shared" si="8"/>
        <v>545</v>
      </c>
      <c r="B546" s="1" t="s">
        <v>33</v>
      </c>
      <c r="C546" s="1" t="s">
        <v>41</v>
      </c>
      <c r="D546" s="1" t="s">
        <v>686</v>
      </c>
      <c r="E546" s="1">
        <v>302</v>
      </c>
      <c r="G546" s="1">
        <v>302</v>
      </c>
      <c r="M546" s="1" t="s">
        <v>46</v>
      </c>
      <c r="Q546" s="1" t="s">
        <v>226</v>
      </c>
    </row>
    <row r="547" spans="1:17" ht="15">
      <c r="A547" s="4" t="str">
        <f t="shared" si="8"/>
        <v>546</v>
      </c>
      <c r="B547" s="1" t="s">
        <v>33</v>
      </c>
      <c r="C547" s="1" t="s">
        <v>41</v>
      </c>
      <c r="D547" s="1" t="s">
        <v>686</v>
      </c>
      <c r="E547" s="1">
        <v>303</v>
      </c>
      <c r="G547" s="1">
        <v>303</v>
      </c>
      <c r="M547" s="1" t="s">
        <v>46</v>
      </c>
      <c r="Q547" s="1" t="s">
        <v>227</v>
      </c>
    </row>
    <row r="548" spans="1:17" ht="15">
      <c r="A548" s="4" t="str">
        <f t="shared" si="8"/>
        <v>547</v>
      </c>
      <c r="B548" s="1" t="s">
        <v>33</v>
      </c>
      <c r="C548" s="1" t="s">
        <v>41</v>
      </c>
      <c r="D548" s="1" t="s">
        <v>686</v>
      </c>
      <c r="E548" s="1">
        <v>201</v>
      </c>
      <c r="G548" s="1">
        <v>201</v>
      </c>
      <c r="M548" s="1" t="s">
        <v>46</v>
      </c>
      <c r="Q548" s="1" t="s">
        <v>228</v>
      </c>
    </row>
    <row r="549" spans="1:17" ht="15">
      <c r="A549" s="4" t="str">
        <f t="shared" si="8"/>
        <v>548</v>
      </c>
      <c r="B549" s="1" t="s">
        <v>33</v>
      </c>
      <c r="C549" s="1" t="s">
        <v>41</v>
      </c>
      <c r="D549" s="1" t="s">
        <v>686</v>
      </c>
      <c r="E549" s="1">
        <v>202</v>
      </c>
      <c r="G549" s="1">
        <v>202</v>
      </c>
      <c r="M549" s="1" t="s">
        <v>46</v>
      </c>
      <c r="Q549" s="1" t="s">
        <v>229</v>
      </c>
    </row>
    <row r="550" spans="1:17" ht="15">
      <c r="A550" s="4" t="str">
        <f t="shared" si="8"/>
        <v>549</v>
      </c>
      <c r="B550" s="1" t="s">
        <v>33</v>
      </c>
      <c r="C550" s="1" t="s">
        <v>41</v>
      </c>
      <c r="D550" s="1" t="s">
        <v>686</v>
      </c>
      <c r="E550" s="1">
        <v>203</v>
      </c>
      <c r="G550" s="1">
        <v>203</v>
      </c>
      <c r="M550" s="1" t="s">
        <v>46</v>
      </c>
      <c r="Q550" s="1" t="s">
        <v>230</v>
      </c>
    </row>
    <row r="551" spans="1:17" ht="15">
      <c r="A551" s="4" t="str">
        <f t="shared" si="8"/>
        <v>550</v>
      </c>
      <c r="B551" s="1" t="s">
        <v>33</v>
      </c>
      <c r="C551" s="1" t="s">
        <v>41</v>
      </c>
      <c r="D551" s="1" t="s">
        <v>686</v>
      </c>
      <c r="E551" s="1">
        <v>101</v>
      </c>
      <c r="G551" s="1">
        <v>101</v>
      </c>
      <c r="M551" s="1" t="s">
        <v>46</v>
      </c>
      <c r="Q551" s="1" t="s">
        <v>231</v>
      </c>
    </row>
    <row r="552" spans="1:17" ht="15">
      <c r="A552" s="4" t="str">
        <f t="shared" si="8"/>
        <v>551</v>
      </c>
      <c r="B552" s="1" t="s">
        <v>33</v>
      </c>
      <c r="C552" s="1" t="s">
        <v>41</v>
      </c>
      <c r="D552" s="1" t="s">
        <v>686</v>
      </c>
      <c r="E552" s="1">
        <v>102</v>
      </c>
      <c r="G552" s="1">
        <v>102</v>
      </c>
      <c r="M552" s="1" t="s">
        <v>46</v>
      </c>
      <c r="Q552" s="1" t="s">
        <v>232</v>
      </c>
    </row>
    <row r="553" spans="1:17" ht="15">
      <c r="A553" s="4" t="str">
        <f t="shared" si="8"/>
        <v>552</v>
      </c>
      <c r="B553" s="1" t="s">
        <v>33</v>
      </c>
      <c r="C553" s="1" t="s">
        <v>41</v>
      </c>
      <c r="D553" s="1" t="s">
        <v>686</v>
      </c>
      <c r="E553" s="1">
        <v>103</v>
      </c>
      <c r="G553" s="1">
        <v>103</v>
      </c>
      <c r="M553" s="1" t="s">
        <v>46</v>
      </c>
      <c r="Q553" s="1" t="s">
        <v>233</v>
      </c>
    </row>
    <row r="554" spans="1:17" ht="15">
      <c r="A554" s="4" t="str">
        <f t="shared" si="8"/>
        <v>553</v>
      </c>
      <c r="B554" s="1" t="s">
        <v>33</v>
      </c>
      <c r="C554" s="1" t="s">
        <v>41</v>
      </c>
      <c r="D554" s="1" t="s">
        <v>687</v>
      </c>
      <c r="E554" s="1">
        <v>601</v>
      </c>
      <c r="G554" s="1">
        <v>601</v>
      </c>
      <c r="M554" s="1" t="s">
        <v>46</v>
      </c>
      <c r="Q554" s="1" t="s">
        <v>234</v>
      </c>
    </row>
    <row r="555" spans="1:17" ht="15">
      <c r="A555" s="4" t="str">
        <f t="shared" si="8"/>
        <v>554</v>
      </c>
      <c r="B555" s="1" t="s">
        <v>33</v>
      </c>
      <c r="C555" s="1" t="s">
        <v>41</v>
      </c>
      <c r="D555" s="1" t="s">
        <v>687</v>
      </c>
      <c r="E555" s="1">
        <v>602</v>
      </c>
      <c r="G555" s="1">
        <v>602</v>
      </c>
      <c r="M555" s="1" t="s">
        <v>46</v>
      </c>
      <c r="Q555" s="1" t="s">
        <v>235</v>
      </c>
    </row>
    <row r="556" spans="1:17" ht="15">
      <c r="A556" s="4" t="str">
        <f t="shared" si="8"/>
        <v>555</v>
      </c>
      <c r="B556" s="1" t="s">
        <v>33</v>
      </c>
      <c r="C556" s="1" t="s">
        <v>41</v>
      </c>
      <c r="D556" s="1" t="s">
        <v>687</v>
      </c>
      <c r="E556" s="1">
        <v>603</v>
      </c>
      <c r="G556" s="1">
        <v>603</v>
      </c>
      <c r="M556" s="1" t="s">
        <v>46</v>
      </c>
      <c r="Q556" s="1" t="s">
        <v>236</v>
      </c>
    </row>
    <row r="557" spans="1:17" ht="15">
      <c r="A557" s="4" t="str">
        <f t="shared" si="8"/>
        <v>556</v>
      </c>
      <c r="B557" s="1" t="s">
        <v>33</v>
      </c>
      <c r="C557" s="1" t="s">
        <v>41</v>
      </c>
      <c r="D557" s="1" t="s">
        <v>687</v>
      </c>
      <c r="E557" s="1">
        <v>501</v>
      </c>
      <c r="G557" s="1">
        <v>501</v>
      </c>
      <c r="M557" s="1" t="s">
        <v>46</v>
      </c>
      <c r="Q557" s="1" t="s">
        <v>237</v>
      </c>
    </row>
    <row r="558" spans="1:17" ht="15">
      <c r="A558" s="4" t="str">
        <f t="shared" si="8"/>
        <v>557</v>
      </c>
      <c r="B558" s="1" t="s">
        <v>33</v>
      </c>
      <c r="C558" s="1" t="s">
        <v>41</v>
      </c>
      <c r="D558" s="1" t="s">
        <v>687</v>
      </c>
      <c r="E558" s="1">
        <v>502</v>
      </c>
      <c r="G558" s="1">
        <v>502</v>
      </c>
      <c r="M558" s="1" t="s">
        <v>46</v>
      </c>
      <c r="Q558" s="1" t="s">
        <v>238</v>
      </c>
    </row>
    <row r="559" spans="1:17" ht="15">
      <c r="A559" s="4" t="str">
        <f t="shared" si="8"/>
        <v>558</v>
      </c>
      <c r="B559" s="1" t="s">
        <v>33</v>
      </c>
      <c r="C559" s="1" t="s">
        <v>41</v>
      </c>
      <c r="D559" s="1" t="s">
        <v>687</v>
      </c>
      <c r="E559" s="1">
        <v>503</v>
      </c>
      <c r="G559" s="1">
        <v>503</v>
      </c>
      <c r="M559" s="1" t="s">
        <v>46</v>
      </c>
      <c r="Q559" s="1" t="s">
        <v>239</v>
      </c>
    </row>
    <row r="560" spans="1:17" ht="15">
      <c r="A560" s="4" t="str">
        <f t="shared" si="8"/>
        <v>559</v>
      </c>
      <c r="B560" s="1" t="s">
        <v>33</v>
      </c>
      <c r="C560" s="1" t="s">
        <v>41</v>
      </c>
      <c r="D560" s="1" t="s">
        <v>687</v>
      </c>
      <c r="E560" s="1">
        <v>401</v>
      </c>
      <c r="G560" s="1">
        <v>401</v>
      </c>
      <c r="M560" s="1" t="s">
        <v>46</v>
      </c>
      <c r="Q560" s="1" t="s">
        <v>240</v>
      </c>
    </row>
    <row r="561" spans="1:17" ht="15">
      <c r="A561" s="4" t="str">
        <f t="shared" si="8"/>
        <v>560</v>
      </c>
      <c r="B561" s="1" t="s">
        <v>33</v>
      </c>
      <c r="C561" s="1" t="s">
        <v>41</v>
      </c>
      <c r="D561" s="1" t="s">
        <v>687</v>
      </c>
      <c r="E561" s="1">
        <v>402</v>
      </c>
      <c r="G561" s="1">
        <v>402</v>
      </c>
      <c r="M561" s="1" t="s">
        <v>46</v>
      </c>
      <c r="Q561" s="1" t="s">
        <v>673</v>
      </c>
    </row>
    <row r="562" spans="1:17" ht="15">
      <c r="A562" s="4" t="str">
        <f t="shared" si="8"/>
        <v>561</v>
      </c>
      <c r="B562" s="1" t="s">
        <v>33</v>
      </c>
      <c r="C562" s="1" t="s">
        <v>41</v>
      </c>
      <c r="D562" s="1" t="s">
        <v>687</v>
      </c>
      <c r="E562" s="1">
        <v>403</v>
      </c>
      <c r="G562" s="1">
        <v>403</v>
      </c>
      <c r="M562" s="1" t="s">
        <v>46</v>
      </c>
      <c r="Q562" s="1" t="s">
        <v>242</v>
      </c>
    </row>
    <row r="563" spans="1:17" ht="15">
      <c r="A563" s="4" t="str">
        <f t="shared" si="8"/>
        <v>562</v>
      </c>
      <c r="B563" s="1" t="s">
        <v>33</v>
      </c>
      <c r="C563" s="1" t="s">
        <v>41</v>
      </c>
      <c r="D563" s="1" t="s">
        <v>687</v>
      </c>
      <c r="E563" s="1">
        <v>301</v>
      </c>
      <c r="G563" s="1">
        <v>301</v>
      </c>
      <c r="M563" s="1" t="s">
        <v>46</v>
      </c>
      <c r="Q563" s="1" t="s">
        <v>243</v>
      </c>
    </row>
    <row r="564" spans="1:17" ht="15">
      <c r="A564" s="4" t="str">
        <f t="shared" si="8"/>
        <v>563</v>
      </c>
      <c r="B564" s="1" t="s">
        <v>33</v>
      </c>
      <c r="C564" s="1" t="s">
        <v>41</v>
      </c>
      <c r="D564" s="1" t="s">
        <v>687</v>
      </c>
      <c r="E564" s="1">
        <v>302</v>
      </c>
      <c r="G564" s="1">
        <v>302</v>
      </c>
      <c r="M564" s="1" t="s">
        <v>46</v>
      </c>
      <c r="Q564" s="1" t="s">
        <v>244</v>
      </c>
    </row>
    <row r="565" spans="1:17" ht="15">
      <c r="A565" s="4" t="str">
        <f t="shared" si="8"/>
        <v>564</v>
      </c>
      <c r="B565" s="1" t="s">
        <v>33</v>
      </c>
      <c r="C565" s="1" t="s">
        <v>41</v>
      </c>
      <c r="D565" s="1" t="s">
        <v>687</v>
      </c>
      <c r="E565" s="1">
        <v>303</v>
      </c>
      <c r="G565" s="1">
        <v>303</v>
      </c>
      <c r="M565" s="1" t="s">
        <v>46</v>
      </c>
      <c r="Q565" s="1" t="s">
        <v>245</v>
      </c>
    </row>
    <row r="566" spans="1:17" ht="15">
      <c r="A566" s="4" t="str">
        <f t="shared" si="8"/>
        <v>565</v>
      </c>
      <c r="B566" s="1" t="s">
        <v>33</v>
      </c>
      <c r="C566" s="1" t="s">
        <v>41</v>
      </c>
      <c r="D566" s="1" t="s">
        <v>687</v>
      </c>
      <c r="E566" s="1">
        <v>201</v>
      </c>
      <c r="G566" s="1">
        <v>201</v>
      </c>
      <c r="M566" s="1" t="s">
        <v>46</v>
      </c>
      <c r="Q566" s="1" t="s">
        <v>246</v>
      </c>
    </row>
    <row r="567" spans="1:17" ht="15">
      <c r="A567" s="4" t="str">
        <f t="shared" si="8"/>
        <v>566</v>
      </c>
      <c r="B567" s="1" t="s">
        <v>33</v>
      </c>
      <c r="C567" s="1" t="s">
        <v>41</v>
      </c>
      <c r="D567" s="1" t="s">
        <v>687</v>
      </c>
      <c r="E567" s="1">
        <v>202</v>
      </c>
      <c r="G567" s="1">
        <v>202</v>
      </c>
      <c r="M567" s="1" t="s">
        <v>46</v>
      </c>
      <c r="Q567" s="1" t="s">
        <v>247</v>
      </c>
    </row>
    <row r="568" spans="1:17" ht="15">
      <c r="A568" s="4" t="str">
        <f t="shared" si="8"/>
        <v>567</v>
      </c>
      <c r="B568" s="1" t="s">
        <v>33</v>
      </c>
      <c r="C568" s="1" t="s">
        <v>41</v>
      </c>
      <c r="D568" s="1" t="s">
        <v>687</v>
      </c>
      <c r="E568" s="1">
        <v>203</v>
      </c>
      <c r="G568" s="1">
        <v>203</v>
      </c>
      <c r="M568" s="1" t="s">
        <v>46</v>
      </c>
      <c r="Q568" s="1" t="s">
        <v>248</v>
      </c>
    </row>
    <row r="569" spans="1:17" ht="15">
      <c r="A569" s="4" t="str">
        <f t="shared" si="8"/>
        <v>568</v>
      </c>
      <c r="B569" s="1" t="s">
        <v>33</v>
      </c>
      <c r="C569" s="1" t="s">
        <v>41</v>
      </c>
      <c r="D569" s="1" t="s">
        <v>687</v>
      </c>
      <c r="E569" s="1">
        <v>101</v>
      </c>
      <c r="G569" s="1">
        <v>101</v>
      </c>
      <c r="M569" s="1" t="s">
        <v>46</v>
      </c>
      <c r="Q569" s="1" t="s">
        <v>249</v>
      </c>
    </row>
    <row r="570" spans="1:17" ht="15">
      <c r="A570" s="4" t="str">
        <f t="shared" si="8"/>
        <v>569</v>
      </c>
      <c r="B570" s="1" t="s">
        <v>33</v>
      </c>
      <c r="C570" s="1" t="s">
        <v>41</v>
      </c>
      <c r="D570" s="1" t="s">
        <v>687</v>
      </c>
      <c r="E570" s="1">
        <v>102</v>
      </c>
      <c r="G570" s="1">
        <v>102</v>
      </c>
      <c r="M570" s="1" t="s">
        <v>46</v>
      </c>
      <c r="Q570" s="1" t="s">
        <v>250</v>
      </c>
    </row>
    <row r="571" spans="1:17" ht="15">
      <c r="A571" s="4" t="str">
        <f t="shared" si="8"/>
        <v>570</v>
      </c>
      <c r="B571" s="1" t="s">
        <v>33</v>
      </c>
      <c r="C571" s="1" t="s">
        <v>41</v>
      </c>
      <c r="D571" s="1" t="s">
        <v>687</v>
      </c>
      <c r="E571" s="1">
        <v>103</v>
      </c>
      <c r="G571" s="1">
        <v>103</v>
      </c>
      <c r="M571" s="1" t="s">
        <v>46</v>
      </c>
      <c r="Q571" s="1" t="s">
        <v>251</v>
      </c>
    </row>
    <row r="572" spans="1:17" ht="15">
      <c r="A572" s="4" t="str">
        <f t="shared" si="8"/>
        <v>571</v>
      </c>
      <c r="B572" s="1" t="s">
        <v>33</v>
      </c>
      <c r="C572" s="1" t="s">
        <v>40</v>
      </c>
      <c r="D572" s="1" t="s">
        <v>686</v>
      </c>
      <c r="E572" s="1">
        <v>601</v>
      </c>
      <c r="G572" s="1">
        <v>601</v>
      </c>
      <c r="M572" s="1" t="s">
        <v>46</v>
      </c>
      <c r="Q572" s="1" t="s">
        <v>187</v>
      </c>
    </row>
    <row r="573" spans="1:17" ht="15">
      <c r="A573" s="4" t="str">
        <f t="shared" si="8"/>
        <v>572</v>
      </c>
      <c r="B573" s="1" t="s">
        <v>33</v>
      </c>
      <c r="C573" s="1" t="s">
        <v>40</v>
      </c>
      <c r="D573" s="1" t="s">
        <v>686</v>
      </c>
      <c r="E573" s="1">
        <v>602</v>
      </c>
      <c r="G573" s="1">
        <v>602</v>
      </c>
      <c r="M573" s="1" t="s">
        <v>46</v>
      </c>
      <c r="Q573" s="1" t="s">
        <v>188</v>
      </c>
    </row>
    <row r="574" spans="1:17" ht="15">
      <c r="A574" s="4" t="str">
        <f t="shared" si="8"/>
        <v>573</v>
      </c>
      <c r="B574" s="1" t="s">
        <v>33</v>
      </c>
      <c r="C574" s="1" t="s">
        <v>40</v>
      </c>
      <c r="D574" s="1" t="s">
        <v>686</v>
      </c>
      <c r="E574" s="1">
        <v>603</v>
      </c>
      <c r="G574" s="1">
        <v>603</v>
      </c>
      <c r="M574" s="1" t="s">
        <v>46</v>
      </c>
      <c r="Q574" s="1" t="s">
        <v>189</v>
      </c>
    </row>
    <row r="575" spans="1:17" ht="15">
      <c r="A575" s="4" t="str">
        <f t="shared" si="8"/>
        <v>574</v>
      </c>
      <c r="B575" s="1" t="s">
        <v>33</v>
      </c>
      <c r="C575" s="1" t="s">
        <v>40</v>
      </c>
      <c r="D575" s="1" t="s">
        <v>686</v>
      </c>
      <c r="E575" s="1">
        <v>501</v>
      </c>
      <c r="G575" s="1">
        <v>501</v>
      </c>
      <c r="M575" s="1" t="s">
        <v>46</v>
      </c>
      <c r="Q575" s="1" t="s">
        <v>190</v>
      </c>
    </row>
    <row r="576" spans="1:17" ht="15">
      <c r="A576" s="4" t="str">
        <f t="shared" si="8"/>
        <v>575</v>
      </c>
      <c r="B576" s="1" t="s">
        <v>33</v>
      </c>
      <c r="C576" s="1" t="s">
        <v>40</v>
      </c>
      <c r="D576" s="1" t="s">
        <v>686</v>
      </c>
      <c r="E576" s="1">
        <v>502</v>
      </c>
      <c r="G576" s="1">
        <v>502</v>
      </c>
      <c r="M576" s="1" t="s">
        <v>46</v>
      </c>
      <c r="Q576" s="1" t="s">
        <v>674</v>
      </c>
    </row>
    <row r="577" spans="1:17" ht="15">
      <c r="A577" s="4" t="str">
        <f t="shared" si="8"/>
        <v>576</v>
      </c>
      <c r="B577" s="1" t="s">
        <v>33</v>
      </c>
      <c r="C577" s="1" t="s">
        <v>40</v>
      </c>
      <c r="D577" s="1" t="s">
        <v>686</v>
      </c>
      <c r="E577" s="1">
        <v>503</v>
      </c>
      <c r="G577" s="1">
        <v>503</v>
      </c>
      <c r="M577" s="1" t="s">
        <v>46</v>
      </c>
      <c r="Q577" s="1" t="s">
        <v>675</v>
      </c>
    </row>
    <row r="578" spans="1:17" ht="15">
      <c r="A578" s="4" t="str">
        <f t="shared" si="8"/>
        <v>577</v>
      </c>
      <c r="B578" s="1" t="s">
        <v>33</v>
      </c>
      <c r="C578" s="1" t="s">
        <v>40</v>
      </c>
      <c r="D578" s="1" t="s">
        <v>686</v>
      </c>
      <c r="E578" s="1">
        <v>401</v>
      </c>
      <c r="G578" s="1">
        <v>401</v>
      </c>
      <c r="M578" s="1" t="s">
        <v>46</v>
      </c>
      <c r="Q578" s="1" t="s">
        <v>191</v>
      </c>
    </row>
    <row r="579" spans="1:17" ht="15">
      <c r="A579" s="4" t="str">
        <f t="shared" ref="A579:A642" si="9">TEXT(ROW(A578),"000")</f>
        <v>578</v>
      </c>
      <c r="B579" s="1" t="s">
        <v>33</v>
      </c>
      <c r="C579" s="1" t="s">
        <v>40</v>
      </c>
      <c r="D579" s="1" t="s">
        <v>686</v>
      </c>
      <c r="E579" s="1">
        <v>402</v>
      </c>
      <c r="G579" s="1">
        <v>402</v>
      </c>
      <c r="M579" s="1" t="s">
        <v>46</v>
      </c>
      <c r="Q579" s="1" t="s">
        <v>676</v>
      </c>
    </row>
    <row r="580" spans="1:17" ht="15">
      <c r="A580" s="4" t="str">
        <f t="shared" si="9"/>
        <v>579</v>
      </c>
      <c r="B580" s="1" t="s">
        <v>33</v>
      </c>
      <c r="C580" s="1" t="s">
        <v>40</v>
      </c>
      <c r="D580" s="1" t="s">
        <v>686</v>
      </c>
      <c r="E580" s="1">
        <v>403</v>
      </c>
      <c r="G580" s="1">
        <v>403</v>
      </c>
      <c r="M580" s="1" t="s">
        <v>46</v>
      </c>
      <c r="Q580" s="1" t="s">
        <v>677</v>
      </c>
    </row>
    <row r="581" spans="1:17" ht="15">
      <c r="A581" s="4" t="str">
        <f t="shared" si="9"/>
        <v>580</v>
      </c>
      <c r="B581" s="1" t="s">
        <v>33</v>
      </c>
      <c r="C581" s="1" t="s">
        <v>40</v>
      </c>
      <c r="D581" s="1" t="s">
        <v>686</v>
      </c>
      <c r="E581" s="1">
        <v>301</v>
      </c>
      <c r="G581" s="1">
        <v>301</v>
      </c>
      <c r="M581" s="1" t="s">
        <v>46</v>
      </c>
      <c r="Q581" s="1" t="s">
        <v>192</v>
      </c>
    </row>
    <row r="582" spans="1:17" ht="15">
      <c r="A582" s="4" t="str">
        <f t="shared" si="9"/>
        <v>581</v>
      </c>
      <c r="B582" s="1" t="s">
        <v>33</v>
      </c>
      <c r="C582" s="1" t="s">
        <v>40</v>
      </c>
      <c r="D582" s="1" t="s">
        <v>686</v>
      </c>
      <c r="E582" s="1">
        <v>302</v>
      </c>
      <c r="G582" s="1">
        <v>302</v>
      </c>
      <c r="M582" s="1" t="s">
        <v>46</v>
      </c>
      <c r="Q582" s="1" t="s">
        <v>193</v>
      </c>
    </row>
    <row r="583" spans="1:17" ht="15">
      <c r="A583" s="4" t="str">
        <f t="shared" si="9"/>
        <v>582</v>
      </c>
      <c r="B583" s="1" t="s">
        <v>33</v>
      </c>
      <c r="C583" s="1" t="s">
        <v>40</v>
      </c>
      <c r="D583" s="1" t="s">
        <v>686</v>
      </c>
      <c r="E583" s="1">
        <v>303</v>
      </c>
      <c r="G583" s="1">
        <v>303</v>
      </c>
      <c r="M583" s="1" t="s">
        <v>46</v>
      </c>
      <c r="Q583" s="1" t="s">
        <v>194</v>
      </c>
    </row>
    <row r="584" spans="1:17" ht="15">
      <c r="A584" s="4" t="str">
        <f t="shared" si="9"/>
        <v>583</v>
      </c>
      <c r="B584" s="1" t="s">
        <v>33</v>
      </c>
      <c r="C584" s="1" t="s">
        <v>40</v>
      </c>
      <c r="D584" s="1" t="s">
        <v>686</v>
      </c>
      <c r="E584" s="1">
        <v>201</v>
      </c>
      <c r="G584" s="1">
        <v>201</v>
      </c>
      <c r="M584" s="1" t="s">
        <v>46</v>
      </c>
      <c r="Q584" s="1" t="s">
        <v>195</v>
      </c>
    </row>
    <row r="585" spans="1:17" ht="15">
      <c r="A585" s="4" t="str">
        <f t="shared" si="9"/>
        <v>584</v>
      </c>
      <c r="B585" s="1" t="s">
        <v>33</v>
      </c>
      <c r="C585" s="1" t="s">
        <v>40</v>
      </c>
      <c r="D585" s="1" t="s">
        <v>686</v>
      </c>
      <c r="E585" s="1">
        <v>202</v>
      </c>
      <c r="G585" s="1">
        <v>202</v>
      </c>
      <c r="M585" s="1" t="s">
        <v>46</v>
      </c>
      <c r="Q585" s="1" t="s">
        <v>196</v>
      </c>
    </row>
    <row r="586" spans="1:17" ht="15">
      <c r="A586" s="4" t="str">
        <f t="shared" si="9"/>
        <v>585</v>
      </c>
      <c r="B586" s="1" t="s">
        <v>33</v>
      </c>
      <c r="C586" s="1" t="s">
        <v>40</v>
      </c>
      <c r="D586" s="1" t="s">
        <v>686</v>
      </c>
      <c r="E586" s="1">
        <v>203</v>
      </c>
      <c r="G586" s="1">
        <v>203</v>
      </c>
      <c r="M586" s="1" t="s">
        <v>46</v>
      </c>
      <c r="Q586" s="1" t="s">
        <v>197</v>
      </c>
    </row>
    <row r="587" spans="1:17" ht="15">
      <c r="A587" s="4" t="str">
        <f t="shared" si="9"/>
        <v>586</v>
      </c>
      <c r="B587" s="1" t="s">
        <v>33</v>
      </c>
      <c r="C587" s="1" t="s">
        <v>40</v>
      </c>
      <c r="D587" s="1" t="s">
        <v>686</v>
      </c>
      <c r="E587" s="1">
        <v>101</v>
      </c>
      <c r="G587" s="1">
        <v>101</v>
      </c>
      <c r="M587" s="1" t="s">
        <v>46</v>
      </c>
      <c r="Q587" s="1" t="s">
        <v>198</v>
      </c>
    </row>
    <row r="588" spans="1:17" ht="15">
      <c r="A588" s="4" t="str">
        <f t="shared" si="9"/>
        <v>587</v>
      </c>
      <c r="B588" s="1" t="s">
        <v>33</v>
      </c>
      <c r="C588" s="1" t="s">
        <v>40</v>
      </c>
      <c r="D588" s="1" t="s">
        <v>686</v>
      </c>
      <c r="E588" s="1">
        <v>102</v>
      </c>
      <c r="G588" s="1">
        <v>102</v>
      </c>
      <c r="M588" s="1" t="s">
        <v>46</v>
      </c>
      <c r="Q588" s="1" t="s">
        <v>199</v>
      </c>
    </row>
    <row r="589" spans="1:17" ht="15">
      <c r="A589" s="4" t="str">
        <f t="shared" si="9"/>
        <v>588</v>
      </c>
      <c r="B589" s="1" t="s">
        <v>33</v>
      </c>
      <c r="C589" s="1" t="s">
        <v>40</v>
      </c>
      <c r="D589" s="1" t="s">
        <v>686</v>
      </c>
      <c r="E589" s="1">
        <v>103</v>
      </c>
      <c r="G589" s="1">
        <v>103</v>
      </c>
      <c r="M589" s="1" t="s">
        <v>46</v>
      </c>
      <c r="Q589" s="1" t="s">
        <v>200</v>
      </c>
    </row>
    <row r="590" spans="1:17" ht="15">
      <c r="A590" s="4" t="str">
        <f t="shared" si="9"/>
        <v>589</v>
      </c>
      <c r="B590" s="1" t="s">
        <v>33</v>
      </c>
      <c r="C590" s="1" t="s">
        <v>40</v>
      </c>
      <c r="D590" s="1" t="s">
        <v>687</v>
      </c>
      <c r="E590" s="1">
        <v>601</v>
      </c>
      <c r="G590" s="1">
        <v>601</v>
      </c>
      <c r="M590" s="1" t="s">
        <v>46</v>
      </c>
      <c r="Q590" s="1" t="s">
        <v>201</v>
      </c>
    </row>
    <row r="591" spans="1:17" ht="15">
      <c r="A591" s="4" t="str">
        <f t="shared" si="9"/>
        <v>590</v>
      </c>
      <c r="B591" s="1" t="s">
        <v>33</v>
      </c>
      <c r="C591" s="1" t="s">
        <v>40</v>
      </c>
      <c r="D591" s="1" t="s">
        <v>687</v>
      </c>
      <c r="E591" s="1">
        <v>602</v>
      </c>
      <c r="G591" s="1">
        <v>602</v>
      </c>
      <c r="M591" s="1" t="s">
        <v>46</v>
      </c>
      <c r="Q591" s="1" t="s">
        <v>202</v>
      </c>
    </row>
    <row r="592" spans="1:17" ht="15">
      <c r="A592" s="4" t="str">
        <f t="shared" si="9"/>
        <v>591</v>
      </c>
      <c r="B592" s="1" t="s">
        <v>33</v>
      </c>
      <c r="C592" s="1" t="s">
        <v>40</v>
      </c>
      <c r="D592" s="1" t="s">
        <v>687</v>
      </c>
      <c r="E592" s="1">
        <v>603</v>
      </c>
      <c r="G592" s="1">
        <v>603</v>
      </c>
      <c r="M592" s="1" t="s">
        <v>46</v>
      </c>
      <c r="Q592" s="1" t="s">
        <v>203</v>
      </c>
    </row>
    <row r="593" spans="1:17" ht="15">
      <c r="A593" s="4" t="str">
        <f t="shared" si="9"/>
        <v>592</v>
      </c>
      <c r="B593" s="1" t="s">
        <v>33</v>
      </c>
      <c r="C593" s="1" t="s">
        <v>40</v>
      </c>
      <c r="D593" s="1" t="s">
        <v>687</v>
      </c>
      <c r="E593" s="1">
        <v>501</v>
      </c>
      <c r="G593" s="1">
        <v>501</v>
      </c>
      <c r="M593" s="1" t="s">
        <v>46</v>
      </c>
      <c r="Q593" s="1" t="s">
        <v>204</v>
      </c>
    </row>
    <row r="594" spans="1:17" ht="15">
      <c r="A594" s="4" t="str">
        <f t="shared" si="9"/>
        <v>593</v>
      </c>
      <c r="B594" s="1" t="s">
        <v>33</v>
      </c>
      <c r="C594" s="1" t="s">
        <v>40</v>
      </c>
      <c r="D594" s="1" t="s">
        <v>687</v>
      </c>
      <c r="E594" s="1">
        <v>502</v>
      </c>
      <c r="G594" s="1">
        <v>502</v>
      </c>
      <c r="M594" s="1" t="s">
        <v>46</v>
      </c>
      <c r="Q594" s="1" t="s">
        <v>205</v>
      </c>
    </row>
    <row r="595" spans="1:17" ht="15">
      <c r="A595" s="4" t="str">
        <f t="shared" si="9"/>
        <v>594</v>
      </c>
      <c r="B595" s="1" t="s">
        <v>33</v>
      </c>
      <c r="C595" s="1" t="s">
        <v>40</v>
      </c>
      <c r="D595" s="1" t="s">
        <v>687</v>
      </c>
      <c r="E595" s="1">
        <v>503</v>
      </c>
      <c r="G595" s="1">
        <v>503</v>
      </c>
      <c r="M595" s="1" t="s">
        <v>46</v>
      </c>
      <c r="Q595" s="1" t="s">
        <v>206</v>
      </c>
    </row>
    <row r="596" spans="1:17" ht="15">
      <c r="A596" s="4" t="str">
        <f t="shared" si="9"/>
        <v>595</v>
      </c>
      <c r="B596" s="1" t="s">
        <v>33</v>
      </c>
      <c r="C596" s="1" t="s">
        <v>40</v>
      </c>
      <c r="D596" s="1" t="s">
        <v>687</v>
      </c>
      <c r="E596" s="1">
        <v>401</v>
      </c>
      <c r="G596" s="1">
        <v>401</v>
      </c>
      <c r="M596" s="1" t="s">
        <v>46</v>
      </c>
      <c r="Q596" s="1" t="s">
        <v>207</v>
      </c>
    </row>
    <row r="597" spans="1:17" ht="15">
      <c r="A597" s="4" t="str">
        <f t="shared" si="9"/>
        <v>596</v>
      </c>
      <c r="B597" s="1" t="s">
        <v>33</v>
      </c>
      <c r="C597" s="1" t="s">
        <v>40</v>
      </c>
      <c r="D597" s="1" t="s">
        <v>687</v>
      </c>
      <c r="E597" s="1">
        <v>402</v>
      </c>
      <c r="G597" s="1">
        <v>402</v>
      </c>
      <c r="M597" s="1" t="s">
        <v>46</v>
      </c>
      <c r="Q597" s="1" t="s">
        <v>208</v>
      </c>
    </row>
    <row r="598" spans="1:17" ht="15">
      <c r="A598" s="4" t="str">
        <f t="shared" si="9"/>
        <v>597</v>
      </c>
      <c r="B598" s="1" t="s">
        <v>33</v>
      </c>
      <c r="C598" s="1" t="s">
        <v>40</v>
      </c>
      <c r="D598" s="1" t="s">
        <v>687</v>
      </c>
      <c r="E598" s="1">
        <v>403</v>
      </c>
      <c r="G598" s="1">
        <v>403</v>
      </c>
      <c r="M598" s="1" t="s">
        <v>46</v>
      </c>
      <c r="Q598" s="1" t="s">
        <v>209</v>
      </c>
    </row>
    <row r="599" spans="1:17" ht="15">
      <c r="A599" s="4" t="str">
        <f t="shared" si="9"/>
        <v>598</v>
      </c>
      <c r="B599" s="1" t="s">
        <v>33</v>
      </c>
      <c r="C599" s="1" t="s">
        <v>40</v>
      </c>
      <c r="D599" s="1" t="s">
        <v>687</v>
      </c>
      <c r="E599" s="1">
        <v>301</v>
      </c>
      <c r="G599" s="1">
        <v>301</v>
      </c>
      <c r="M599" s="1" t="s">
        <v>46</v>
      </c>
      <c r="Q599" s="1" t="s">
        <v>210</v>
      </c>
    </row>
    <row r="600" spans="1:17" ht="15">
      <c r="A600" s="4" t="str">
        <f t="shared" si="9"/>
        <v>599</v>
      </c>
      <c r="B600" s="1" t="s">
        <v>33</v>
      </c>
      <c r="C600" s="1" t="s">
        <v>40</v>
      </c>
      <c r="D600" s="1" t="s">
        <v>687</v>
      </c>
      <c r="E600" s="1">
        <v>302</v>
      </c>
      <c r="G600" s="1">
        <v>302</v>
      </c>
      <c r="M600" s="1" t="s">
        <v>46</v>
      </c>
      <c r="Q600" s="1" t="s">
        <v>211</v>
      </c>
    </row>
    <row r="601" spans="1:17" ht="15">
      <c r="A601" s="4" t="str">
        <f t="shared" si="9"/>
        <v>600</v>
      </c>
      <c r="B601" s="1" t="s">
        <v>33</v>
      </c>
      <c r="C601" s="1" t="s">
        <v>40</v>
      </c>
      <c r="D601" s="1" t="s">
        <v>687</v>
      </c>
      <c r="E601" s="1">
        <v>303</v>
      </c>
      <c r="G601" s="1">
        <v>303</v>
      </c>
      <c r="M601" s="1" t="s">
        <v>46</v>
      </c>
      <c r="Q601" s="1" t="s">
        <v>212</v>
      </c>
    </row>
    <row r="602" spans="1:17" ht="15">
      <c r="A602" s="4" t="str">
        <f t="shared" si="9"/>
        <v>601</v>
      </c>
      <c r="B602" s="1" t="s">
        <v>33</v>
      </c>
      <c r="C602" s="1" t="s">
        <v>40</v>
      </c>
      <c r="D602" s="1" t="s">
        <v>687</v>
      </c>
      <c r="E602" s="1">
        <v>201</v>
      </c>
      <c r="G602" s="1">
        <v>201</v>
      </c>
      <c r="M602" s="1" t="s">
        <v>46</v>
      </c>
      <c r="Q602" s="1" t="s">
        <v>213</v>
      </c>
    </row>
    <row r="603" spans="1:17" ht="15">
      <c r="A603" s="4" t="str">
        <f t="shared" si="9"/>
        <v>602</v>
      </c>
      <c r="B603" s="1" t="s">
        <v>33</v>
      </c>
      <c r="C603" s="1" t="s">
        <v>40</v>
      </c>
      <c r="D603" s="1" t="s">
        <v>687</v>
      </c>
      <c r="E603" s="1">
        <v>202</v>
      </c>
      <c r="G603" s="1">
        <v>202</v>
      </c>
      <c r="M603" s="1" t="s">
        <v>46</v>
      </c>
      <c r="Q603" s="1" t="s">
        <v>214</v>
      </c>
    </row>
    <row r="604" spans="1:17" ht="15">
      <c r="A604" s="4" t="str">
        <f t="shared" si="9"/>
        <v>603</v>
      </c>
      <c r="B604" s="1" t="s">
        <v>33</v>
      </c>
      <c r="C604" s="1" t="s">
        <v>40</v>
      </c>
      <c r="D604" s="1" t="s">
        <v>687</v>
      </c>
      <c r="E604" s="1">
        <v>203</v>
      </c>
      <c r="G604" s="1">
        <v>203</v>
      </c>
      <c r="M604" s="1" t="s">
        <v>46</v>
      </c>
      <c r="Q604" s="1" t="s">
        <v>215</v>
      </c>
    </row>
    <row r="605" spans="1:17" ht="15">
      <c r="A605" s="4" t="str">
        <f t="shared" si="9"/>
        <v>604</v>
      </c>
      <c r="B605" s="1" t="s">
        <v>33</v>
      </c>
      <c r="C605" s="1" t="s">
        <v>40</v>
      </c>
      <c r="D605" s="1" t="s">
        <v>687</v>
      </c>
      <c r="E605" s="1">
        <v>101</v>
      </c>
      <c r="G605" s="1">
        <v>101</v>
      </c>
      <c r="M605" s="1" t="s">
        <v>46</v>
      </c>
      <c r="Q605" s="1" t="s">
        <v>393</v>
      </c>
    </row>
    <row r="606" spans="1:17" ht="15">
      <c r="A606" s="4" t="str">
        <f t="shared" si="9"/>
        <v>605</v>
      </c>
      <c r="B606" s="1" t="s">
        <v>33</v>
      </c>
      <c r="C606" s="1" t="s">
        <v>40</v>
      </c>
      <c r="D606" s="1" t="s">
        <v>687</v>
      </c>
      <c r="E606" s="1">
        <v>102</v>
      </c>
      <c r="G606" s="1">
        <v>102</v>
      </c>
      <c r="M606" s="1" t="s">
        <v>46</v>
      </c>
      <c r="Q606" s="1" t="s">
        <v>393</v>
      </c>
    </row>
    <row r="607" spans="1:17" ht="15">
      <c r="A607" s="4" t="str">
        <f t="shared" si="9"/>
        <v>606</v>
      </c>
      <c r="B607" s="1" t="s">
        <v>33</v>
      </c>
      <c r="C607" s="1" t="s">
        <v>40</v>
      </c>
      <c r="D607" s="1" t="s">
        <v>687</v>
      </c>
      <c r="E607" s="1">
        <v>103</v>
      </c>
      <c r="G607" s="1">
        <v>103</v>
      </c>
      <c r="M607" s="1" t="s">
        <v>46</v>
      </c>
      <c r="Q607" s="1" t="s">
        <v>393</v>
      </c>
    </row>
    <row r="608" spans="1:17" ht="15">
      <c r="A608" s="4" t="str">
        <f t="shared" si="9"/>
        <v>607</v>
      </c>
      <c r="B608" s="1" t="s">
        <v>33</v>
      </c>
      <c r="C608" s="1" t="s">
        <v>39</v>
      </c>
      <c r="D608" s="1" t="s">
        <v>686</v>
      </c>
      <c r="E608" s="1">
        <v>601</v>
      </c>
      <c r="G608" s="1">
        <v>601</v>
      </c>
      <c r="M608" s="1" t="s">
        <v>46</v>
      </c>
      <c r="Q608" s="1" t="s">
        <v>153</v>
      </c>
    </row>
    <row r="609" spans="1:17" ht="15">
      <c r="A609" s="4" t="str">
        <f t="shared" si="9"/>
        <v>608</v>
      </c>
      <c r="B609" s="1" t="s">
        <v>33</v>
      </c>
      <c r="C609" s="1" t="s">
        <v>39</v>
      </c>
      <c r="D609" s="1" t="s">
        <v>686</v>
      </c>
      <c r="E609" s="1">
        <v>602</v>
      </c>
      <c r="G609" s="1">
        <v>602</v>
      </c>
      <c r="M609" s="1" t="s">
        <v>46</v>
      </c>
      <c r="Q609" s="1" t="s">
        <v>154</v>
      </c>
    </row>
    <row r="610" spans="1:17" ht="15">
      <c r="A610" s="4" t="str">
        <f t="shared" si="9"/>
        <v>609</v>
      </c>
      <c r="B610" s="1" t="s">
        <v>33</v>
      </c>
      <c r="C610" s="1" t="s">
        <v>39</v>
      </c>
      <c r="D610" s="1" t="s">
        <v>686</v>
      </c>
      <c r="E610" s="1">
        <v>603</v>
      </c>
      <c r="G610" s="1">
        <v>603</v>
      </c>
      <c r="M610" s="1" t="s">
        <v>46</v>
      </c>
      <c r="Q610" s="1" t="s">
        <v>155</v>
      </c>
    </row>
    <row r="611" spans="1:17" ht="15">
      <c r="A611" s="4" t="str">
        <f t="shared" si="9"/>
        <v>610</v>
      </c>
      <c r="B611" s="1" t="s">
        <v>33</v>
      </c>
      <c r="C611" s="1" t="s">
        <v>39</v>
      </c>
      <c r="D611" s="1" t="s">
        <v>686</v>
      </c>
      <c r="E611" s="1">
        <v>501</v>
      </c>
      <c r="G611" s="1">
        <v>501</v>
      </c>
      <c r="M611" s="1" t="s">
        <v>46</v>
      </c>
      <c r="Q611" s="1" t="s">
        <v>156</v>
      </c>
    </row>
    <row r="612" spans="1:17" ht="15">
      <c r="A612" s="4" t="str">
        <f t="shared" si="9"/>
        <v>611</v>
      </c>
      <c r="B612" s="1" t="s">
        <v>33</v>
      </c>
      <c r="C612" s="1" t="s">
        <v>39</v>
      </c>
      <c r="D612" s="1" t="s">
        <v>686</v>
      </c>
      <c r="E612" s="1">
        <v>502</v>
      </c>
      <c r="G612" s="1">
        <v>502</v>
      </c>
      <c r="M612" s="1" t="s">
        <v>46</v>
      </c>
      <c r="Q612" s="1" t="s">
        <v>678</v>
      </c>
    </row>
    <row r="613" spans="1:17" ht="15">
      <c r="A613" s="4" t="str">
        <f t="shared" si="9"/>
        <v>612</v>
      </c>
      <c r="B613" s="1" t="s">
        <v>33</v>
      </c>
      <c r="C613" s="1" t="s">
        <v>39</v>
      </c>
      <c r="D613" s="1" t="s">
        <v>686</v>
      </c>
      <c r="E613" s="1">
        <v>503</v>
      </c>
      <c r="G613" s="1">
        <v>503</v>
      </c>
      <c r="M613" s="1" t="s">
        <v>46</v>
      </c>
      <c r="Q613" s="1" t="s">
        <v>157</v>
      </c>
    </row>
    <row r="614" spans="1:17" ht="15">
      <c r="A614" s="4" t="str">
        <f t="shared" si="9"/>
        <v>613</v>
      </c>
      <c r="B614" s="1" t="s">
        <v>33</v>
      </c>
      <c r="C614" s="1" t="s">
        <v>39</v>
      </c>
      <c r="D614" s="1" t="s">
        <v>686</v>
      </c>
      <c r="E614" s="1">
        <v>401</v>
      </c>
      <c r="G614" s="1">
        <v>401</v>
      </c>
      <c r="M614" s="1" t="s">
        <v>46</v>
      </c>
      <c r="Q614" s="1" t="s">
        <v>158</v>
      </c>
    </row>
    <row r="615" spans="1:17" ht="15">
      <c r="A615" s="4" t="str">
        <f t="shared" si="9"/>
        <v>614</v>
      </c>
      <c r="B615" s="1" t="s">
        <v>33</v>
      </c>
      <c r="C615" s="1" t="s">
        <v>39</v>
      </c>
      <c r="D615" s="1" t="s">
        <v>686</v>
      </c>
      <c r="E615" s="1">
        <v>402</v>
      </c>
      <c r="G615" s="1">
        <v>402</v>
      </c>
      <c r="M615" s="1" t="s">
        <v>46</v>
      </c>
      <c r="Q615" s="1" t="s">
        <v>159</v>
      </c>
    </row>
    <row r="616" spans="1:17" ht="15">
      <c r="A616" s="4" t="str">
        <f t="shared" si="9"/>
        <v>615</v>
      </c>
      <c r="B616" s="1" t="s">
        <v>33</v>
      </c>
      <c r="C616" s="1" t="s">
        <v>39</v>
      </c>
      <c r="D616" s="1" t="s">
        <v>686</v>
      </c>
      <c r="E616" s="1">
        <v>403</v>
      </c>
      <c r="G616" s="1">
        <v>403</v>
      </c>
      <c r="M616" s="1" t="s">
        <v>46</v>
      </c>
      <c r="Q616" s="1" t="s">
        <v>160</v>
      </c>
    </row>
    <row r="617" spans="1:17" ht="15">
      <c r="A617" s="4" t="str">
        <f t="shared" si="9"/>
        <v>616</v>
      </c>
      <c r="B617" s="1" t="s">
        <v>33</v>
      </c>
      <c r="C617" s="1" t="s">
        <v>39</v>
      </c>
      <c r="D617" s="1" t="s">
        <v>686</v>
      </c>
      <c r="E617" s="1">
        <v>301</v>
      </c>
      <c r="G617" s="1">
        <v>301</v>
      </c>
      <c r="M617" s="1" t="s">
        <v>46</v>
      </c>
      <c r="Q617" s="1" t="s">
        <v>161</v>
      </c>
    </row>
    <row r="618" spans="1:17" ht="15">
      <c r="A618" s="4" t="str">
        <f t="shared" si="9"/>
        <v>617</v>
      </c>
      <c r="B618" s="1" t="s">
        <v>33</v>
      </c>
      <c r="C618" s="1" t="s">
        <v>39</v>
      </c>
      <c r="D618" s="1" t="s">
        <v>686</v>
      </c>
      <c r="E618" s="1">
        <v>302</v>
      </c>
      <c r="G618" s="1">
        <v>302</v>
      </c>
      <c r="M618" s="1" t="s">
        <v>46</v>
      </c>
      <c r="Q618" s="1" t="s">
        <v>162</v>
      </c>
    </row>
    <row r="619" spans="1:17" ht="15">
      <c r="A619" s="4" t="str">
        <f t="shared" si="9"/>
        <v>618</v>
      </c>
      <c r="B619" s="1" t="s">
        <v>33</v>
      </c>
      <c r="C619" s="1" t="s">
        <v>39</v>
      </c>
      <c r="D619" s="1" t="s">
        <v>686</v>
      </c>
      <c r="E619" s="1">
        <v>303</v>
      </c>
      <c r="G619" s="1">
        <v>303</v>
      </c>
      <c r="M619" s="1" t="s">
        <v>46</v>
      </c>
      <c r="Q619" s="1" t="s">
        <v>163</v>
      </c>
    </row>
    <row r="620" spans="1:17" ht="15">
      <c r="A620" s="4" t="str">
        <f t="shared" si="9"/>
        <v>619</v>
      </c>
      <c r="B620" s="1" t="s">
        <v>33</v>
      </c>
      <c r="C620" s="1" t="s">
        <v>39</v>
      </c>
      <c r="D620" s="1" t="s">
        <v>686</v>
      </c>
      <c r="E620" s="1">
        <v>201</v>
      </c>
      <c r="G620" s="1">
        <v>201</v>
      </c>
      <c r="M620" s="1" t="s">
        <v>46</v>
      </c>
      <c r="Q620" s="1" t="s">
        <v>164</v>
      </c>
    </row>
    <row r="621" spans="1:17" ht="15">
      <c r="A621" s="4" t="str">
        <f t="shared" si="9"/>
        <v>620</v>
      </c>
      <c r="B621" s="1" t="s">
        <v>33</v>
      </c>
      <c r="C621" s="1" t="s">
        <v>39</v>
      </c>
      <c r="D621" s="1" t="s">
        <v>686</v>
      </c>
      <c r="E621" s="1">
        <v>202</v>
      </c>
      <c r="G621" s="1">
        <v>202</v>
      </c>
      <c r="M621" s="1" t="s">
        <v>46</v>
      </c>
      <c r="Q621" s="1" t="s">
        <v>165</v>
      </c>
    </row>
    <row r="622" spans="1:17" ht="15">
      <c r="A622" s="4" t="str">
        <f t="shared" si="9"/>
        <v>621</v>
      </c>
      <c r="B622" s="1" t="s">
        <v>33</v>
      </c>
      <c r="C622" s="1" t="s">
        <v>39</v>
      </c>
      <c r="D622" s="1" t="s">
        <v>686</v>
      </c>
      <c r="E622" s="1">
        <v>203</v>
      </c>
      <c r="G622" s="1">
        <v>203</v>
      </c>
      <c r="M622" s="1" t="s">
        <v>46</v>
      </c>
      <c r="Q622" s="1" t="s">
        <v>166</v>
      </c>
    </row>
    <row r="623" spans="1:17" ht="15">
      <c r="A623" s="4" t="str">
        <f t="shared" si="9"/>
        <v>622</v>
      </c>
      <c r="B623" s="1" t="s">
        <v>33</v>
      </c>
      <c r="C623" s="1" t="s">
        <v>39</v>
      </c>
      <c r="D623" s="1" t="s">
        <v>686</v>
      </c>
      <c r="E623" s="1">
        <v>101</v>
      </c>
      <c r="G623" s="1">
        <v>101</v>
      </c>
      <c r="M623" s="1" t="s">
        <v>46</v>
      </c>
      <c r="Q623" s="1" t="s">
        <v>167</v>
      </c>
    </row>
    <row r="624" spans="1:17" ht="15">
      <c r="A624" s="4" t="str">
        <f t="shared" si="9"/>
        <v>623</v>
      </c>
      <c r="B624" s="1" t="s">
        <v>33</v>
      </c>
      <c r="C624" s="1" t="s">
        <v>39</v>
      </c>
      <c r="D624" s="1" t="s">
        <v>686</v>
      </c>
      <c r="E624" s="1">
        <v>102</v>
      </c>
      <c r="G624" s="1">
        <v>102</v>
      </c>
      <c r="M624" s="1" t="s">
        <v>46</v>
      </c>
      <c r="Q624" s="1" t="s">
        <v>168</v>
      </c>
    </row>
    <row r="625" spans="1:17" ht="15">
      <c r="A625" s="4" t="str">
        <f t="shared" si="9"/>
        <v>624</v>
      </c>
      <c r="B625" s="1" t="s">
        <v>33</v>
      </c>
      <c r="C625" s="1" t="s">
        <v>39</v>
      </c>
      <c r="D625" s="1" t="s">
        <v>686</v>
      </c>
      <c r="E625" s="1">
        <v>103</v>
      </c>
      <c r="G625" s="1">
        <v>103</v>
      </c>
      <c r="M625" s="1" t="s">
        <v>46</v>
      </c>
      <c r="Q625" s="1" t="s">
        <v>169</v>
      </c>
    </row>
    <row r="626" spans="1:17" ht="15">
      <c r="A626" s="4" t="str">
        <f t="shared" si="9"/>
        <v>625</v>
      </c>
      <c r="B626" s="1" t="s">
        <v>33</v>
      </c>
      <c r="C626" s="1" t="s">
        <v>39</v>
      </c>
      <c r="D626" s="1" t="s">
        <v>687</v>
      </c>
      <c r="E626" s="1">
        <v>601</v>
      </c>
      <c r="G626" s="1">
        <v>601</v>
      </c>
      <c r="M626" s="1" t="s">
        <v>46</v>
      </c>
      <c r="Q626" s="1" t="s">
        <v>170</v>
      </c>
    </row>
    <row r="627" spans="1:17" ht="15">
      <c r="A627" s="4" t="str">
        <f t="shared" si="9"/>
        <v>626</v>
      </c>
      <c r="B627" s="1" t="s">
        <v>33</v>
      </c>
      <c r="C627" s="1" t="s">
        <v>39</v>
      </c>
      <c r="D627" s="1" t="s">
        <v>687</v>
      </c>
      <c r="E627" s="1">
        <v>602</v>
      </c>
      <c r="G627" s="1">
        <v>602</v>
      </c>
      <c r="M627" s="1" t="s">
        <v>46</v>
      </c>
      <c r="Q627" s="1" t="s">
        <v>171</v>
      </c>
    </row>
    <row r="628" spans="1:17" ht="15">
      <c r="A628" s="4" t="str">
        <f t="shared" si="9"/>
        <v>627</v>
      </c>
      <c r="B628" s="1" t="s">
        <v>33</v>
      </c>
      <c r="C628" s="1" t="s">
        <v>39</v>
      </c>
      <c r="D628" s="1" t="s">
        <v>687</v>
      </c>
      <c r="E628" s="1">
        <v>603</v>
      </c>
      <c r="G628" s="1">
        <v>603</v>
      </c>
      <c r="M628" s="1" t="s">
        <v>46</v>
      </c>
      <c r="Q628" s="1" t="s">
        <v>172</v>
      </c>
    </row>
    <row r="629" spans="1:17" ht="15">
      <c r="A629" s="4" t="str">
        <f t="shared" si="9"/>
        <v>628</v>
      </c>
      <c r="B629" s="1" t="s">
        <v>33</v>
      </c>
      <c r="C629" s="1" t="s">
        <v>39</v>
      </c>
      <c r="D629" s="1" t="s">
        <v>687</v>
      </c>
      <c r="E629" s="1">
        <v>501</v>
      </c>
      <c r="G629" s="1">
        <v>501</v>
      </c>
      <c r="M629" s="1" t="s">
        <v>46</v>
      </c>
      <c r="Q629" s="1" t="s">
        <v>173</v>
      </c>
    </row>
    <row r="630" spans="1:17" ht="15">
      <c r="A630" s="4" t="str">
        <f t="shared" si="9"/>
        <v>629</v>
      </c>
      <c r="B630" s="1" t="s">
        <v>33</v>
      </c>
      <c r="C630" s="1" t="s">
        <v>39</v>
      </c>
      <c r="D630" s="1" t="s">
        <v>687</v>
      </c>
      <c r="E630" s="1">
        <v>502</v>
      </c>
      <c r="G630" s="1">
        <v>502</v>
      </c>
      <c r="M630" s="1" t="s">
        <v>46</v>
      </c>
      <c r="Q630" s="1" t="s">
        <v>174</v>
      </c>
    </row>
    <row r="631" spans="1:17" ht="15">
      <c r="A631" s="4" t="str">
        <f t="shared" si="9"/>
        <v>630</v>
      </c>
      <c r="B631" s="1" t="s">
        <v>33</v>
      </c>
      <c r="C631" s="1" t="s">
        <v>39</v>
      </c>
      <c r="D631" s="1" t="s">
        <v>687</v>
      </c>
      <c r="E631" s="1">
        <v>503</v>
      </c>
      <c r="G631" s="1">
        <v>503</v>
      </c>
      <c r="M631" s="1" t="s">
        <v>46</v>
      </c>
      <c r="Q631" s="1" t="s">
        <v>393</v>
      </c>
    </row>
    <row r="632" spans="1:17" ht="15">
      <c r="A632" s="4" t="str">
        <f t="shared" si="9"/>
        <v>631</v>
      </c>
      <c r="B632" s="1" t="s">
        <v>33</v>
      </c>
      <c r="C632" s="1" t="s">
        <v>39</v>
      </c>
      <c r="D632" s="1" t="s">
        <v>687</v>
      </c>
      <c r="E632" s="1">
        <v>401</v>
      </c>
      <c r="G632" s="1">
        <v>401</v>
      </c>
      <c r="M632" s="1" t="s">
        <v>46</v>
      </c>
      <c r="Q632" s="1" t="s">
        <v>175</v>
      </c>
    </row>
    <row r="633" spans="1:17" ht="15">
      <c r="A633" s="4" t="str">
        <f t="shared" si="9"/>
        <v>632</v>
      </c>
      <c r="B633" s="1" t="s">
        <v>33</v>
      </c>
      <c r="C633" s="1" t="s">
        <v>39</v>
      </c>
      <c r="D633" s="1" t="s">
        <v>687</v>
      </c>
      <c r="E633" s="1">
        <v>402</v>
      </c>
      <c r="G633" s="1">
        <v>402</v>
      </c>
      <c r="M633" s="1" t="s">
        <v>46</v>
      </c>
      <c r="Q633" s="1" t="s">
        <v>176</v>
      </c>
    </row>
    <row r="634" spans="1:17" ht="15">
      <c r="A634" s="4" t="str">
        <f t="shared" si="9"/>
        <v>633</v>
      </c>
      <c r="B634" s="1" t="s">
        <v>33</v>
      </c>
      <c r="C634" s="1" t="s">
        <v>39</v>
      </c>
      <c r="D634" s="1" t="s">
        <v>687</v>
      </c>
      <c r="E634" s="1">
        <v>403</v>
      </c>
      <c r="G634" s="1">
        <v>403</v>
      </c>
      <c r="M634" s="1" t="s">
        <v>46</v>
      </c>
      <c r="Q634" s="1" t="s">
        <v>177</v>
      </c>
    </row>
    <row r="635" spans="1:17" ht="15">
      <c r="A635" s="4" t="str">
        <f t="shared" si="9"/>
        <v>634</v>
      </c>
      <c r="B635" s="1" t="s">
        <v>33</v>
      </c>
      <c r="C635" s="1" t="s">
        <v>39</v>
      </c>
      <c r="D635" s="1" t="s">
        <v>687</v>
      </c>
      <c r="E635" s="1">
        <v>301</v>
      </c>
      <c r="G635" s="1">
        <v>301</v>
      </c>
      <c r="M635" s="1" t="s">
        <v>46</v>
      </c>
      <c r="Q635" s="1" t="s">
        <v>178</v>
      </c>
    </row>
    <row r="636" spans="1:17" ht="15">
      <c r="A636" s="4" t="str">
        <f t="shared" si="9"/>
        <v>635</v>
      </c>
      <c r="B636" s="1" t="s">
        <v>33</v>
      </c>
      <c r="C636" s="1" t="s">
        <v>39</v>
      </c>
      <c r="D636" s="1" t="s">
        <v>687</v>
      </c>
      <c r="E636" s="1">
        <v>302</v>
      </c>
      <c r="G636" s="1">
        <v>302</v>
      </c>
      <c r="M636" s="1" t="s">
        <v>46</v>
      </c>
      <c r="Q636" s="1" t="s">
        <v>179</v>
      </c>
    </row>
    <row r="637" spans="1:17" ht="15">
      <c r="A637" s="4" t="str">
        <f t="shared" si="9"/>
        <v>636</v>
      </c>
      <c r="B637" s="1" t="s">
        <v>33</v>
      </c>
      <c r="C637" s="1" t="s">
        <v>39</v>
      </c>
      <c r="D637" s="1" t="s">
        <v>687</v>
      </c>
      <c r="E637" s="1">
        <v>303</v>
      </c>
      <c r="G637" s="1">
        <v>303</v>
      </c>
      <c r="M637" s="1" t="s">
        <v>46</v>
      </c>
      <c r="Q637" s="1" t="s">
        <v>180</v>
      </c>
    </row>
    <row r="638" spans="1:17" ht="15">
      <c r="A638" s="4" t="str">
        <f t="shared" si="9"/>
        <v>637</v>
      </c>
      <c r="B638" s="1" t="s">
        <v>33</v>
      </c>
      <c r="C638" s="1" t="s">
        <v>39</v>
      </c>
      <c r="D638" s="1" t="s">
        <v>687</v>
      </c>
      <c r="E638" s="1">
        <v>201</v>
      </c>
      <c r="G638" s="1">
        <v>201</v>
      </c>
      <c r="M638" s="1" t="s">
        <v>46</v>
      </c>
      <c r="Q638" s="1" t="s">
        <v>181</v>
      </c>
    </row>
    <row r="639" spans="1:17" ht="15">
      <c r="A639" s="4" t="str">
        <f t="shared" si="9"/>
        <v>638</v>
      </c>
      <c r="B639" s="1" t="s">
        <v>33</v>
      </c>
      <c r="C639" s="1" t="s">
        <v>39</v>
      </c>
      <c r="D639" s="1" t="s">
        <v>687</v>
      </c>
      <c r="E639" s="1">
        <v>202</v>
      </c>
      <c r="G639" s="1">
        <v>202</v>
      </c>
      <c r="M639" s="1" t="s">
        <v>46</v>
      </c>
      <c r="Q639" s="1" t="s">
        <v>182</v>
      </c>
    </row>
    <row r="640" spans="1:17" ht="15">
      <c r="A640" s="4" t="str">
        <f t="shared" si="9"/>
        <v>639</v>
      </c>
      <c r="B640" s="1" t="s">
        <v>33</v>
      </c>
      <c r="C640" s="1" t="s">
        <v>39</v>
      </c>
      <c r="D640" s="1" t="s">
        <v>687</v>
      </c>
      <c r="E640" s="1">
        <v>203</v>
      </c>
      <c r="G640" s="1">
        <v>203</v>
      </c>
      <c r="M640" s="1" t="s">
        <v>46</v>
      </c>
      <c r="Q640" s="1" t="s">
        <v>183</v>
      </c>
    </row>
    <row r="641" spans="1:17" ht="15">
      <c r="A641" s="4" t="str">
        <f t="shared" si="9"/>
        <v>640</v>
      </c>
      <c r="B641" s="1" t="s">
        <v>33</v>
      </c>
      <c r="C641" s="1" t="s">
        <v>39</v>
      </c>
      <c r="D641" s="1" t="s">
        <v>687</v>
      </c>
      <c r="E641" s="1">
        <v>101</v>
      </c>
      <c r="G641" s="1">
        <v>101</v>
      </c>
      <c r="M641" s="1" t="s">
        <v>46</v>
      </c>
      <c r="Q641" s="1" t="s">
        <v>184</v>
      </c>
    </row>
    <row r="642" spans="1:17" ht="15">
      <c r="A642" s="4" t="str">
        <f t="shared" si="9"/>
        <v>641</v>
      </c>
      <c r="B642" s="1" t="s">
        <v>33</v>
      </c>
      <c r="C642" s="1" t="s">
        <v>39</v>
      </c>
      <c r="D642" s="1" t="s">
        <v>687</v>
      </c>
      <c r="E642" s="1">
        <v>102</v>
      </c>
      <c r="G642" s="1">
        <v>102</v>
      </c>
      <c r="M642" s="1" t="s">
        <v>46</v>
      </c>
      <c r="Q642" s="1" t="s">
        <v>185</v>
      </c>
    </row>
    <row r="643" spans="1:17" ht="15">
      <c r="A643" s="4" t="str">
        <f t="shared" ref="A643" si="10">TEXT(ROW(A642),"000")</f>
        <v>642</v>
      </c>
      <c r="B643" s="1" t="s">
        <v>33</v>
      </c>
      <c r="C643" s="1" t="s">
        <v>39</v>
      </c>
      <c r="D643" s="1" t="s">
        <v>687</v>
      </c>
      <c r="E643" s="1">
        <v>103</v>
      </c>
      <c r="G643" s="1">
        <v>103</v>
      </c>
      <c r="M643" s="1" t="s">
        <v>46</v>
      </c>
      <c r="Q643" s="1" t="s">
        <v>186</v>
      </c>
    </row>
  </sheetData>
  <sortState xmlns:xlrd2="http://schemas.microsoft.com/office/spreadsheetml/2017/richdata2" ref="A2:AG317">
    <sortCondition ref="C2:C317" customList="1号楼,2号楼,3号楼,4号楼,5号楼,6号楼,7号楼,8号楼,9号楼,10号楼,11号楼,12号楼,13号楼,14号楼"/>
    <sortCondition ref="D2:D317"/>
    <sortCondition ref="E2:E317"/>
  </sortState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D80E5-5FF6-4931-97E0-FB6B283D4254}">
  <dimension ref="A1:V153"/>
  <sheetViews>
    <sheetView zoomScale="70" zoomScaleNormal="70" workbookViewId="0">
      <selection activeCell="L11" sqref="L11"/>
    </sheetView>
  </sheetViews>
  <sheetFormatPr defaultRowHeight="13.5" outlineLevelCol="1"/>
  <cols>
    <col min="1" max="1" width="15.25" style="1" bestFit="1" customWidth="1"/>
    <col min="2" max="2" width="14.125" style="1" bestFit="1" customWidth="1"/>
    <col min="3" max="3" width="10.75" style="1" bestFit="1" customWidth="1"/>
    <col min="4" max="5" width="7.75" style="1" bestFit="1" customWidth="1"/>
    <col min="6" max="6" width="14.125" style="1" customWidth="1" outlineLevel="1"/>
    <col min="7" max="7" width="17.5" style="1" customWidth="1" outlineLevel="1"/>
    <col min="8" max="8" width="14.125" style="1" customWidth="1" outlineLevel="1"/>
    <col min="9" max="9" width="20.75" style="1" customWidth="1" outlineLevel="1"/>
    <col min="10" max="10" width="14.125" style="1" customWidth="1" outlineLevel="1"/>
    <col min="11" max="11" width="10.75" style="1" customWidth="1" outlineLevel="1"/>
    <col min="12" max="12" width="7.75" style="1" customWidth="1" outlineLevel="1"/>
    <col min="13" max="13" width="14.125" style="1" bestFit="1" customWidth="1"/>
    <col min="14" max="14" width="7.75" style="1" customWidth="1" outlineLevel="1"/>
    <col min="15" max="15" width="50.75" style="1" customWidth="1" outlineLevel="1"/>
    <col min="16" max="16" width="24.125" style="1" customWidth="1" outlineLevel="1"/>
    <col min="17" max="17" width="7.75" style="1" customWidth="1" outlineLevel="1"/>
    <col min="18" max="18" width="20.75" style="1" customWidth="1" outlineLevel="1"/>
    <col min="19" max="19" width="24.125" style="1" customWidth="1" outlineLevel="1"/>
    <col min="20" max="20" width="14.125" style="1" customWidth="1" outlineLevel="1"/>
    <col min="21" max="21" width="19.125" style="1" bestFit="1" customWidth="1"/>
    <col min="22" max="22" width="10.75" style="1" bestFit="1" customWidth="1"/>
    <col min="23" max="16384" width="9" style="1"/>
  </cols>
  <sheetData>
    <row r="1" spans="1:22" s="25" customFormat="1" ht="20.25">
      <c r="A1" s="25" t="s">
        <v>710</v>
      </c>
      <c r="D1" s="27"/>
      <c r="E1" s="27"/>
      <c r="H1" s="26"/>
      <c r="U1" s="26"/>
    </row>
    <row r="2" spans="1:22" s="25" customFormat="1" ht="20.25">
      <c r="D2" s="27"/>
      <c r="E2" s="27"/>
      <c r="H2" s="26"/>
      <c r="U2" s="26"/>
    </row>
    <row r="3" spans="1:22" s="31" customFormat="1" ht="22.5">
      <c r="A3" s="32" t="s">
        <v>1</v>
      </c>
      <c r="B3" s="32" t="s">
        <v>2</v>
      </c>
      <c r="C3" s="32" t="s">
        <v>3</v>
      </c>
      <c r="D3" s="34" t="s">
        <v>4</v>
      </c>
      <c r="E3" s="34" t="s">
        <v>709</v>
      </c>
      <c r="F3" s="32" t="s">
        <v>708</v>
      </c>
      <c r="G3" s="32" t="s">
        <v>707</v>
      </c>
      <c r="H3" s="33" t="s">
        <v>10</v>
      </c>
      <c r="I3" s="32" t="s">
        <v>706</v>
      </c>
      <c r="J3" s="32" t="s">
        <v>705</v>
      </c>
      <c r="K3" s="32" t="s">
        <v>704</v>
      </c>
      <c r="L3" s="32" t="s">
        <v>15</v>
      </c>
      <c r="M3" s="33" t="s">
        <v>703</v>
      </c>
      <c r="N3" s="32" t="s">
        <v>702</v>
      </c>
      <c r="O3" s="32" t="s">
        <v>17</v>
      </c>
      <c r="P3" s="32" t="s">
        <v>19</v>
      </c>
      <c r="Q3" s="32" t="s">
        <v>15</v>
      </c>
      <c r="R3" s="32" t="s">
        <v>701</v>
      </c>
      <c r="S3" s="32" t="s">
        <v>700</v>
      </c>
      <c r="T3" s="32" t="s">
        <v>699</v>
      </c>
      <c r="U3" s="33" t="s">
        <v>698</v>
      </c>
      <c r="V3" s="32" t="s">
        <v>690</v>
      </c>
    </row>
    <row r="4" spans="1:22" s="28" customFormat="1" ht="22.5">
      <c r="A4" s="32" t="s">
        <v>697</v>
      </c>
      <c r="B4" s="32" t="str">
        <f>数据库!B2&amp;"号楼"</f>
        <v>1号楼</v>
      </c>
      <c r="C4" s="32" t="str">
        <f>NUMBERSTRING(数据库!C2,3)&amp;"单元"</f>
        <v>一单元</v>
      </c>
      <c r="D4" s="32">
        <f>数据库!D2</f>
        <v>101</v>
      </c>
      <c r="E4" s="32">
        <f>D4</f>
        <v>101</v>
      </c>
      <c r="F4" s="32"/>
      <c r="G4" s="32"/>
      <c r="H4" s="33" t="s">
        <v>696</v>
      </c>
      <c r="I4" s="29"/>
      <c r="J4" s="29"/>
      <c r="K4" s="29"/>
      <c r="L4" s="29"/>
      <c r="M4" s="18" t="str">
        <f>数据库!E2</f>
        <v>40187177</v>
      </c>
      <c r="N4" s="29" t="s">
        <v>695</v>
      </c>
      <c r="O4" s="32" t="s">
        <v>694</v>
      </c>
      <c r="P4" s="29" t="s">
        <v>693</v>
      </c>
      <c r="Q4" s="29"/>
      <c r="R4" s="29" t="s">
        <v>692</v>
      </c>
      <c r="S4" s="29" t="s">
        <v>691</v>
      </c>
      <c r="T4" s="29"/>
      <c r="U4" s="18">
        <f>数据库!I2</f>
        <v>0</v>
      </c>
      <c r="V4" s="35" t="s">
        <v>711</v>
      </c>
    </row>
    <row r="5" spans="1:22" ht="22.5">
      <c r="A5" s="32" t="s">
        <v>697</v>
      </c>
      <c r="B5" s="32" t="str">
        <f>数据库!B3&amp;"号楼"</f>
        <v>1号楼</v>
      </c>
      <c r="C5" s="32" t="str">
        <f>NUMBERSTRING(数据库!C3,3)&amp;"单元"</f>
        <v>一单元</v>
      </c>
      <c r="D5" s="32">
        <f>数据库!D3</f>
        <v>104</v>
      </c>
      <c r="E5" s="32">
        <f t="shared" ref="E5:E68" si="0">D5</f>
        <v>104</v>
      </c>
      <c r="F5" s="32"/>
      <c r="G5" s="32"/>
      <c r="H5" s="33" t="s">
        <v>696</v>
      </c>
      <c r="I5" s="29"/>
      <c r="J5" s="29"/>
      <c r="K5" s="29"/>
      <c r="L5" s="29"/>
      <c r="M5" s="18" t="str">
        <f>数据库!E3</f>
        <v>40131811</v>
      </c>
      <c r="N5" s="29" t="s">
        <v>695</v>
      </c>
      <c r="O5" s="32" t="s">
        <v>694</v>
      </c>
      <c r="P5" s="29" t="s">
        <v>693</v>
      </c>
      <c r="Q5" s="29"/>
      <c r="R5" s="29" t="s">
        <v>692</v>
      </c>
      <c r="S5" s="29" t="s">
        <v>691</v>
      </c>
      <c r="T5" s="29"/>
      <c r="U5" s="18">
        <f>数据库!I3</f>
        <v>0</v>
      </c>
      <c r="V5" s="35" t="s">
        <v>711</v>
      </c>
    </row>
    <row r="6" spans="1:22" ht="22.5">
      <c r="A6" s="32" t="s">
        <v>697</v>
      </c>
      <c r="B6" s="32" t="str">
        <f>数据库!B4&amp;"号楼"</f>
        <v>1号楼</v>
      </c>
      <c r="C6" s="32" t="str">
        <f>NUMBERSTRING(数据库!C4,3)&amp;"单元"</f>
        <v>一单元</v>
      </c>
      <c r="D6" s="32">
        <f>数据库!D4</f>
        <v>601</v>
      </c>
      <c r="E6" s="32">
        <f t="shared" si="0"/>
        <v>601</v>
      </c>
      <c r="F6" s="32"/>
      <c r="G6" s="32"/>
      <c r="H6" s="33" t="s">
        <v>696</v>
      </c>
      <c r="I6" s="29"/>
      <c r="J6" s="29"/>
      <c r="K6" s="29"/>
      <c r="L6" s="29"/>
      <c r="M6" s="18" t="str">
        <f>数据库!E4</f>
        <v>40169100</v>
      </c>
      <c r="N6" s="29" t="s">
        <v>695</v>
      </c>
      <c r="O6" s="32" t="s">
        <v>694</v>
      </c>
      <c r="P6" s="29" t="s">
        <v>693</v>
      </c>
      <c r="Q6" s="29"/>
      <c r="R6" s="29" t="s">
        <v>692</v>
      </c>
      <c r="S6" s="29" t="s">
        <v>691</v>
      </c>
      <c r="T6" s="29"/>
      <c r="U6" s="18">
        <f>数据库!I4</f>
        <v>0</v>
      </c>
      <c r="V6" s="35" t="s">
        <v>711</v>
      </c>
    </row>
    <row r="7" spans="1:22" ht="22.5">
      <c r="A7" s="32" t="s">
        <v>697</v>
      </c>
      <c r="B7" s="32" t="str">
        <f>数据库!B5&amp;"号楼"</f>
        <v>1号楼</v>
      </c>
      <c r="C7" s="32" t="str">
        <f>NUMBERSTRING(数据库!C5,3)&amp;"单元"</f>
        <v>一单元</v>
      </c>
      <c r="D7" s="32">
        <f>数据库!D5</f>
        <v>604</v>
      </c>
      <c r="E7" s="32">
        <f t="shared" si="0"/>
        <v>604</v>
      </c>
      <c r="F7" s="32"/>
      <c r="G7" s="32"/>
      <c r="H7" s="33" t="s">
        <v>696</v>
      </c>
      <c r="I7" s="29"/>
      <c r="J7" s="29"/>
      <c r="K7" s="29"/>
      <c r="L7" s="29"/>
      <c r="M7" s="18" t="str">
        <f>数据库!E5</f>
        <v>40185486</v>
      </c>
      <c r="N7" s="29" t="s">
        <v>695</v>
      </c>
      <c r="O7" s="32" t="s">
        <v>694</v>
      </c>
      <c r="P7" s="29" t="s">
        <v>693</v>
      </c>
      <c r="Q7" s="29"/>
      <c r="R7" s="29" t="s">
        <v>692</v>
      </c>
      <c r="S7" s="29" t="s">
        <v>691</v>
      </c>
      <c r="T7" s="29"/>
      <c r="U7" s="18">
        <f>数据库!I5</f>
        <v>0</v>
      </c>
      <c r="V7" s="35" t="s">
        <v>711</v>
      </c>
    </row>
    <row r="8" spans="1:22" ht="22.5">
      <c r="A8" s="32" t="s">
        <v>697</v>
      </c>
      <c r="B8" s="32" t="str">
        <f>数据库!B6&amp;"号楼"</f>
        <v>1号楼</v>
      </c>
      <c r="C8" s="32" t="str">
        <f>NUMBERSTRING(数据库!C6,3)&amp;"单元"</f>
        <v>二单元</v>
      </c>
      <c r="D8" s="32">
        <f>数据库!D6</f>
        <v>101</v>
      </c>
      <c r="E8" s="32">
        <f t="shared" si="0"/>
        <v>101</v>
      </c>
      <c r="F8" s="32"/>
      <c r="G8" s="32"/>
      <c r="H8" s="33" t="s">
        <v>696</v>
      </c>
      <c r="I8" s="29"/>
      <c r="J8" s="29"/>
      <c r="K8" s="29"/>
      <c r="L8" s="29"/>
      <c r="M8" s="18" t="str">
        <f>数据库!E6</f>
        <v>40206787</v>
      </c>
      <c r="N8" s="29" t="s">
        <v>695</v>
      </c>
      <c r="O8" s="32" t="s">
        <v>694</v>
      </c>
      <c r="P8" s="29" t="s">
        <v>693</v>
      </c>
      <c r="Q8" s="29"/>
      <c r="R8" s="29" t="s">
        <v>692</v>
      </c>
      <c r="S8" s="29" t="s">
        <v>691</v>
      </c>
      <c r="T8" s="29"/>
      <c r="U8" s="18">
        <f>数据库!I6</f>
        <v>0</v>
      </c>
      <c r="V8" s="35" t="s">
        <v>711</v>
      </c>
    </row>
    <row r="9" spans="1:22" ht="22.5">
      <c r="A9" s="32" t="s">
        <v>697</v>
      </c>
      <c r="B9" s="32" t="str">
        <f>数据库!B7&amp;"号楼"</f>
        <v>1号楼</v>
      </c>
      <c r="C9" s="32" t="str">
        <f>NUMBERSTRING(数据库!C7,3)&amp;"单元"</f>
        <v>二单元</v>
      </c>
      <c r="D9" s="32">
        <f>数据库!D7</f>
        <v>104</v>
      </c>
      <c r="E9" s="32">
        <f t="shared" si="0"/>
        <v>104</v>
      </c>
      <c r="F9" s="32"/>
      <c r="G9" s="32"/>
      <c r="H9" s="33" t="s">
        <v>696</v>
      </c>
      <c r="I9" s="29"/>
      <c r="J9" s="29"/>
      <c r="K9" s="29"/>
      <c r="L9" s="29"/>
      <c r="M9" s="18" t="str">
        <f>数据库!E7</f>
        <v>40133957</v>
      </c>
      <c r="N9" s="29" t="s">
        <v>695</v>
      </c>
      <c r="O9" s="32" t="s">
        <v>694</v>
      </c>
      <c r="P9" s="29" t="s">
        <v>693</v>
      </c>
      <c r="Q9" s="29"/>
      <c r="R9" s="29" t="s">
        <v>692</v>
      </c>
      <c r="S9" s="29" t="s">
        <v>691</v>
      </c>
      <c r="T9" s="29"/>
      <c r="U9" s="18">
        <f>数据库!I7</f>
        <v>0</v>
      </c>
      <c r="V9" s="35" t="s">
        <v>711</v>
      </c>
    </row>
    <row r="10" spans="1:22" ht="22.5">
      <c r="A10" s="32" t="s">
        <v>697</v>
      </c>
      <c r="B10" s="32" t="str">
        <f>数据库!B8&amp;"号楼"</f>
        <v>1号楼</v>
      </c>
      <c r="C10" s="32" t="str">
        <f>NUMBERSTRING(数据库!C8,3)&amp;"单元"</f>
        <v>二单元</v>
      </c>
      <c r="D10" s="32">
        <f>数据库!D8</f>
        <v>601</v>
      </c>
      <c r="E10" s="32">
        <f t="shared" si="0"/>
        <v>601</v>
      </c>
      <c r="F10" s="32"/>
      <c r="G10" s="32"/>
      <c r="H10" s="33" t="s">
        <v>696</v>
      </c>
      <c r="I10" s="29"/>
      <c r="J10" s="29"/>
      <c r="K10" s="29"/>
      <c r="L10" s="29"/>
      <c r="M10" s="18" t="str">
        <f>数据库!E8</f>
        <v>40118966</v>
      </c>
      <c r="N10" s="29" t="s">
        <v>695</v>
      </c>
      <c r="O10" s="32" t="s">
        <v>694</v>
      </c>
      <c r="P10" s="29" t="s">
        <v>693</v>
      </c>
      <c r="Q10" s="29"/>
      <c r="R10" s="29" t="s">
        <v>692</v>
      </c>
      <c r="S10" s="29" t="s">
        <v>691</v>
      </c>
      <c r="T10" s="29"/>
      <c r="U10" s="18">
        <f>数据库!I8</f>
        <v>0</v>
      </c>
      <c r="V10" s="35" t="s">
        <v>711</v>
      </c>
    </row>
    <row r="11" spans="1:22" ht="22.5">
      <c r="A11" s="32" t="s">
        <v>697</v>
      </c>
      <c r="B11" s="32" t="str">
        <f>数据库!B9&amp;"号楼"</f>
        <v>1号楼</v>
      </c>
      <c r="C11" s="32" t="str">
        <f>NUMBERSTRING(数据库!C9,3)&amp;"单元"</f>
        <v>二单元</v>
      </c>
      <c r="D11" s="32">
        <f>数据库!D9</f>
        <v>604</v>
      </c>
      <c r="E11" s="32">
        <f t="shared" si="0"/>
        <v>604</v>
      </c>
      <c r="F11" s="32"/>
      <c r="G11" s="32"/>
      <c r="H11" s="33" t="s">
        <v>696</v>
      </c>
      <c r="I11" s="29"/>
      <c r="J11" s="29"/>
      <c r="K11" s="29"/>
      <c r="L11" s="29"/>
      <c r="M11" s="18" t="str">
        <f>数据库!E9</f>
        <v>40118685</v>
      </c>
      <c r="N11" s="29" t="s">
        <v>695</v>
      </c>
      <c r="O11" s="32" t="s">
        <v>694</v>
      </c>
      <c r="P11" s="29" t="s">
        <v>693</v>
      </c>
      <c r="Q11" s="29"/>
      <c r="R11" s="29" t="s">
        <v>692</v>
      </c>
      <c r="S11" s="29" t="s">
        <v>691</v>
      </c>
      <c r="T11" s="29"/>
      <c r="U11" s="18">
        <f>数据库!I9</f>
        <v>0</v>
      </c>
      <c r="V11" s="35" t="s">
        <v>711</v>
      </c>
    </row>
    <row r="12" spans="1:22" ht="22.5">
      <c r="A12" s="32" t="s">
        <v>697</v>
      </c>
      <c r="B12" s="32" t="str">
        <f>数据库!B10&amp;"号楼"</f>
        <v>1号楼</v>
      </c>
      <c r="C12" s="32" t="str">
        <f>NUMBERSTRING(数据库!C10,3)&amp;"单元"</f>
        <v>三单元</v>
      </c>
      <c r="D12" s="32">
        <f>数据库!D10</f>
        <v>101</v>
      </c>
      <c r="E12" s="32">
        <f t="shared" si="0"/>
        <v>101</v>
      </c>
      <c r="F12" s="32"/>
      <c r="G12" s="32"/>
      <c r="H12" s="33" t="s">
        <v>696</v>
      </c>
      <c r="I12" s="29"/>
      <c r="J12" s="29"/>
      <c r="K12" s="29"/>
      <c r="L12" s="29"/>
      <c r="M12" s="18" t="str">
        <f>数据库!E10</f>
        <v>40198380</v>
      </c>
      <c r="N12" s="29" t="s">
        <v>695</v>
      </c>
      <c r="O12" s="32" t="s">
        <v>694</v>
      </c>
      <c r="P12" s="29" t="s">
        <v>693</v>
      </c>
      <c r="Q12" s="29"/>
      <c r="R12" s="29" t="s">
        <v>692</v>
      </c>
      <c r="S12" s="29" t="s">
        <v>691</v>
      </c>
      <c r="T12" s="29"/>
      <c r="U12" s="18">
        <f>数据库!I10</f>
        <v>0</v>
      </c>
      <c r="V12" s="35" t="s">
        <v>711</v>
      </c>
    </row>
    <row r="13" spans="1:22" ht="22.5">
      <c r="A13" s="32" t="s">
        <v>697</v>
      </c>
      <c r="B13" s="32" t="str">
        <f>数据库!B11&amp;"号楼"</f>
        <v>1号楼</v>
      </c>
      <c r="C13" s="32" t="str">
        <f>NUMBERSTRING(数据库!C11,3)&amp;"单元"</f>
        <v>三单元</v>
      </c>
      <c r="D13" s="32">
        <f>数据库!D11</f>
        <v>104</v>
      </c>
      <c r="E13" s="32">
        <f t="shared" si="0"/>
        <v>104</v>
      </c>
      <c r="F13" s="32"/>
      <c r="G13" s="32"/>
      <c r="H13" s="33" t="s">
        <v>696</v>
      </c>
      <c r="I13" s="29"/>
      <c r="J13" s="29"/>
      <c r="K13" s="29"/>
      <c r="L13" s="29"/>
      <c r="M13" s="18" t="str">
        <f>数据库!E11</f>
        <v>40177038</v>
      </c>
      <c r="N13" s="29" t="s">
        <v>695</v>
      </c>
      <c r="O13" s="32" t="s">
        <v>694</v>
      </c>
      <c r="P13" s="29" t="s">
        <v>693</v>
      </c>
      <c r="Q13" s="29"/>
      <c r="R13" s="29" t="s">
        <v>692</v>
      </c>
      <c r="S13" s="29" t="s">
        <v>691</v>
      </c>
      <c r="T13" s="29"/>
      <c r="U13" s="18">
        <f>数据库!I11</f>
        <v>0</v>
      </c>
      <c r="V13" s="35" t="s">
        <v>711</v>
      </c>
    </row>
    <row r="14" spans="1:22" ht="22.5">
      <c r="A14" s="32" t="s">
        <v>697</v>
      </c>
      <c r="B14" s="32" t="str">
        <f>数据库!B12&amp;"号楼"</f>
        <v>1号楼</v>
      </c>
      <c r="C14" s="32" t="str">
        <f>NUMBERSTRING(数据库!C12,3)&amp;"单元"</f>
        <v>三单元</v>
      </c>
      <c r="D14" s="32">
        <f>数据库!D12</f>
        <v>601</v>
      </c>
      <c r="E14" s="32">
        <f t="shared" si="0"/>
        <v>601</v>
      </c>
      <c r="F14" s="32"/>
      <c r="G14" s="32"/>
      <c r="H14" s="33" t="s">
        <v>696</v>
      </c>
      <c r="I14" s="29"/>
      <c r="J14" s="29"/>
      <c r="K14" s="29"/>
      <c r="L14" s="29"/>
      <c r="M14" s="18" t="str">
        <f>数据库!E12</f>
        <v>40205771</v>
      </c>
      <c r="N14" s="29" t="s">
        <v>695</v>
      </c>
      <c r="O14" s="32" t="s">
        <v>694</v>
      </c>
      <c r="P14" s="29" t="s">
        <v>693</v>
      </c>
      <c r="Q14" s="29"/>
      <c r="R14" s="29" t="s">
        <v>692</v>
      </c>
      <c r="S14" s="29" t="s">
        <v>691</v>
      </c>
      <c r="T14" s="29"/>
      <c r="U14" s="18">
        <f>数据库!I12</f>
        <v>0</v>
      </c>
      <c r="V14" s="35" t="s">
        <v>711</v>
      </c>
    </row>
    <row r="15" spans="1:22" ht="22.5">
      <c r="A15" s="32" t="s">
        <v>697</v>
      </c>
      <c r="B15" s="32" t="str">
        <f>数据库!B13&amp;"号楼"</f>
        <v>1号楼</v>
      </c>
      <c r="C15" s="32" t="str">
        <f>NUMBERSTRING(数据库!C13,3)&amp;"单元"</f>
        <v>三单元</v>
      </c>
      <c r="D15" s="32">
        <f>数据库!D13</f>
        <v>604</v>
      </c>
      <c r="E15" s="32">
        <f t="shared" si="0"/>
        <v>604</v>
      </c>
      <c r="F15" s="32"/>
      <c r="G15" s="32"/>
      <c r="H15" s="33" t="s">
        <v>696</v>
      </c>
      <c r="I15" s="29"/>
      <c r="J15" s="29"/>
      <c r="K15" s="29"/>
      <c r="L15" s="29"/>
      <c r="M15" s="18" t="str">
        <f>数据库!E13</f>
        <v>40174175</v>
      </c>
      <c r="N15" s="29" t="s">
        <v>695</v>
      </c>
      <c r="O15" s="32" t="s">
        <v>694</v>
      </c>
      <c r="P15" s="29" t="s">
        <v>693</v>
      </c>
      <c r="Q15" s="29"/>
      <c r="R15" s="29" t="s">
        <v>692</v>
      </c>
      <c r="S15" s="29" t="s">
        <v>691</v>
      </c>
      <c r="T15" s="29"/>
      <c r="U15" s="18">
        <f>数据库!I13</f>
        <v>0</v>
      </c>
      <c r="V15" s="35" t="s">
        <v>711</v>
      </c>
    </row>
    <row r="16" spans="1:22" ht="22.5">
      <c r="A16" s="32" t="s">
        <v>697</v>
      </c>
      <c r="B16" s="32" t="str">
        <f>数据库!B14&amp;"号楼"</f>
        <v>2号楼</v>
      </c>
      <c r="C16" s="32" t="str">
        <f>NUMBERSTRING(数据库!C14,3)&amp;"单元"</f>
        <v>一单元</v>
      </c>
      <c r="D16" s="32">
        <f>数据库!D14</f>
        <v>201</v>
      </c>
      <c r="E16" s="32">
        <f t="shared" si="0"/>
        <v>201</v>
      </c>
      <c r="F16" s="32"/>
      <c r="G16" s="32"/>
      <c r="H16" s="33" t="s">
        <v>696</v>
      </c>
      <c r="I16" s="29"/>
      <c r="J16" s="29"/>
      <c r="K16" s="29"/>
      <c r="L16" s="29"/>
      <c r="M16" s="18" t="str">
        <f>数据库!E14</f>
        <v>40168490</v>
      </c>
      <c r="N16" s="29" t="s">
        <v>695</v>
      </c>
      <c r="O16" s="32" t="s">
        <v>694</v>
      </c>
      <c r="P16" s="29" t="s">
        <v>693</v>
      </c>
      <c r="Q16" s="29"/>
      <c r="R16" s="29" t="s">
        <v>692</v>
      </c>
      <c r="S16" s="29" t="s">
        <v>691</v>
      </c>
      <c r="T16" s="29"/>
      <c r="U16" s="18">
        <f>数据库!I14</f>
        <v>0</v>
      </c>
      <c r="V16" s="35" t="s">
        <v>711</v>
      </c>
    </row>
    <row r="17" spans="1:22" ht="22.5">
      <c r="A17" s="32" t="s">
        <v>697</v>
      </c>
      <c r="B17" s="32" t="str">
        <f>数据库!B15&amp;"号楼"</f>
        <v>2号楼</v>
      </c>
      <c r="C17" s="32" t="str">
        <f>NUMBERSTRING(数据库!C15,3)&amp;"单元"</f>
        <v>一单元</v>
      </c>
      <c r="D17" s="32">
        <f>数据库!D15</f>
        <v>204</v>
      </c>
      <c r="E17" s="32">
        <f t="shared" si="0"/>
        <v>204</v>
      </c>
      <c r="F17" s="32"/>
      <c r="G17" s="32"/>
      <c r="H17" s="33" t="s">
        <v>696</v>
      </c>
      <c r="I17" s="29"/>
      <c r="J17" s="29"/>
      <c r="K17" s="29"/>
      <c r="L17" s="29"/>
      <c r="M17" s="18" t="str">
        <f>数据库!E15</f>
        <v>40132660</v>
      </c>
      <c r="N17" s="29" t="s">
        <v>695</v>
      </c>
      <c r="O17" s="32" t="s">
        <v>694</v>
      </c>
      <c r="P17" s="29" t="s">
        <v>693</v>
      </c>
      <c r="Q17" s="29"/>
      <c r="R17" s="29" t="s">
        <v>692</v>
      </c>
      <c r="S17" s="29" t="s">
        <v>691</v>
      </c>
      <c r="T17" s="29"/>
      <c r="U17" s="18">
        <f>数据库!I15</f>
        <v>0</v>
      </c>
      <c r="V17" s="35" t="s">
        <v>711</v>
      </c>
    </row>
    <row r="18" spans="1:22" ht="22.5">
      <c r="A18" s="32" t="s">
        <v>697</v>
      </c>
      <c r="B18" s="32" t="str">
        <f>数据库!B16&amp;"号楼"</f>
        <v>2号楼</v>
      </c>
      <c r="C18" s="32" t="str">
        <f>NUMBERSTRING(数据库!C16,3)&amp;"单元"</f>
        <v>一单元</v>
      </c>
      <c r="D18" s="32">
        <f>数据库!D16</f>
        <v>501</v>
      </c>
      <c r="E18" s="32">
        <f t="shared" si="0"/>
        <v>501</v>
      </c>
      <c r="F18" s="32"/>
      <c r="G18" s="32"/>
      <c r="H18" s="33" t="s">
        <v>696</v>
      </c>
      <c r="I18" s="29"/>
      <c r="J18" s="29"/>
      <c r="K18" s="29"/>
      <c r="L18" s="29"/>
      <c r="M18" s="18" t="str">
        <f>数据库!E16</f>
        <v>40165199</v>
      </c>
      <c r="N18" s="29" t="s">
        <v>695</v>
      </c>
      <c r="O18" s="32" t="s">
        <v>694</v>
      </c>
      <c r="P18" s="29" t="s">
        <v>693</v>
      </c>
      <c r="Q18" s="29"/>
      <c r="R18" s="29" t="s">
        <v>692</v>
      </c>
      <c r="S18" s="29" t="s">
        <v>691</v>
      </c>
      <c r="T18" s="29"/>
      <c r="U18" s="18">
        <f>数据库!I16</f>
        <v>0</v>
      </c>
      <c r="V18" s="35" t="s">
        <v>711</v>
      </c>
    </row>
    <row r="19" spans="1:22" ht="22.5">
      <c r="A19" s="32" t="s">
        <v>697</v>
      </c>
      <c r="B19" s="32" t="str">
        <f>数据库!B17&amp;"号楼"</f>
        <v>2号楼</v>
      </c>
      <c r="C19" s="32" t="str">
        <f>NUMBERSTRING(数据库!C17,3)&amp;"单元"</f>
        <v>一单元</v>
      </c>
      <c r="D19" s="32">
        <f>数据库!D17</f>
        <v>504</v>
      </c>
      <c r="E19" s="32">
        <f t="shared" si="0"/>
        <v>504</v>
      </c>
      <c r="F19" s="32"/>
      <c r="G19" s="32"/>
      <c r="H19" s="33" t="s">
        <v>696</v>
      </c>
      <c r="I19" s="29"/>
      <c r="J19" s="29"/>
      <c r="K19" s="29"/>
      <c r="L19" s="29"/>
      <c r="M19" s="18" t="str">
        <f>数据库!E17</f>
        <v>40179000</v>
      </c>
      <c r="N19" s="29" t="s">
        <v>695</v>
      </c>
      <c r="O19" s="32" t="s">
        <v>694</v>
      </c>
      <c r="P19" s="29" t="s">
        <v>693</v>
      </c>
      <c r="Q19" s="29"/>
      <c r="R19" s="29" t="s">
        <v>692</v>
      </c>
      <c r="S19" s="29" t="s">
        <v>691</v>
      </c>
      <c r="T19" s="29"/>
      <c r="U19" s="18">
        <f>数据库!I17</f>
        <v>0</v>
      </c>
      <c r="V19" s="35" t="s">
        <v>711</v>
      </c>
    </row>
    <row r="20" spans="1:22" ht="22.5">
      <c r="A20" s="32" t="s">
        <v>697</v>
      </c>
      <c r="B20" s="32" t="str">
        <f>数据库!B18&amp;"号楼"</f>
        <v>2号楼</v>
      </c>
      <c r="C20" s="32" t="str">
        <f>NUMBERSTRING(数据库!C18,3)&amp;"单元"</f>
        <v>二单元</v>
      </c>
      <c r="D20" s="32">
        <f>数据库!D18</f>
        <v>201</v>
      </c>
      <c r="E20" s="32">
        <f t="shared" si="0"/>
        <v>201</v>
      </c>
      <c r="F20" s="32"/>
      <c r="G20" s="32"/>
      <c r="H20" s="33" t="s">
        <v>696</v>
      </c>
      <c r="I20" s="29"/>
      <c r="J20" s="29"/>
      <c r="K20" s="29"/>
      <c r="L20" s="29"/>
      <c r="M20" s="18" t="str">
        <f>数据库!E18</f>
        <v>40161701</v>
      </c>
      <c r="N20" s="29" t="s">
        <v>695</v>
      </c>
      <c r="O20" s="32" t="s">
        <v>694</v>
      </c>
      <c r="P20" s="29" t="s">
        <v>693</v>
      </c>
      <c r="Q20" s="29"/>
      <c r="R20" s="29" t="s">
        <v>692</v>
      </c>
      <c r="S20" s="29" t="s">
        <v>691</v>
      </c>
      <c r="T20" s="29"/>
      <c r="U20" s="18">
        <f>数据库!I18</f>
        <v>0</v>
      </c>
      <c r="V20" s="35" t="s">
        <v>711</v>
      </c>
    </row>
    <row r="21" spans="1:22" ht="22.5">
      <c r="A21" s="32" t="s">
        <v>697</v>
      </c>
      <c r="B21" s="32" t="str">
        <f>数据库!B19&amp;"号楼"</f>
        <v>2号楼</v>
      </c>
      <c r="C21" s="32" t="str">
        <f>NUMBERSTRING(数据库!C19,3)&amp;"单元"</f>
        <v>二单元</v>
      </c>
      <c r="D21" s="32">
        <f>数据库!D19</f>
        <v>204</v>
      </c>
      <c r="E21" s="32">
        <f t="shared" si="0"/>
        <v>204</v>
      </c>
      <c r="F21" s="32"/>
      <c r="G21" s="32"/>
      <c r="H21" s="33" t="s">
        <v>696</v>
      </c>
      <c r="I21" s="29"/>
      <c r="J21" s="29"/>
      <c r="K21" s="29"/>
      <c r="L21" s="29"/>
      <c r="M21" s="18" t="str">
        <f>数据库!E19</f>
        <v>40193290</v>
      </c>
      <c r="N21" s="29" t="s">
        <v>695</v>
      </c>
      <c r="O21" s="32" t="s">
        <v>694</v>
      </c>
      <c r="P21" s="29" t="s">
        <v>693</v>
      </c>
      <c r="Q21" s="29"/>
      <c r="R21" s="29" t="s">
        <v>692</v>
      </c>
      <c r="S21" s="29" t="s">
        <v>691</v>
      </c>
      <c r="T21" s="29"/>
      <c r="U21" s="18">
        <f>数据库!I19</f>
        <v>0</v>
      </c>
      <c r="V21" s="35" t="s">
        <v>711</v>
      </c>
    </row>
    <row r="22" spans="1:22" ht="22.5">
      <c r="A22" s="32" t="s">
        <v>697</v>
      </c>
      <c r="B22" s="32" t="str">
        <f>数据库!B20&amp;"号楼"</f>
        <v>2号楼</v>
      </c>
      <c r="C22" s="32" t="str">
        <f>NUMBERSTRING(数据库!C20,3)&amp;"单元"</f>
        <v>二单元</v>
      </c>
      <c r="D22" s="32">
        <f>数据库!D20</f>
        <v>501</v>
      </c>
      <c r="E22" s="32">
        <f t="shared" si="0"/>
        <v>501</v>
      </c>
      <c r="F22" s="32"/>
      <c r="G22" s="32"/>
      <c r="H22" s="33" t="s">
        <v>696</v>
      </c>
      <c r="I22" s="29"/>
      <c r="J22" s="29"/>
      <c r="K22" s="29"/>
      <c r="L22" s="29"/>
      <c r="M22" s="18" t="str">
        <f>数据库!E20</f>
        <v>40175842</v>
      </c>
      <c r="N22" s="29" t="s">
        <v>695</v>
      </c>
      <c r="O22" s="32" t="s">
        <v>694</v>
      </c>
      <c r="P22" s="29" t="s">
        <v>693</v>
      </c>
      <c r="Q22" s="29"/>
      <c r="R22" s="29" t="s">
        <v>692</v>
      </c>
      <c r="S22" s="29" t="s">
        <v>691</v>
      </c>
      <c r="T22" s="29"/>
      <c r="U22" s="18">
        <f>数据库!I20</f>
        <v>0</v>
      </c>
      <c r="V22" s="35" t="s">
        <v>711</v>
      </c>
    </row>
    <row r="23" spans="1:22" ht="22.5">
      <c r="A23" s="32" t="s">
        <v>697</v>
      </c>
      <c r="B23" s="32" t="str">
        <f>数据库!B21&amp;"号楼"</f>
        <v>2号楼</v>
      </c>
      <c r="C23" s="32" t="str">
        <f>NUMBERSTRING(数据库!C21,3)&amp;"单元"</f>
        <v>二单元</v>
      </c>
      <c r="D23" s="32">
        <f>数据库!D21</f>
        <v>504</v>
      </c>
      <c r="E23" s="32">
        <f t="shared" si="0"/>
        <v>504</v>
      </c>
      <c r="F23" s="32"/>
      <c r="G23" s="32"/>
      <c r="H23" s="33" t="s">
        <v>696</v>
      </c>
      <c r="I23" s="29"/>
      <c r="J23" s="29"/>
      <c r="K23" s="29"/>
      <c r="L23" s="29"/>
      <c r="M23" s="18" t="str">
        <f>数据库!E21</f>
        <v>40122117</v>
      </c>
      <c r="N23" s="29" t="s">
        <v>695</v>
      </c>
      <c r="O23" s="32" t="s">
        <v>694</v>
      </c>
      <c r="P23" s="29" t="s">
        <v>693</v>
      </c>
      <c r="Q23" s="29"/>
      <c r="R23" s="29" t="s">
        <v>692</v>
      </c>
      <c r="S23" s="29" t="s">
        <v>691</v>
      </c>
      <c r="T23" s="29"/>
      <c r="U23" s="18">
        <f>数据库!I21</f>
        <v>0</v>
      </c>
      <c r="V23" s="35" t="s">
        <v>711</v>
      </c>
    </row>
    <row r="24" spans="1:22" ht="22.5">
      <c r="A24" s="32" t="s">
        <v>697</v>
      </c>
      <c r="B24" s="32" t="str">
        <f>数据库!B22&amp;"号楼"</f>
        <v>3号楼</v>
      </c>
      <c r="C24" s="32" t="str">
        <f>NUMBERSTRING(数据库!C22,3)&amp;"单元"</f>
        <v>一单元</v>
      </c>
      <c r="D24" s="32">
        <f>数据库!D22</f>
        <v>201</v>
      </c>
      <c r="E24" s="32">
        <f t="shared" si="0"/>
        <v>201</v>
      </c>
      <c r="F24" s="32"/>
      <c r="G24" s="32"/>
      <c r="H24" s="33" t="s">
        <v>696</v>
      </c>
      <c r="I24" s="29"/>
      <c r="J24" s="29"/>
      <c r="K24" s="29"/>
      <c r="L24" s="29"/>
      <c r="M24" s="18" t="str">
        <f>数据库!E22</f>
        <v>40198117</v>
      </c>
      <c r="N24" s="29" t="s">
        <v>695</v>
      </c>
      <c r="O24" s="32" t="s">
        <v>694</v>
      </c>
      <c r="P24" s="29" t="s">
        <v>693</v>
      </c>
      <c r="Q24" s="29"/>
      <c r="R24" s="29" t="s">
        <v>692</v>
      </c>
      <c r="S24" s="29" t="s">
        <v>691</v>
      </c>
      <c r="T24" s="29"/>
      <c r="U24" s="18">
        <f>数据库!I22</f>
        <v>0</v>
      </c>
      <c r="V24" s="35" t="s">
        <v>711</v>
      </c>
    </row>
    <row r="25" spans="1:22" ht="22.5">
      <c r="A25" s="32" t="s">
        <v>697</v>
      </c>
      <c r="B25" s="32" t="str">
        <f>数据库!B23&amp;"号楼"</f>
        <v>3号楼</v>
      </c>
      <c r="C25" s="32" t="str">
        <f>NUMBERSTRING(数据库!C23,3)&amp;"单元"</f>
        <v>一单元</v>
      </c>
      <c r="D25" s="32">
        <f>数据库!D23</f>
        <v>204</v>
      </c>
      <c r="E25" s="32">
        <f t="shared" si="0"/>
        <v>204</v>
      </c>
      <c r="F25" s="32"/>
      <c r="G25" s="32"/>
      <c r="H25" s="33" t="s">
        <v>696</v>
      </c>
      <c r="I25" s="29"/>
      <c r="J25" s="29"/>
      <c r="K25" s="29"/>
      <c r="L25" s="29"/>
      <c r="M25" s="18" t="str">
        <f>数据库!E23</f>
        <v>40158137</v>
      </c>
      <c r="N25" s="29" t="s">
        <v>695</v>
      </c>
      <c r="O25" s="32" t="s">
        <v>694</v>
      </c>
      <c r="P25" s="29" t="s">
        <v>693</v>
      </c>
      <c r="Q25" s="29"/>
      <c r="R25" s="29" t="s">
        <v>692</v>
      </c>
      <c r="S25" s="29" t="s">
        <v>691</v>
      </c>
      <c r="T25" s="29"/>
      <c r="U25" s="18">
        <f>数据库!I23</f>
        <v>0</v>
      </c>
      <c r="V25" s="35" t="s">
        <v>711</v>
      </c>
    </row>
    <row r="26" spans="1:22" ht="22.5">
      <c r="A26" s="32" t="s">
        <v>697</v>
      </c>
      <c r="B26" s="32" t="str">
        <f>数据库!B24&amp;"号楼"</f>
        <v>3号楼</v>
      </c>
      <c r="C26" s="32" t="str">
        <f>NUMBERSTRING(数据库!C24,3)&amp;"单元"</f>
        <v>一单元</v>
      </c>
      <c r="D26" s="32">
        <f>数据库!D24</f>
        <v>501</v>
      </c>
      <c r="E26" s="32">
        <f t="shared" si="0"/>
        <v>501</v>
      </c>
      <c r="F26" s="32"/>
      <c r="G26" s="32"/>
      <c r="H26" s="33" t="s">
        <v>696</v>
      </c>
      <c r="I26" s="29"/>
      <c r="J26" s="29"/>
      <c r="K26" s="29"/>
      <c r="L26" s="29"/>
      <c r="M26" s="18" t="str">
        <f>数据库!E24</f>
        <v>40122430</v>
      </c>
      <c r="N26" s="29" t="s">
        <v>695</v>
      </c>
      <c r="O26" s="32" t="s">
        <v>694</v>
      </c>
      <c r="P26" s="29" t="s">
        <v>693</v>
      </c>
      <c r="Q26" s="29"/>
      <c r="R26" s="29" t="s">
        <v>692</v>
      </c>
      <c r="S26" s="29" t="s">
        <v>691</v>
      </c>
      <c r="T26" s="29"/>
      <c r="U26" s="18">
        <f>数据库!I24</f>
        <v>0</v>
      </c>
      <c r="V26" s="35" t="s">
        <v>711</v>
      </c>
    </row>
    <row r="27" spans="1:22" ht="22.5">
      <c r="A27" s="32" t="s">
        <v>697</v>
      </c>
      <c r="B27" s="32" t="str">
        <f>数据库!B25&amp;"号楼"</f>
        <v>3号楼</v>
      </c>
      <c r="C27" s="32" t="str">
        <f>NUMBERSTRING(数据库!C25,3)&amp;"单元"</f>
        <v>一单元</v>
      </c>
      <c r="D27" s="32">
        <f>数据库!D25</f>
        <v>504</v>
      </c>
      <c r="E27" s="32">
        <f t="shared" si="0"/>
        <v>504</v>
      </c>
      <c r="F27" s="32"/>
      <c r="G27" s="32"/>
      <c r="H27" s="33" t="s">
        <v>696</v>
      </c>
      <c r="I27" s="29"/>
      <c r="J27" s="29"/>
      <c r="K27" s="29"/>
      <c r="L27" s="29"/>
      <c r="M27" s="18" t="str">
        <f>数据库!E25</f>
        <v>40159770</v>
      </c>
      <c r="N27" s="29" t="s">
        <v>695</v>
      </c>
      <c r="O27" s="32" t="s">
        <v>694</v>
      </c>
      <c r="P27" s="29" t="s">
        <v>693</v>
      </c>
      <c r="Q27" s="29"/>
      <c r="R27" s="29" t="s">
        <v>692</v>
      </c>
      <c r="S27" s="29" t="s">
        <v>691</v>
      </c>
      <c r="T27" s="29"/>
      <c r="U27" s="18">
        <f>数据库!I25</f>
        <v>0</v>
      </c>
      <c r="V27" s="35" t="s">
        <v>711</v>
      </c>
    </row>
    <row r="28" spans="1:22" ht="22.5">
      <c r="A28" s="32" t="s">
        <v>697</v>
      </c>
      <c r="B28" s="32" t="str">
        <f>数据库!B26&amp;"号楼"</f>
        <v>3号楼</v>
      </c>
      <c r="C28" s="32" t="str">
        <f>NUMBERSTRING(数据库!C26,3)&amp;"单元"</f>
        <v>二单元</v>
      </c>
      <c r="D28" s="32">
        <f>数据库!D26</f>
        <v>201</v>
      </c>
      <c r="E28" s="32">
        <f t="shared" si="0"/>
        <v>201</v>
      </c>
      <c r="F28" s="32"/>
      <c r="G28" s="32"/>
      <c r="H28" s="33" t="s">
        <v>696</v>
      </c>
      <c r="I28" s="29"/>
      <c r="J28" s="29"/>
      <c r="K28" s="29"/>
      <c r="L28" s="29"/>
      <c r="M28" s="18" t="str">
        <f>数据库!E26</f>
        <v>40139913</v>
      </c>
      <c r="N28" s="29" t="s">
        <v>695</v>
      </c>
      <c r="O28" s="32" t="s">
        <v>694</v>
      </c>
      <c r="P28" s="29" t="s">
        <v>693</v>
      </c>
      <c r="Q28" s="29"/>
      <c r="R28" s="29" t="s">
        <v>692</v>
      </c>
      <c r="S28" s="29" t="s">
        <v>691</v>
      </c>
      <c r="T28" s="29"/>
      <c r="U28" s="18">
        <f>数据库!I26</f>
        <v>0</v>
      </c>
      <c r="V28" s="35" t="s">
        <v>711</v>
      </c>
    </row>
    <row r="29" spans="1:22" ht="22.5">
      <c r="A29" s="32" t="s">
        <v>697</v>
      </c>
      <c r="B29" s="32" t="str">
        <f>数据库!B27&amp;"号楼"</f>
        <v>3号楼</v>
      </c>
      <c r="C29" s="32" t="str">
        <f>NUMBERSTRING(数据库!C27,3)&amp;"单元"</f>
        <v>二单元</v>
      </c>
      <c r="D29" s="32">
        <f>数据库!D27</f>
        <v>204</v>
      </c>
      <c r="E29" s="32">
        <f t="shared" si="0"/>
        <v>204</v>
      </c>
      <c r="F29" s="32"/>
      <c r="G29" s="32"/>
      <c r="H29" s="33" t="s">
        <v>696</v>
      </c>
      <c r="I29" s="29"/>
      <c r="J29" s="29"/>
      <c r="K29" s="29"/>
      <c r="L29" s="29"/>
      <c r="M29" s="18" t="str">
        <f>数据库!E27</f>
        <v>40159335</v>
      </c>
      <c r="N29" s="29" t="s">
        <v>695</v>
      </c>
      <c r="O29" s="32" t="s">
        <v>694</v>
      </c>
      <c r="P29" s="29" t="s">
        <v>693</v>
      </c>
      <c r="Q29" s="29"/>
      <c r="R29" s="29" t="s">
        <v>692</v>
      </c>
      <c r="S29" s="29" t="s">
        <v>691</v>
      </c>
      <c r="T29" s="29"/>
      <c r="U29" s="18">
        <f>数据库!I27</f>
        <v>0</v>
      </c>
      <c r="V29" s="35" t="s">
        <v>711</v>
      </c>
    </row>
    <row r="30" spans="1:22" ht="22.5">
      <c r="A30" s="32" t="s">
        <v>697</v>
      </c>
      <c r="B30" s="32" t="str">
        <f>数据库!B28&amp;"号楼"</f>
        <v>3号楼</v>
      </c>
      <c r="C30" s="32" t="str">
        <f>NUMBERSTRING(数据库!C28,3)&amp;"单元"</f>
        <v>二单元</v>
      </c>
      <c r="D30" s="32">
        <f>数据库!D28</f>
        <v>501</v>
      </c>
      <c r="E30" s="32">
        <f t="shared" si="0"/>
        <v>501</v>
      </c>
      <c r="F30" s="32"/>
      <c r="G30" s="32"/>
      <c r="H30" s="33" t="s">
        <v>696</v>
      </c>
      <c r="I30" s="29"/>
      <c r="J30" s="29"/>
      <c r="K30" s="29"/>
      <c r="L30" s="29"/>
      <c r="M30" s="18" t="str">
        <f>数据库!E28</f>
        <v>40195758</v>
      </c>
      <c r="N30" s="29" t="s">
        <v>695</v>
      </c>
      <c r="O30" s="32" t="s">
        <v>694</v>
      </c>
      <c r="P30" s="29" t="s">
        <v>693</v>
      </c>
      <c r="Q30" s="29"/>
      <c r="R30" s="29" t="s">
        <v>692</v>
      </c>
      <c r="S30" s="29" t="s">
        <v>691</v>
      </c>
      <c r="T30" s="29"/>
      <c r="U30" s="18">
        <f>数据库!I28</f>
        <v>0</v>
      </c>
      <c r="V30" s="35" t="s">
        <v>711</v>
      </c>
    </row>
    <row r="31" spans="1:22" ht="22.5">
      <c r="A31" s="32" t="s">
        <v>697</v>
      </c>
      <c r="B31" s="32" t="str">
        <f>数据库!B29&amp;"号楼"</f>
        <v>3号楼</v>
      </c>
      <c r="C31" s="32" t="str">
        <f>NUMBERSTRING(数据库!C29,3)&amp;"单元"</f>
        <v>二单元</v>
      </c>
      <c r="D31" s="32">
        <f>数据库!D29</f>
        <v>504</v>
      </c>
      <c r="E31" s="32">
        <f t="shared" si="0"/>
        <v>504</v>
      </c>
      <c r="F31" s="32"/>
      <c r="G31" s="32"/>
      <c r="H31" s="33" t="s">
        <v>696</v>
      </c>
      <c r="I31" s="29"/>
      <c r="J31" s="29"/>
      <c r="K31" s="29"/>
      <c r="L31" s="29"/>
      <c r="M31" s="18" t="str">
        <f>数据库!E29</f>
        <v>40190841</v>
      </c>
      <c r="N31" s="29" t="s">
        <v>695</v>
      </c>
      <c r="O31" s="32" t="s">
        <v>694</v>
      </c>
      <c r="P31" s="29" t="s">
        <v>693</v>
      </c>
      <c r="Q31" s="29"/>
      <c r="R31" s="29" t="s">
        <v>692</v>
      </c>
      <c r="S31" s="29" t="s">
        <v>691</v>
      </c>
      <c r="T31" s="29"/>
      <c r="U31" s="18">
        <f>数据库!I29</f>
        <v>0</v>
      </c>
      <c r="V31" s="35" t="s">
        <v>711</v>
      </c>
    </row>
    <row r="32" spans="1:22" ht="22.5">
      <c r="A32" s="32" t="s">
        <v>697</v>
      </c>
      <c r="B32" s="32" t="str">
        <f>数据库!B30&amp;"号楼"</f>
        <v>5号楼</v>
      </c>
      <c r="C32" s="32" t="str">
        <f>NUMBERSTRING(数据库!C30,3)&amp;"单元"</f>
        <v>一单元</v>
      </c>
      <c r="D32" s="32">
        <f>数据库!D30</f>
        <v>101</v>
      </c>
      <c r="E32" s="32">
        <f t="shared" si="0"/>
        <v>101</v>
      </c>
      <c r="F32" s="32"/>
      <c r="G32" s="32"/>
      <c r="H32" s="33" t="s">
        <v>696</v>
      </c>
      <c r="I32" s="29"/>
      <c r="J32" s="29"/>
      <c r="K32" s="29"/>
      <c r="L32" s="29"/>
      <c r="M32" s="18" t="str">
        <f>数据库!E30</f>
        <v>40158863</v>
      </c>
      <c r="N32" s="29" t="s">
        <v>695</v>
      </c>
      <c r="O32" s="32" t="s">
        <v>694</v>
      </c>
      <c r="P32" s="29" t="s">
        <v>693</v>
      </c>
      <c r="Q32" s="29"/>
      <c r="R32" s="29" t="s">
        <v>692</v>
      </c>
      <c r="S32" s="29" t="s">
        <v>691</v>
      </c>
      <c r="T32" s="29"/>
      <c r="U32" s="18">
        <f>数据库!I30</f>
        <v>0</v>
      </c>
      <c r="V32" s="35" t="s">
        <v>711</v>
      </c>
    </row>
    <row r="33" spans="1:22" ht="22.5">
      <c r="A33" s="32" t="s">
        <v>697</v>
      </c>
      <c r="B33" s="32" t="str">
        <f>数据库!B31&amp;"号楼"</f>
        <v>5号楼</v>
      </c>
      <c r="C33" s="32" t="str">
        <f>NUMBERSTRING(数据库!C31,3)&amp;"单元"</f>
        <v>一单元</v>
      </c>
      <c r="D33" s="32">
        <f>数据库!D31</f>
        <v>104</v>
      </c>
      <c r="E33" s="32">
        <f t="shared" si="0"/>
        <v>104</v>
      </c>
      <c r="F33" s="32"/>
      <c r="G33" s="32"/>
      <c r="H33" s="33" t="s">
        <v>696</v>
      </c>
      <c r="I33" s="29"/>
      <c r="J33" s="29"/>
      <c r="K33" s="29"/>
      <c r="L33" s="29"/>
      <c r="M33" s="18" t="str">
        <f>数据库!E31</f>
        <v>40152205</v>
      </c>
      <c r="N33" s="29" t="s">
        <v>695</v>
      </c>
      <c r="O33" s="32" t="s">
        <v>694</v>
      </c>
      <c r="P33" s="29" t="s">
        <v>693</v>
      </c>
      <c r="Q33" s="29"/>
      <c r="R33" s="29" t="s">
        <v>692</v>
      </c>
      <c r="S33" s="29" t="s">
        <v>691</v>
      </c>
      <c r="T33" s="29"/>
      <c r="U33" s="18">
        <f>数据库!I31</f>
        <v>0</v>
      </c>
      <c r="V33" s="35" t="s">
        <v>711</v>
      </c>
    </row>
    <row r="34" spans="1:22" ht="22.5">
      <c r="A34" s="32" t="s">
        <v>697</v>
      </c>
      <c r="B34" s="32" t="str">
        <f>数据库!B32&amp;"号楼"</f>
        <v>5号楼</v>
      </c>
      <c r="C34" s="32" t="str">
        <f>NUMBERSTRING(数据库!C32,3)&amp;"单元"</f>
        <v>一单元</v>
      </c>
      <c r="D34" s="32">
        <f>数据库!D32</f>
        <v>501</v>
      </c>
      <c r="E34" s="32">
        <f t="shared" si="0"/>
        <v>501</v>
      </c>
      <c r="F34" s="32"/>
      <c r="G34" s="32"/>
      <c r="H34" s="33" t="s">
        <v>696</v>
      </c>
      <c r="I34" s="29"/>
      <c r="J34" s="29"/>
      <c r="K34" s="29"/>
      <c r="L34" s="29"/>
      <c r="M34" s="18" t="str">
        <f>数据库!E32</f>
        <v>40182160</v>
      </c>
      <c r="N34" s="29" t="s">
        <v>695</v>
      </c>
      <c r="O34" s="32" t="s">
        <v>694</v>
      </c>
      <c r="P34" s="29" t="s">
        <v>693</v>
      </c>
      <c r="Q34" s="29"/>
      <c r="R34" s="29" t="s">
        <v>692</v>
      </c>
      <c r="S34" s="29" t="s">
        <v>691</v>
      </c>
      <c r="T34" s="29"/>
      <c r="U34" s="18">
        <f>数据库!I32</f>
        <v>0</v>
      </c>
      <c r="V34" s="35" t="s">
        <v>711</v>
      </c>
    </row>
    <row r="35" spans="1:22" ht="22.5">
      <c r="A35" s="32" t="s">
        <v>697</v>
      </c>
      <c r="B35" s="32" t="str">
        <f>数据库!B33&amp;"号楼"</f>
        <v>5号楼</v>
      </c>
      <c r="C35" s="32" t="str">
        <f>NUMBERSTRING(数据库!C33,3)&amp;"单元"</f>
        <v>一单元</v>
      </c>
      <c r="D35" s="32">
        <f>数据库!D33</f>
        <v>504</v>
      </c>
      <c r="E35" s="32">
        <f t="shared" si="0"/>
        <v>504</v>
      </c>
      <c r="F35" s="32"/>
      <c r="G35" s="32"/>
      <c r="H35" s="33" t="s">
        <v>696</v>
      </c>
      <c r="I35" s="29"/>
      <c r="J35" s="29"/>
      <c r="K35" s="29"/>
      <c r="L35" s="29"/>
      <c r="M35" s="18" t="str">
        <f>数据库!E33</f>
        <v>40199446</v>
      </c>
      <c r="N35" s="29" t="s">
        <v>695</v>
      </c>
      <c r="O35" s="32" t="s">
        <v>694</v>
      </c>
      <c r="P35" s="29" t="s">
        <v>693</v>
      </c>
      <c r="Q35" s="29"/>
      <c r="R35" s="29" t="s">
        <v>692</v>
      </c>
      <c r="S35" s="29" t="s">
        <v>691</v>
      </c>
      <c r="T35" s="29"/>
      <c r="U35" s="18">
        <f>数据库!I33</f>
        <v>0</v>
      </c>
      <c r="V35" s="35" t="s">
        <v>711</v>
      </c>
    </row>
    <row r="36" spans="1:22" ht="22.5">
      <c r="A36" s="32" t="s">
        <v>697</v>
      </c>
      <c r="B36" s="32" t="str">
        <f>数据库!B34&amp;"号楼"</f>
        <v>5号楼</v>
      </c>
      <c r="C36" s="32" t="str">
        <f>NUMBERSTRING(数据库!C34,3)&amp;"单元"</f>
        <v>二单元</v>
      </c>
      <c r="D36" s="32">
        <f>数据库!D34</f>
        <v>101</v>
      </c>
      <c r="E36" s="32">
        <f t="shared" si="0"/>
        <v>101</v>
      </c>
      <c r="F36" s="32"/>
      <c r="G36" s="32"/>
      <c r="H36" s="33" t="s">
        <v>696</v>
      </c>
      <c r="I36" s="29"/>
      <c r="J36" s="29"/>
      <c r="K36" s="29"/>
      <c r="L36" s="29"/>
      <c r="M36" s="18" t="str">
        <f>数据库!E34</f>
        <v>40176188</v>
      </c>
      <c r="N36" s="29" t="s">
        <v>695</v>
      </c>
      <c r="O36" s="32" t="s">
        <v>694</v>
      </c>
      <c r="P36" s="29" t="s">
        <v>693</v>
      </c>
      <c r="Q36" s="29"/>
      <c r="R36" s="29" t="s">
        <v>692</v>
      </c>
      <c r="S36" s="29" t="s">
        <v>691</v>
      </c>
      <c r="T36" s="29"/>
      <c r="U36" s="18">
        <f>数据库!I34</f>
        <v>0</v>
      </c>
      <c r="V36" s="35" t="s">
        <v>711</v>
      </c>
    </row>
    <row r="37" spans="1:22" ht="22.5">
      <c r="A37" s="32" t="s">
        <v>697</v>
      </c>
      <c r="B37" s="32" t="str">
        <f>数据库!B35&amp;"号楼"</f>
        <v>5号楼</v>
      </c>
      <c r="C37" s="32" t="str">
        <f>NUMBERSTRING(数据库!C35,3)&amp;"单元"</f>
        <v>二单元</v>
      </c>
      <c r="D37" s="32">
        <f>数据库!D35</f>
        <v>104</v>
      </c>
      <c r="E37" s="32">
        <f t="shared" si="0"/>
        <v>104</v>
      </c>
      <c r="F37" s="32"/>
      <c r="G37" s="32"/>
      <c r="H37" s="33" t="s">
        <v>696</v>
      </c>
      <c r="I37" s="29"/>
      <c r="J37" s="29"/>
      <c r="K37" s="29"/>
      <c r="L37" s="29"/>
      <c r="M37" s="18" t="str">
        <f>数据库!E35</f>
        <v>40181915</v>
      </c>
      <c r="N37" s="29" t="s">
        <v>695</v>
      </c>
      <c r="O37" s="32" t="s">
        <v>694</v>
      </c>
      <c r="P37" s="29" t="s">
        <v>693</v>
      </c>
      <c r="Q37" s="29"/>
      <c r="R37" s="29" t="s">
        <v>692</v>
      </c>
      <c r="S37" s="29" t="s">
        <v>691</v>
      </c>
      <c r="T37" s="29"/>
      <c r="U37" s="18">
        <f>数据库!I35</f>
        <v>0</v>
      </c>
      <c r="V37" s="35" t="s">
        <v>711</v>
      </c>
    </row>
    <row r="38" spans="1:22" ht="22.5">
      <c r="A38" s="32" t="s">
        <v>697</v>
      </c>
      <c r="B38" s="32" t="str">
        <f>数据库!B36&amp;"号楼"</f>
        <v>5号楼</v>
      </c>
      <c r="C38" s="32" t="str">
        <f>NUMBERSTRING(数据库!C36,3)&amp;"单元"</f>
        <v>二单元</v>
      </c>
      <c r="D38" s="32">
        <f>数据库!D36</f>
        <v>501</v>
      </c>
      <c r="E38" s="32">
        <f t="shared" si="0"/>
        <v>501</v>
      </c>
      <c r="F38" s="32"/>
      <c r="G38" s="32"/>
      <c r="H38" s="33" t="s">
        <v>696</v>
      </c>
      <c r="I38" s="29"/>
      <c r="J38" s="29"/>
      <c r="K38" s="29"/>
      <c r="L38" s="29"/>
      <c r="M38" s="18" t="str">
        <f>数据库!E36</f>
        <v>40164267</v>
      </c>
      <c r="N38" s="29" t="s">
        <v>695</v>
      </c>
      <c r="O38" s="32" t="s">
        <v>694</v>
      </c>
      <c r="P38" s="29" t="s">
        <v>693</v>
      </c>
      <c r="Q38" s="29"/>
      <c r="R38" s="29" t="s">
        <v>692</v>
      </c>
      <c r="S38" s="29" t="s">
        <v>691</v>
      </c>
      <c r="T38" s="29"/>
      <c r="U38" s="18">
        <f>数据库!I36</f>
        <v>0</v>
      </c>
      <c r="V38" s="35" t="s">
        <v>711</v>
      </c>
    </row>
    <row r="39" spans="1:22" ht="22.5">
      <c r="A39" s="32" t="s">
        <v>697</v>
      </c>
      <c r="B39" s="32" t="str">
        <f>数据库!B37&amp;"号楼"</f>
        <v>5号楼</v>
      </c>
      <c r="C39" s="32" t="str">
        <f>NUMBERSTRING(数据库!C37,3)&amp;"单元"</f>
        <v>二单元</v>
      </c>
      <c r="D39" s="32">
        <f>数据库!D37</f>
        <v>504</v>
      </c>
      <c r="E39" s="32">
        <f t="shared" si="0"/>
        <v>504</v>
      </c>
      <c r="F39" s="32"/>
      <c r="G39" s="32"/>
      <c r="H39" s="33" t="s">
        <v>696</v>
      </c>
      <c r="I39" s="29"/>
      <c r="J39" s="29"/>
      <c r="K39" s="29"/>
      <c r="L39" s="29"/>
      <c r="M39" s="18" t="str">
        <f>数据库!E37</f>
        <v>40206423</v>
      </c>
      <c r="N39" s="29" t="s">
        <v>695</v>
      </c>
      <c r="O39" s="32" t="s">
        <v>694</v>
      </c>
      <c r="P39" s="29" t="s">
        <v>693</v>
      </c>
      <c r="Q39" s="29"/>
      <c r="R39" s="29" t="s">
        <v>692</v>
      </c>
      <c r="S39" s="29" t="s">
        <v>691</v>
      </c>
      <c r="T39" s="29"/>
      <c r="U39" s="18">
        <f>数据库!I37</f>
        <v>0</v>
      </c>
      <c r="V39" s="35" t="s">
        <v>711</v>
      </c>
    </row>
    <row r="40" spans="1:22" ht="22.5">
      <c r="A40" s="32" t="s">
        <v>697</v>
      </c>
      <c r="B40" s="32" t="str">
        <f>数据库!B38&amp;"号楼"</f>
        <v>5号楼</v>
      </c>
      <c r="C40" s="32" t="str">
        <f>NUMBERSTRING(数据库!C38,3)&amp;"单元"</f>
        <v>三单元</v>
      </c>
      <c r="D40" s="32">
        <f>数据库!D38</f>
        <v>101</v>
      </c>
      <c r="E40" s="32">
        <f t="shared" si="0"/>
        <v>101</v>
      </c>
      <c r="F40" s="32"/>
      <c r="G40" s="32"/>
      <c r="H40" s="33" t="s">
        <v>696</v>
      </c>
      <c r="I40" s="29"/>
      <c r="J40" s="29"/>
      <c r="K40" s="29"/>
      <c r="L40" s="29"/>
      <c r="M40" s="18" t="str">
        <f>数据库!E38</f>
        <v>40161784</v>
      </c>
      <c r="N40" s="29" t="s">
        <v>695</v>
      </c>
      <c r="O40" s="32" t="s">
        <v>694</v>
      </c>
      <c r="P40" s="29" t="s">
        <v>693</v>
      </c>
      <c r="Q40" s="29"/>
      <c r="R40" s="29" t="s">
        <v>692</v>
      </c>
      <c r="S40" s="29" t="s">
        <v>691</v>
      </c>
      <c r="T40" s="29"/>
      <c r="U40" s="18">
        <f>数据库!I38</f>
        <v>0</v>
      </c>
      <c r="V40" s="35" t="s">
        <v>711</v>
      </c>
    </row>
    <row r="41" spans="1:22" ht="22.5">
      <c r="A41" s="32" t="s">
        <v>697</v>
      </c>
      <c r="B41" s="32" t="str">
        <f>数据库!B39&amp;"号楼"</f>
        <v>5号楼</v>
      </c>
      <c r="C41" s="32" t="str">
        <f>NUMBERSTRING(数据库!C39,3)&amp;"单元"</f>
        <v>三单元</v>
      </c>
      <c r="D41" s="32">
        <f>数据库!D39</f>
        <v>104</v>
      </c>
      <c r="E41" s="32">
        <f t="shared" si="0"/>
        <v>104</v>
      </c>
      <c r="F41" s="32"/>
      <c r="G41" s="32"/>
      <c r="H41" s="33" t="s">
        <v>696</v>
      </c>
      <c r="I41" s="29"/>
      <c r="J41" s="29"/>
      <c r="K41" s="29"/>
      <c r="L41" s="29"/>
      <c r="M41" s="18" t="str">
        <f>数据库!E39</f>
        <v>40122000</v>
      </c>
      <c r="N41" s="29" t="s">
        <v>695</v>
      </c>
      <c r="O41" s="32" t="s">
        <v>694</v>
      </c>
      <c r="P41" s="29" t="s">
        <v>693</v>
      </c>
      <c r="Q41" s="29"/>
      <c r="R41" s="29" t="s">
        <v>692</v>
      </c>
      <c r="S41" s="29" t="s">
        <v>691</v>
      </c>
      <c r="T41" s="29"/>
      <c r="U41" s="18">
        <f>数据库!I39</f>
        <v>0</v>
      </c>
      <c r="V41" s="35" t="s">
        <v>711</v>
      </c>
    </row>
    <row r="42" spans="1:22" ht="22.5">
      <c r="A42" s="32" t="s">
        <v>697</v>
      </c>
      <c r="B42" s="32" t="str">
        <f>数据库!B40&amp;"号楼"</f>
        <v>5号楼</v>
      </c>
      <c r="C42" s="32" t="str">
        <f>NUMBERSTRING(数据库!C40,3)&amp;"单元"</f>
        <v>三单元</v>
      </c>
      <c r="D42" s="32">
        <f>数据库!D40</f>
        <v>501</v>
      </c>
      <c r="E42" s="32">
        <f t="shared" si="0"/>
        <v>501</v>
      </c>
      <c r="F42" s="32"/>
      <c r="G42" s="32"/>
      <c r="H42" s="33" t="s">
        <v>696</v>
      </c>
      <c r="I42" s="29"/>
      <c r="J42" s="29"/>
      <c r="K42" s="29"/>
      <c r="L42" s="29"/>
      <c r="M42" s="18" t="str">
        <f>数据库!E40</f>
        <v>40135670</v>
      </c>
      <c r="N42" s="29" t="s">
        <v>695</v>
      </c>
      <c r="O42" s="32" t="s">
        <v>694</v>
      </c>
      <c r="P42" s="29" t="s">
        <v>693</v>
      </c>
      <c r="Q42" s="29"/>
      <c r="R42" s="29" t="s">
        <v>692</v>
      </c>
      <c r="S42" s="29" t="s">
        <v>691</v>
      </c>
      <c r="T42" s="29"/>
      <c r="U42" s="18">
        <f>数据库!I40</f>
        <v>0</v>
      </c>
      <c r="V42" s="35" t="s">
        <v>711</v>
      </c>
    </row>
    <row r="43" spans="1:22" ht="22.5">
      <c r="A43" s="32" t="s">
        <v>697</v>
      </c>
      <c r="B43" s="32" t="str">
        <f>数据库!B41&amp;"号楼"</f>
        <v>5号楼</v>
      </c>
      <c r="C43" s="32" t="str">
        <f>NUMBERSTRING(数据库!C41,3)&amp;"单元"</f>
        <v>三单元</v>
      </c>
      <c r="D43" s="32">
        <f>数据库!D41</f>
        <v>504</v>
      </c>
      <c r="E43" s="32">
        <f t="shared" si="0"/>
        <v>504</v>
      </c>
      <c r="F43" s="32"/>
      <c r="G43" s="32"/>
      <c r="H43" s="33" t="s">
        <v>696</v>
      </c>
      <c r="I43" s="29"/>
      <c r="J43" s="29"/>
      <c r="K43" s="29"/>
      <c r="L43" s="29"/>
      <c r="M43" s="18" t="str">
        <f>数据库!E41</f>
        <v>40187102</v>
      </c>
      <c r="N43" s="29" t="s">
        <v>695</v>
      </c>
      <c r="O43" s="32" t="s">
        <v>694</v>
      </c>
      <c r="P43" s="29" t="s">
        <v>693</v>
      </c>
      <c r="Q43" s="29"/>
      <c r="R43" s="29" t="s">
        <v>692</v>
      </c>
      <c r="S43" s="29" t="s">
        <v>691</v>
      </c>
      <c r="T43" s="29"/>
      <c r="U43" s="18">
        <f>数据库!I41</f>
        <v>0</v>
      </c>
      <c r="V43" s="35" t="s">
        <v>711</v>
      </c>
    </row>
    <row r="44" spans="1:22" ht="22.5">
      <c r="A44" s="32" t="s">
        <v>697</v>
      </c>
      <c r="B44" s="32" t="str">
        <f>数据库!B42&amp;"号楼"</f>
        <v>6号楼</v>
      </c>
      <c r="C44" s="32" t="str">
        <f>NUMBERSTRING(数据库!C42,3)&amp;"单元"</f>
        <v>一单元</v>
      </c>
      <c r="D44" s="32">
        <f>数据库!D42</f>
        <v>101</v>
      </c>
      <c r="E44" s="32">
        <f t="shared" si="0"/>
        <v>101</v>
      </c>
      <c r="F44" s="32"/>
      <c r="G44" s="32"/>
      <c r="H44" s="33" t="s">
        <v>696</v>
      </c>
      <c r="I44" s="29"/>
      <c r="J44" s="29"/>
      <c r="K44" s="29"/>
      <c r="L44" s="29"/>
      <c r="M44" s="18" t="str">
        <f>数据库!E42</f>
        <v>40158368</v>
      </c>
      <c r="N44" s="29" t="s">
        <v>695</v>
      </c>
      <c r="O44" s="32" t="s">
        <v>694</v>
      </c>
      <c r="P44" s="29" t="s">
        <v>693</v>
      </c>
      <c r="Q44" s="29"/>
      <c r="R44" s="29" t="s">
        <v>692</v>
      </c>
      <c r="S44" s="29" t="s">
        <v>691</v>
      </c>
      <c r="T44" s="29"/>
      <c r="U44" s="18">
        <f>数据库!I42</f>
        <v>0</v>
      </c>
      <c r="V44" s="35" t="s">
        <v>711</v>
      </c>
    </row>
    <row r="45" spans="1:22" ht="22.5">
      <c r="A45" s="32" t="s">
        <v>697</v>
      </c>
      <c r="B45" s="32" t="str">
        <f>数据库!B43&amp;"号楼"</f>
        <v>6号楼</v>
      </c>
      <c r="C45" s="32" t="str">
        <f>NUMBERSTRING(数据库!C43,3)&amp;"单元"</f>
        <v>一单元</v>
      </c>
      <c r="D45" s="32">
        <f>数据库!D43</f>
        <v>104</v>
      </c>
      <c r="E45" s="32">
        <f t="shared" si="0"/>
        <v>104</v>
      </c>
      <c r="F45" s="32"/>
      <c r="G45" s="32"/>
      <c r="H45" s="33" t="s">
        <v>696</v>
      </c>
      <c r="I45" s="29"/>
      <c r="J45" s="29"/>
      <c r="K45" s="29"/>
      <c r="L45" s="29"/>
      <c r="M45" s="18" t="str">
        <f>数据库!E43</f>
        <v>40176782</v>
      </c>
      <c r="N45" s="29" t="s">
        <v>695</v>
      </c>
      <c r="O45" s="32" t="s">
        <v>694</v>
      </c>
      <c r="P45" s="29" t="s">
        <v>693</v>
      </c>
      <c r="Q45" s="29"/>
      <c r="R45" s="29" t="s">
        <v>692</v>
      </c>
      <c r="S45" s="29" t="s">
        <v>691</v>
      </c>
      <c r="T45" s="29"/>
      <c r="U45" s="18">
        <f>数据库!I43</f>
        <v>0</v>
      </c>
      <c r="V45" s="35" t="s">
        <v>711</v>
      </c>
    </row>
    <row r="46" spans="1:22" ht="22.5">
      <c r="A46" s="32" t="s">
        <v>697</v>
      </c>
      <c r="B46" s="32" t="str">
        <f>数据库!B44&amp;"号楼"</f>
        <v>6号楼</v>
      </c>
      <c r="C46" s="32" t="str">
        <f>NUMBERSTRING(数据库!C44,3)&amp;"单元"</f>
        <v>一单元</v>
      </c>
      <c r="D46" s="32">
        <f>数据库!D44</f>
        <v>501</v>
      </c>
      <c r="E46" s="32">
        <f t="shared" si="0"/>
        <v>501</v>
      </c>
      <c r="F46" s="32"/>
      <c r="G46" s="32"/>
      <c r="H46" s="33" t="s">
        <v>696</v>
      </c>
      <c r="I46" s="29"/>
      <c r="J46" s="29"/>
      <c r="K46" s="29"/>
      <c r="L46" s="29"/>
      <c r="M46" s="18" t="str">
        <f>数据库!E44</f>
        <v>40167666</v>
      </c>
      <c r="N46" s="29" t="s">
        <v>695</v>
      </c>
      <c r="O46" s="32" t="s">
        <v>694</v>
      </c>
      <c r="P46" s="29" t="s">
        <v>693</v>
      </c>
      <c r="Q46" s="29"/>
      <c r="R46" s="29" t="s">
        <v>692</v>
      </c>
      <c r="S46" s="29" t="s">
        <v>691</v>
      </c>
      <c r="T46" s="29"/>
      <c r="U46" s="18">
        <f>数据库!I44</f>
        <v>0</v>
      </c>
      <c r="V46" s="35" t="s">
        <v>711</v>
      </c>
    </row>
    <row r="47" spans="1:22" ht="22.5">
      <c r="A47" s="32" t="s">
        <v>697</v>
      </c>
      <c r="B47" s="32" t="str">
        <f>数据库!B45&amp;"号楼"</f>
        <v>6号楼</v>
      </c>
      <c r="C47" s="32" t="str">
        <f>NUMBERSTRING(数据库!C45,3)&amp;"单元"</f>
        <v>一单元</v>
      </c>
      <c r="D47" s="32">
        <f>数据库!D45</f>
        <v>504</v>
      </c>
      <c r="E47" s="32">
        <f t="shared" si="0"/>
        <v>504</v>
      </c>
      <c r="F47" s="32"/>
      <c r="G47" s="32"/>
      <c r="H47" s="33" t="s">
        <v>696</v>
      </c>
      <c r="I47" s="29"/>
      <c r="J47" s="29"/>
      <c r="K47" s="29"/>
      <c r="L47" s="29"/>
      <c r="M47" s="18" t="str">
        <f>数据库!E45</f>
        <v>40192904</v>
      </c>
      <c r="N47" s="29" t="s">
        <v>695</v>
      </c>
      <c r="O47" s="32" t="s">
        <v>694</v>
      </c>
      <c r="P47" s="29" t="s">
        <v>693</v>
      </c>
      <c r="Q47" s="29"/>
      <c r="R47" s="29" t="s">
        <v>692</v>
      </c>
      <c r="S47" s="29" t="s">
        <v>691</v>
      </c>
      <c r="T47" s="29"/>
      <c r="U47" s="18">
        <f>数据库!I45</f>
        <v>0</v>
      </c>
      <c r="V47" s="35" t="s">
        <v>711</v>
      </c>
    </row>
    <row r="48" spans="1:22" ht="22.5">
      <c r="A48" s="32" t="s">
        <v>697</v>
      </c>
      <c r="B48" s="32" t="str">
        <f>数据库!B46&amp;"号楼"</f>
        <v>6号楼</v>
      </c>
      <c r="C48" s="32" t="str">
        <f>NUMBERSTRING(数据库!C46,3)&amp;"单元"</f>
        <v>二单元</v>
      </c>
      <c r="D48" s="32">
        <f>数据库!D46</f>
        <v>101</v>
      </c>
      <c r="E48" s="32">
        <f t="shared" si="0"/>
        <v>101</v>
      </c>
      <c r="F48" s="32"/>
      <c r="G48" s="32"/>
      <c r="H48" s="33" t="s">
        <v>696</v>
      </c>
      <c r="I48" s="29"/>
      <c r="J48" s="29"/>
      <c r="K48" s="29"/>
      <c r="L48" s="29"/>
      <c r="M48" s="18" t="str">
        <f>数据库!E46</f>
        <v>40178747</v>
      </c>
      <c r="N48" s="29" t="s">
        <v>695</v>
      </c>
      <c r="O48" s="32" t="s">
        <v>694</v>
      </c>
      <c r="P48" s="29" t="s">
        <v>693</v>
      </c>
      <c r="Q48" s="29"/>
      <c r="R48" s="29" t="s">
        <v>692</v>
      </c>
      <c r="S48" s="29" t="s">
        <v>691</v>
      </c>
      <c r="T48" s="29"/>
      <c r="U48" s="18">
        <f>数据库!I46</f>
        <v>0</v>
      </c>
      <c r="V48" s="35" t="s">
        <v>711</v>
      </c>
    </row>
    <row r="49" spans="1:22" ht="22.5">
      <c r="A49" s="32" t="s">
        <v>697</v>
      </c>
      <c r="B49" s="32" t="str">
        <f>数据库!B47&amp;"号楼"</f>
        <v>6号楼</v>
      </c>
      <c r="C49" s="32" t="str">
        <f>NUMBERSTRING(数据库!C47,3)&amp;"单元"</f>
        <v>二单元</v>
      </c>
      <c r="D49" s="32">
        <f>数据库!D47</f>
        <v>104</v>
      </c>
      <c r="E49" s="32">
        <f t="shared" si="0"/>
        <v>104</v>
      </c>
      <c r="F49" s="32"/>
      <c r="G49" s="32"/>
      <c r="H49" s="33" t="s">
        <v>696</v>
      </c>
      <c r="I49" s="29"/>
      <c r="J49" s="29"/>
      <c r="K49" s="29"/>
      <c r="L49" s="29"/>
      <c r="M49" s="18" t="str">
        <f>数据库!E47</f>
        <v>40168201</v>
      </c>
      <c r="N49" s="29" t="s">
        <v>695</v>
      </c>
      <c r="O49" s="32" t="s">
        <v>694</v>
      </c>
      <c r="P49" s="29" t="s">
        <v>693</v>
      </c>
      <c r="Q49" s="29"/>
      <c r="R49" s="29" t="s">
        <v>692</v>
      </c>
      <c r="S49" s="29" t="s">
        <v>691</v>
      </c>
      <c r="T49" s="29"/>
      <c r="U49" s="18">
        <f>数据库!I47</f>
        <v>0</v>
      </c>
      <c r="V49" s="35" t="s">
        <v>711</v>
      </c>
    </row>
    <row r="50" spans="1:22" ht="22.5">
      <c r="A50" s="32" t="s">
        <v>697</v>
      </c>
      <c r="B50" s="32" t="str">
        <f>数据库!B48&amp;"号楼"</f>
        <v>6号楼</v>
      </c>
      <c r="C50" s="32" t="str">
        <f>NUMBERSTRING(数据库!C48,3)&amp;"单元"</f>
        <v>二单元</v>
      </c>
      <c r="D50" s="32">
        <f>数据库!D48</f>
        <v>501</v>
      </c>
      <c r="E50" s="32">
        <f t="shared" si="0"/>
        <v>501</v>
      </c>
      <c r="F50" s="32"/>
      <c r="G50" s="32"/>
      <c r="H50" s="33" t="s">
        <v>696</v>
      </c>
      <c r="I50" s="29"/>
      <c r="J50" s="29"/>
      <c r="K50" s="29"/>
      <c r="L50" s="29"/>
      <c r="M50" s="18" t="str">
        <f>数据库!E48</f>
        <v>40121713</v>
      </c>
      <c r="N50" s="29" t="s">
        <v>695</v>
      </c>
      <c r="O50" s="32" t="s">
        <v>694</v>
      </c>
      <c r="P50" s="29" t="s">
        <v>693</v>
      </c>
      <c r="Q50" s="29"/>
      <c r="R50" s="29" t="s">
        <v>692</v>
      </c>
      <c r="S50" s="29" t="s">
        <v>691</v>
      </c>
      <c r="T50" s="29"/>
      <c r="U50" s="18">
        <f>数据库!I48</f>
        <v>0</v>
      </c>
      <c r="V50" s="35" t="s">
        <v>711</v>
      </c>
    </row>
    <row r="51" spans="1:22" ht="22.5">
      <c r="A51" s="32" t="s">
        <v>697</v>
      </c>
      <c r="B51" s="32" t="str">
        <f>数据库!B49&amp;"号楼"</f>
        <v>6号楼</v>
      </c>
      <c r="C51" s="32" t="str">
        <f>NUMBERSTRING(数据库!C49,3)&amp;"单元"</f>
        <v>二单元</v>
      </c>
      <c r="D51" s="32">
        <f>数据库!D49</f>
        <v>504</v>
      </c>
      <c r="E51" s="32">
        <f t="shared" si="0"/>
        <v>504</v>
      </c>
      <c r="F51" s="32"/>
      <c r="G51" s="32"/>
      <c r="H51" s="33" t="s">
        <v>696</v>
      </c>
      <c r="I51" s="29"/>
      <c r="J51" s="29"/>
      <c r="K51" s="29"/>
      <c r="L51" s="29"/>
      <c r="M51" s="18" t="str">
        <f>数据库!E49</f>
        <v>40111086</v>
      </c>
      <c r="N51" s="29" t="s">
        <v>695</v>
      </c>
      <c r="O51" s="32" t="s">
        <v>694</v>
      </c>
      <c r="P51" s="29" t="s">
        <v>693</v>
      </c>
      <c r="Q51" s="29"/>
      <c r="R51" s="29" t="s">
        <v>692</v>
      </c>
      <c r="S51" s="29" t="s">
        <v>691</v>
      </c>
      <c r="T51" s="29"/>
      <c r="U51" s="18">
        <f>数据库!I49</f>
        <v>0</v>
      </c>
      <c r="V51" s="35" t="s">
        <v>711</v>
      </c>
    </row>
    <row r="52" spans="1:22" ht="22.5">
      <c r="A52" s="32" t="s">
        <v>697</v>
      </c>
      <c r="B52" s="32" t="str">
        <f>数据库!B50&amp;"号楼"</f>
        <v>7号楼</v>
      </c>
      <c r="C52" s="32" t="str">
        <f>NUMBERSTRING(数据库!C50,3)&amp;"单元"</f>
        <v>一单元</v>
      </c>
      <c r="D52" s="32">
        <f>数据库!D50</f>
        <v>101</v>
      </c>
      <c r="E52" s="32">
        <f t="shared" si="0"/>
        <v>101</v>
      </c>
      <c r="F52" s="32"/>
      <c r="G52" s="32"/>
      <c r="H52" s="33" t="s">
        <v>696</v>
      </c>
      <c r="I52" s="29"/>
      <c r="J52" s="29"/>
      <c r="K52" s="29"/>
      <c r="L52" s="29"/>
      <c r="M52" s="18" t="str">
        <f>数据库!E50</f>
        <v>40205748</v>
      </c>
      <c r="N52" s="29" t="s">
        <v>695</v>
      </c>
      <c r="O52" s="32" t="s">
        <v>694</v>
      </c>
      <c r="P52" s="29" t="s">
        <v>693</v>
      </c>
      <c r="Q52" s="29"/>
      <c r="R52" s="29" t="s">
        <v>692</v>
      </c>
      <c r="S52" s="29" t="s">
        <v>691</v>
      </c>
      <c r="T52" s="29"/>
      <c r="U52" s="18">
        <f>数据库!I50</f>
        <v>0</v>
      </c>
      <c r="V52" s="35" t="s">
        <v>711</v>
      </c>
    </row>
    <row r="53" spans="1:22" ht="22.5">
      <c r="A53" s="32" t="s">
        <v>697</v>
      </c>
      <c r="B53" s="32" t="str">
        <f>数据库!B51&amp;"号楼"</f>
        <v>7号楼</v>
      </c>
      <c r="C53" s="32" t="str">
        <f>NUMBERSTRING(数据库!C51,3)&amp;"单元"</f>
        <v>一单元</v>
      </c>
      <c r="D53" s="32">
        <f>数据库!D51</f>
        <v>104</v>
      </c>
      <c r="E53" s="32">
        <f t="shared" si="0"/>
        <v>104</v>
      </c>
      <c r="F53" s="32"/>
      <c r="G53" s="32"/>
      <c r="H53" s="33" t="s">
        <v>696</v>
      </c>
      <c r="I53" s="29"/>
      <c r="J53" s="29"/>
      <c r="K53" s="29"/>
      <c r="L53" s="29"/>
      <c r="M53" s="18" t="str">
        <f>数据库!E51</f>
        <v>40128536</v>
      </c>
      <c r="N53" s="29" t="s">
        <v>695</v>
      </c>
      <c r="O53" s="32" t="s">
        <v>694</v>
      </c>
      <c r="P53" s="29" t="s">
        <v>693</v>
      </c>
      <c r="Q53" s="29"/>
      <c r="R53" s="29" t="s">
        <v>692</v>
      </c>
      <c r="S53" s="29" t="s">
        <v>691</v>
      </c>
      <c r="T53" s="29"/>
      <c r="U53" s="18">
        <f>数据库!I51</f>
        <v>0</v>
      </c>
      <c r="V53" s="35" t="s">
        <v>711</v>
      </c>
    </row>
    <row r="54" spans="1:22" ht="22.5">
      <c r="A54" s="32" t="s">
        <v>697</v>
      </c>
      <c r="B54" s="32" t="str">
        <f>数据库!B52&amp;"号楼"</f>
        <v>7号楼</v>
      </c>
      <c r="C54" s="32" t="str">
        <f>NUMBERSTRING(数据库!C52,3)&amp;"单元"</f>
        <v>一单元</v>
      </c>
      <c r="D54" s="32">
        <f>数据库!D52</f>
        <v>601</v>
      </c>
      <c r="E54" s="32">
        <f t="shared" si="0"/>
        <v>601</v>
      </c>
      <c r="F54" s="32"/>
      <c r="G54" s="32"/>
      <c r="H54" s="33" t="s">
        <v>696</v>
      </c>
      <c r="I54" s="29"/>
      <c r="J54" s="29"/>
      <c r="K54" s="29"/>
      <c r="L54" s="29"/>
      <c r="M54" s="18" t="str">
        <f>数据库!E52</f>
        <v>40133290</v>
      </c>
      <c r="N54" s="29" t="s">
        <v>695</v>
      </c>
      <c r="O54" s="32" t="s">
        <v>694</v>
      </c>
      <c r="P54" s="29" t="s">
        <v>693</v>
      </c>
      <c r="Q54" s="29"/>
      <c r="R54" s="29" t="s">
        <v>692</v>
      </c>
      <c r="S54" s="29" t="s">
        <v>691</v>
      </c>
      <c r="T54" s="29"/>
      <c r="U54" s="18">
        <f>数据库!I52</f>
        <v>0</v>
      </c>
      <c r="V54" s="35" t="s">
        <v>711</v>
      </c>
    </row>
    <row r="55" spans="1:22" ht="22.5">
      <c r="A55" s="32" t="s">
        <v>697</v>
      </c>
      <c r="B55" s="32" t="str">
        <f>数据库!B53&amp;"号楼"</f>
        <v>7号楼</v>
      </c>
      <c r="C55" s="32" t="str">
        <f>NUMBERSTRING(数据库!C53,3)&amp;"单元"</f>
        <v>一单元</v>
      </c>
      <c r="D55" s="32">
        <f>数据库!D53</f>
        <v>604</v>
      </c>
      <c r="E55" s="32">
        <f t="shared" si="0"/>
        <v>604</v>
      </c>
      <c r="F55" s="32"/>
      <c r="G55" s="32"/>
      <c r="H55" s="33" t="s">
        <v>696</v>
      </c>
      <c r="I55" s="29"/>
      <c r="J55" s="29"/>
      <c r="K55" s="29"/>
      <c r="L55" s="29"/>
      <c r="M55" s="18" t="str">
        <f>数据库!E53</f>
        <v>40153666</v>
      </c>
      <c r="N55" s="29" t="s">
        <v>695</v>
      </c>
      <c r="O55" s="32" t="s">
        <v>694</v>
      </c>
      <c r="P55" s="29" t="s">
        <v>693</v>
      </c>
      <c r="Q55" s="29"/>
      <c r="R55" s="29" t="s">
        <v>692</v>
      </c>
      <c r="S55" s="29" t="s">
        <v>691</v>
      </c>
      <c r="T55" s="29"/>
      <c r="U55" s="18">
        <f>数据库!I53</f>
        <v>0</v>
      </c>
      <c r="V55" s="35" t="s">
        <v>711</v>
      </c>
    </row>
    <row r="56" spans="1:22" ht="22.5">
      <c r="A56" s="32" t="s">
        <v>697</v>
      </c>
      <c r="B56" s="32" t="str">
        <f>数据库!B54&amp;"号楼"</f>
        <v>7号楼</v>
      </c>
      <c r="C56" s="32" t="str">
        <f>NUMBERSTRING(数据库!C54,3)&amp;"单元"</f>
        <v>二单元</v>
      </c>
      <c r="D56" s="32">
        <f>数据库!D54</f>
        <v>101</v>
      </c>
      <c r="E56" s="32">
        <f t="shared" si="0"/>
        <v>101</v>
      </c>
      <c r="F56" s="32"/>
      <c r="G56" s="32"/>
      <c r="H56" s="33" t="s">
        <v>696</v>
      </c>
      <c r="I56" s="29"/>
      <c r="J56" s="29"/>
      <c r="K56" s="29"/>
      <c r="L56" s="29"/>
      <c r="M56" s="18" t="str">
        <f>数据库!E54</f>
        <v>40192284</v>
      </c>
      <c r="N56" s="29" t="s">
        <v>695</v>
      </c>
      <c r="O56" s="32" t="s">
        <v>694</v>
      </c>
      <c r="P56" s="29" t="s">
        <v>693</v>
      </c>
      <c r="Q56" s="29"/>
      <c r="R56" s="29" t="s">
        <v>692</v>
      </c>
      <c r="S56" s="29" t="s">
        <v>691</v>
      </c>
      <c r="T56" s="29"/>
      <c r="U56" s="18">
        <f>数据库!I54</f>
        <v>0</v>
      </c>
      <c r="V56" s="35" t="s">
        <v>711</v>
      </c>
    </row>
    <row r="57" spans="1:22" ht="22.5">
      <c r="A57" s="32" t="s">
        <v>697</v>
      </c>
      <c r="B57" s="32" t="str">
        <f>数据库!B55&amp;"号楼"</f>
        <v>7号楼</v>
      </c>
      <c r="C57" s="32" t="str">
        <f>NUMBERSTRING(数据库!C55,3)&amp;"单元"</f>
        <v>二单元</v>
      </c>
      <c r="D57" s="32">
        <f>数据库!D55</f>
        <v>104</v>
      </c>
      <c r="E57" s="32">
        <f t="shared" si="0"/>
        <v>104</v>
      </c>
      <c r="F57" s="32"/>
      <c r="G57" s="32"/>
      <c r="H57" s="33" t="s">
        <v>696</v>
      </c>
      <c r="I57" s="29"/>
      <c r="J57" s="29"/>
      <c r="K57" s="29"/>
      <c r="L57" s="29"/>
      <c r="M57" s="18" t="str">
        <f>数据库!E55</f>
        <v>40132843</v>
      </c>
      <c r="N57" s="29" t="s">
        <v>695</v>
      </c>
      <c r="O57" s="32" t="s">
        <v>694</v>
      </c>
      <c r="P57" s="29" t="s">
        <v>693</v>
      </c>
      <c r="Q57" s="29"/>
      <c r="R57" s="29" t="s">
        <v>692</v>
      </c>
      <c r="S57" s="29" t="s">
        <v>691</v>
      </c>
      <c r="T57" s="29"/>
      <c r="U57" s="18">
        <f>数据库!I55</f>
        <v>0</v>
      </c>
      <c r="V57" s="35" t="s">
        <v>711</v>
      </c>
    </row>
    <row r="58" spans="1:22" ht="22.5">
      <c r="A58" s="32" t="s">
        <v>697</v>
      </c>
      <c r="B58" s="32" t="str">
        <f>数据库!B56&amp;"号楼"</f>
        <v>7号楼</v>
      </c>
      <c r="C58" s="32" t="str">
        <f>NUMBERSTRING(数据库!C56,3)&amp;"单元"</f>
        <v>二单元</v>
      </c>
      <c r="D58" s="32">
        <f>数据库!D56</f>
        <v>601</v>
      </c>
      <c r="E58" s="32">
        <f t="shared" si="0"/>
        <v>601</v>
      </c>
      <c r="F58" s="32"/>
      <c r="G58" s="32"/>
      <c r="H58" s="33" t="s">
        <v>696</v>
      </c>
      <c r="I58" s="29"/>
      <c r="J58" s="29"/>
      <c r="K58" s="29"/>
      <c r="L58" s="29"/>
      <c r="M58" s="18" t="str">
        <f>数据库!E56</f>
        <v>40121853</v>
      </c>
      <c r="N58" s="29" t="s">
        <v>695</v>
      </c>
      <c r="O58" s="32" t="s">
        <v>694</v>
      </c>
      <c r="P58" s="29" t="s">
        <v>693</v>
      </c>
      <c r="Q58" s="29"/>
      <c r="R58" s="29" t="s">
        <v>692</v>
      </c>
      <c r="S58" s="29" t="s">
        <v>691</v>
      </c>
      <c r="T58" s="29"/>
      <c r="U58" s="18">
        <f>数据库!I56</f>
        <v>0</v>
      </c>
      <c r="V58" s="35" t="s">
        <v>711</v>
      </c>
    </row>
    <row r="59" spans="1:22" ht="22.5">
      <c r="A59" s="32" t="s">
        <v>697</v>
      </c>
      <c r="B59" s="32" t="str">
        <f>数据库!B57&amp;"号楼"</f>
        <v>7号楼</v>
      </c>
      <c r="C59" s="32" t="str">
        <f>NUMBERSTRING(数据库!C57,3)&amp;"单元"</f>
        <v>二单元</v>
      </c>
      <c r="D59" s="32">
        <f>数据库!D57</f>
        <v>604</v>
      </c>
      <c r="E59" s="32">
        <f t="shared" si="0"/>
        <v>604</v>
      </c>
      <c r="F59" s="32"/>
      <c r="G59" s="32"/>
      <c r="H59" s="33" t="s">
        <v>696</v>
      </c>
      <c r="I59" s="29"/>
      <c r="J59" s="29"/>
      <c r="K59" s="29"/>
      <c r="L59" s="29"/>
      <c r="M59" s="18" t="str">
        <f>数据库!E57</f>
        <v>40185585</v>
      </c>
      <c r="N59" s="29" t="s">
        <v>695</v>
      </c>
      <c r="O59" s="32" t="s">
        <v>694</v>
      </c>
      <c r="P59" s="29" t="s">
        <v>693</v>
      </c>
      <c r="Q59" s="29"/>
      <c r="R59" s="29" t="s">
        <v>692</v>
      </c>
      <c r="S59" s="29" t="s">
        <v>691</v>
      </c>
      <c r="T59" s="29"/>
      <c r="U59" s="18">
        <f>数据库!I57</f>
        <v>0</v>
      </c>
      <c r="V59" s="35" t="s">
        <v>711</v>
      </c>
    </row>
    <row r="60" spans="1:22" ht="22.5">
      <c r="A60" s="32" t="s">
        <v>697</v>
      </c>
      <c r="B60" s="32" t="str">
        <f>数据库!B58&amp;"号楼"</f>
        <v>9号楼</v>
      </c>
      <c r="C60" s="32" t="str">
        <f>NUMBERSTRING(数据库!C58,3)&amp;"单元"</f>
        <v>一单元</v>
      </c>
      <c r="D60" s="32">
        <f>数据库!D58</f>
        <v>101</v>
      </c>
      <c r="E60" s="32">
        <f t="shared" si="0"/>
        <v>101</v>
      </c>
      <c r="F60" s="32"/>
      <c r="G60" s="32"/>
      <c r="H60" s="33" t="s">
        <v>696</v>
      </c>
      <c r="I60" s="29"/>
      <c r="J60" s="29"/>
      <c r="K60" s="29"/>
      <c r="L60" s="29"/>
      <c r="M60" s="18" t="str">
        <f>数据库!E58</f>
        <v>40178684</v>
      </c>
      <c r="N60" s="29" t="s">
        <v>695</v>
      </c>
      <c r="O60" s="32" t="s">
        <v>694</v>
      </c>
      <c r="P60" s="29" t="s">
        <v>693</v>
      </c>
      <c r="Q60" s="29"/>
      <c r="R60" s="29" t="s">
        <v>692</v>
      </c>
      <c r="S60" s="29" t="s">
        <v>691</v>
      </c>
      <c r="T60" s="29"/>
      <c r="U60" s="18">
        <f>数据库!I58</f>
        <v>0</v>
      </c>
      <c r="V60" s="35" t="s">
        <v>711</v>
      </c>
    </row>
    <row r="61" spans="1:22" ht="22.5">
      <c r="A61" s="32" t="s">
        <v>697</v>
      </c>
      <c r="B61" s="32" t="str">
        <f>数据库!B59&amp;"号楼"</f>
        <v>9号楼</v>
      </c>
      <c r="C61" s="32" t="str">
        <f>NUMBERSTRING(数据库!C59,3)&amp;"单元"</f>
        <v>一单元</v>
      </c>
      <c r="D61" s="32">
        <f>数据库!D59</f>
        <v>104</v>
      </c>
      <c r="E61" s="32">
        <f t="shared" si="0"/>
        <v>104</v>
      </c>
      <c r="F61" s="32"/>
      <c r="G61" s="32"/>
      <c r="H61" s="33" t="s">
        <v>696</v>
      </c>
      <c r="I61" s="29"/>
      <c r="J61" s="29"/>
      <c r="K61" s="29"/>
      <c r="L61" s="29"/>
      <c r="M61" s="18" t="str">
        <f>数据库!E59</f>
        <v>40192516</v>
      </c>
      <c r="N61" s="29" t="s">
        <v>695</v>
      </c>
      <c r="O61" s="32" t="s">
        <v>694</v>
      </c>
      <c r="P61" s="29" t="s">
        <v>693</v>
      </c>
      <c r="Q61" s="29"/>
      <c r="R61" s="29" t="s">
        <v>692</v>
      </c>
      <c r="S61" s="29" t="s">
        <v>691</v>
      </c>
      <c r="T61" s="29"/>
      <c r="U61" s="18">
        <f>数据库!I59</f>
        <v>0</v>
      </c>
      <c r="V61" s="35" t="s">
        <v>711</v>
      </c>
    </row>
    <row r="62" spans="1:22" ht="22.5">
      <c r="A62" s="32" t="s">
        <v>697</v>
      </c>
      <c r="B62" s="32" t="str">
        <f>数据库!B60&amp;"号楼"</f>
        <v>9号楼</v>
      </c>
      <c r="C62" s="32" t="str">
        <f>NUMBERSTRING(数据库!C60,3)&amp;"单元"</f>
        <v>一单元</v>
      </c>
      <c r="D62" s="32">
        <f>数据库!D60</f>
        <v>501</v>
      </c>
      <c r="E62" s="32">
        <f t="shared" si="0"/>
        <v>501</v>
      </c>
      <c r="F62" s="32"/>
      <c r="G62" s="32"/>
      <c r="H62" s="33" t="s">
        <v>696</v>
      </c>
      <c r="I62" s="29"/>
      <c r="J62" s="29"/>
      <c r="K62" s="29"/>
      <c r="L62" s="29"/>
      <c r="M62" s="18" t="str">
        <f>数据库!E60</f>
        <v>40118826</v>
      </c>
      <c r="N62" s="29" t="s">
        <v>695</v>
      </c>
      <c r="O62" s="32" t="s">
        <v>694</v>
      </c>
      <c r="P62" s="29" t="s">
        <v>693</v>
      </c>
      <c r="Q62" s="29"/>
      <c r="R62" s="29" t="s">
        <v>692</v>
      </c>
      <c r="S62" s="29" t="s">
        <v>691</v>
      </c>
      <c r="T62" s="29"/>
      <c r="U62" s="18">
        <f>数据库!I60</f>
        <v>0</v>
      </c>
      <c r="V62" s="35" t="s">
        <v>711</v>
      </c>
    </row>
    <row r="63" spans="1:22" ht="22.5">
      <c r="A63" s="32" t="s">
        <v>697</v>
      </c>
      <c r="B63" s="32" t="str">
        <f>数据库!B61&amp;"号楼"</f>
        <v>9号楼</v>
      </c>
      <c r="C63" s="32" t="str">
        <f>NUMBERSTRING(数据库!C61,3)&amp;"单元"</f>
        <v>一单元</v>
      </c>
      <c r="D63" s="32">
        <f>数据库!D61</f>
        <v>504</v>
      </c>
      <c r="E63" s="32">
        <f t="shared" si="0"/>
        <v>504</v>
      </c>
      <c r="F63" s="32"/>
      <c r="G63" s="32"/>
      <c r="H63" s="33" t="s">
        <v>696</v>
      </c>
      <c r="I63" s="29"/>
      <c r="J63" s="29"/>
      <c r="K63" s="29"/>
      <c r="L63" s="29"/>
      <c r="M63" s="18" t="str">
        <f>数据库!E61</f>
        <v>40137396</v>
      </c>
      <c r="N63" s="29" t="s">
        <v>695</v>
      </c>
      <c r="O63" s="32" t="s">
        <v>694</v>
      </c>
      <c r="P63" s="29" t="s">
        <v>693</v>
      </c>
      <c r="Q63" s="29"/>
      <c r="R63" s="29" t="s">
        <v>692</v>
      </c>
      <c r="S63" s="29" t="s">
        <v>691</v>
      </c>
      <c r="T63" s="29"/>
      <c r="U63" s="18">
        <f>数据库!I61</f>
        <v>0</v>
      </c>
      <c r="V63" s="35" t="s">
        <v>711</v>
      </c>
    </row>
    <row r="64" spans="1:22" ht="22.5">
      <c r="A64" s="32" t="s">
        <v>697</v>
      </c>
      <c r="B64" s="32" t="str">
        <f>数据库!B62&amp;"号楼"</f>
        <v>9号楼</v>
      </c>
      <c r="C64" s="32" t="str">
        <f>NUMBERSTRING(数据库!C62,3)&amp;"单元"</f>
        <v>二单元</v>
      </c>
      <c r="D64" s="32">
        <f>数据库!D62</f>
        <v>101</v>
      </c>
      <c r="E64" s="32">
        <f t="shared" si="0"/>
        <v>101</v>
      </c>
      <c r="F64" s="32"/>
      <c r="G64" s="32"/>
      <c r="H64" s="33" t="s">
        <v>696</v>
      </c>
      <c r="I64" s="29"/>
      <c r="J64" s="29"/>
      <c r="K64" s="29"/>
      <c r="L64" s="29"/>
      <c r="M64" s="18" t="str">
        <f>数据库!E62</f>
        <v>40190767</v>
      </c>
      <c r="N64" s="29" t="s">
        <v>695</v>
      </c>
      <c r="O64" s="32" t="s">
        <v>694</v>
      </c>
      <c r="P64" s="29" t="s">
        <v>693</v>
      </c>
      <c r="Q64" s="29"/>
      <c r="R64" s="29" t="s">
        <v>692</v>
      </c>
      <c r="S64" s="29" t="s">
        <v>691</v>
      </c>
      <c r="T64" s="29"/>
      <c r="U64" s="18">
        <f>数据库!I62</f>
        <v>0</v>
      </c>
      <c r="V64" s="35" t="s">
        <v>711</v>
      </c>
    </row>
    <row r="65" spans="1:22" ht="22.5">
      <c r="A65" s="32" t="s">
        <v>697</v>
      </c>
      <c r="B65" s="32" t="str">
        <f>数据库!B63&amp;"号楼"</f>
        <v>9号楼</v>
      </c>
      <c r="C65" s="32" t="str">
        <f>NUMBERSTRING(数据库!C63,3)&amp;"单元"</f>
        <v>二单元</v>
      </c>
      <c r="D65" s="32">
        <f>数据库!D63</f>
        <v>104</v>
      </c>
      <c r="E65" s="32">
        <f t="shared" si="0"/>
        <v>104</v>
      </c>
      <c r="F65" s="32"/>
      <c r="G65" s="32"/>
      <c r="H65" s="33" t="s">
        <v>696</v>
      </c>
      <c r="I65" s="29"/>
      <c r="J65" s="29"/>
      <c r="K65" s="29"/>
      <c r="L65" s="29"/>
      <c r="M65" s="18" t="str">
        <f>数据库!E63</f>
        <v>40159754</v>
      </c>
      <c r="N65" s="29" t="s">
        <v>695</v>
      </c>
      <c r="O65" s="32" t="s">
        <v>694</v>
      </c>
      <c r="P65" s="29" t="s">
        <v>693</v>
      </c>
      <c r="Q65" s="29"/>
      <c r="R65" s="29" t="s">
        <v>692</v>
      </c>
      <c r="S65" s="29" t="s">
        <v>691</v>
      </c>
      <c r="T65" s="29"/>
      <c r="U65" s="18">
        <f>数据库!I63</f>
        <v>0</v>
      </c>
      <c r="V65" s="35" t="s">
        <v>711</v>
      </c>
    </row>
    <row r="66" spans="1:22" ht="22.5">
      <c r="A66" s="32" t="s">
        <v>697</v>
      </c>
      <c r="B66" s="32" t="str">
        <f>数据库!B64&amp;"号楼"</f>
        <v>9号楼</v>
      </c>
      <c r="C66" s="32" t="str">
        <f>NUMBERSTRING(数据库!C64,3)&amp;"单元"</f>
        <v>二单元</v>
      </c>
      <c r="D66" s="32">
        <f>数据库!D64</f>
        <v>501</v>
      </c>
      <c r="E66" s="32">
        <f t="shared" si="0"/>
        <v>501</v>
      </c>
      <c r="F66" s="32"/>
      <c r="G66" s="32"/>
      <c r="H66" s="33" t="s">
        <v>696</v>
      </c>
      <c r="I66" s="29"/>
      <c r="J66" s="29"/>
      <c r="K66" s="29"/>
      <c r="L66" s="29"/>
      <c r="M66" s="18" t="str">
        <f>数据库!E64</f>
        <v>40133411</v>
      </c>
      <c r="N66" s="29" t="s">
        <v>695</v>
      </c>
      <c r="O66" s="32" t="s">
        <v>694</v>
      </c>
      <c r="P66" s="29" t="s">
        <v>693</v>
      </c>
      <c r="Q66" s="29"/>
      <c r="R66" s="29" t="s">
        <v>692</v>
      </c>
      <c r="S66" s="29" t="s">
        <v>691</v>
      </c>
      <c r="T66" s="29"/>
      <c r="U66" s="18">
        <f>数据库!I64</f>
        <v>0</v>
      </c>
      <c r="V66" s="35" t="s">
        <v>711</v>
      </c>
    </row>
    <row r="67" spans="1:22" ht="22.5">
      <c r="A67" s="32" t="s">
        <v>697</v>
      </c>
      <c r="B67" s="32" t="str">
        <f>数据库!B65&amp;"号楼"</f>
        <v>9号楼</v>
      </c>
      <c r="C67" s="32" t="str">
        <f>NUMBERSTRING(数据库!C65,3)&amp;"单元"</f>
        <v>二单元</v>
      </c>
      <c r="D67" s="32">
        <f>数据库!D65</f>
        <v>504</v>
      </c>
      <c r="E67" s="32">
        <f t="shared" si="0"/>
        <v>504</v>
      </c>
      <c r="F67" s="32"/>
      <c r="G67" s="32"/>
      <c r="H67" s="33" t="s">
        <v>696</v>
      </c>
      <c r="I67" s="29"/>
      <c r="J67" s="29"/>
      <c r="K67" s="29"/>
      <c r="L67" s="29"/>
      <c r="M67" s="18" t="str">
        <f>数据库!E65</f>
        <v>40175107</v>
      </c>
      <c r="N67" s="29" t="s">
        <v>695</v>
      </c>
      <c r="O67" s="32" t="s">
        <v>694</v>
      </c>
      <c r="P67" s="29" t="s">
        <v>693</v>
      </c>
      <c r="Q67" s="29"/>
      <c r="R67" s="29" t="s">
        <v>692</v>
      </c>
      <c r="S67" s="29" t="s">
        <v>691</v>
      </c>
      <c r="T67" s="29"/>
      <c r="U67" s="18">
        <f>数据库!I65</f>
        <v>0</v>
      </c>
      <c r="V67" s="35" t="s">
        <v>711</v>
      </c>
    </row>
    <row r="68" spans="1:22" ht="22.5">
      <c r="A68" s="32" t="s">
        <v>697</v>
      </c>
      <c r="B68" s="32" t="str">
        <f>数据库!B66&amp;"号楼"</f>
        <v>9号楼</v>
      </c>
      <c r="C68" s="32" t="str">
        <f>NUMBERSTRING(数据库!C66,3)&amp;"单元"</f>
        <v>三单元</v>
      </c>
      <c r="D68" s="32">
        <f>数据库!D66</f>
        <v>101</v>
      </c>
      <c r="E68" s="32">
        <f t="shared" si="0"/>
        <v>101</v>
      </c>
      <c r="F68" s="32"/>
      <c r="G68" s="32"/>
      <c r="H68" s="33" t="s">
        <v>696</v>
      </c>
      <c r="I68" s="29"/>
      <c r="J68" s="29"/>
      <c r="K68" s="29"/>
      <c r="L68" s="29"/>
      <c r="M68" s="18" t="str">
        <f>数据库!E66</f>
        <v>40128379</v>
      </c>
      <c r="N68" s="29" t="s">
        <v>695</v>
      </c>
      <c r="O68" s="32" t="s">
        <v>694</v>
      </c>
      <c r="P68" s="29" t="s">
        <v>693</v>
      </c>
      <c r="Q68" s="29"/>
      <c r="R68" s="29" t="s">
        <v>692</v>
      </c>
      <c r="S68" s="29" t="s">
        <v>691</v>
      </c>
      <c r="T68" s="29"/>
      <c r="U68" s="18">
        <f>数据库!I66</f>
        <v>0</v>
      </c>
      <c r="V68" s="35" t="s">
        <v>711</v>
      </c>
    </row>
    <row r="69" spans="1:22" ht="22.5">
      <c r="A69" s="32" t="s">
        <v>697</v>
      </c>
      <c r="B69" s="32" t="str">
        <f>数据库!B67&amp;"号楼"</f>
        <v>9号楼</v>
      </c>
      <c r="C69" s="32" t="str">
        <f>NUMBERSTRING(数据库!C67,3)&amp;"单元"</f>
        <v>三单元</v>
      </c>
      <c r="D69" s="32">
        <f>数据库!D67</f>
        <v>104</v>
      </c>
      <c r="E69" s="32">
        <f t="shared" ref="E69:E132" si="1">D69</f>
        <v>104</v>
      </c>
      <c r="F69" s="32"/>
      <c r="G69" s="32"/>
      <c r="H69" s="33" t="s">
        <v>696</v>
      </c>
      <c r="I69" s="29"/>
      <c r="J69" s="29"/>
      <c r="K69" s="29"/>
      <c r="L69" s="29"/>
      <c r="M69" s="18" t="str">
        <f>数据库!E67</f>
        <v>40190734</v>
      </c>
      <c r="N69" s="29" t="s">
        <v>695</v>
      </c>
      <c r="O69" s="32" t="s">
        <v>694</v>
      </c>
      <c r="P69" s="29" t="s">
        <v>693</v>
      </c>
      <c r="Q69" s="29"/>
      <c r="R69" s="29" t="s">
        <v>692</v>
      </c>
      <c r="S69" s="29" t="s">
        <v>691</v>
      </c>
      <c r="T69" s="29"/>
      <c r="U69" s="18">
        <f>数据库!I67</f>
        <v>0</v>
      </c>
      <c r="V69" s="35" t="s">
        <v>711</v>
      </c>
    </row>
    <row r="70" spans="1:22" ht="22.5">
      <c r="A70" s="32" t="s">
        <v>697</v>
      </c>
      <c r="B70" s="32" t="str">
        <f>数据库!B68&amp;"号楼"</f>
        <v>9号楼</v>
      </c>
      <c r="C70" s="32" t="str">
        <f>NUMBERSTRING(数据库!C68,3)&amp;"单元"</f>
        <v>三单元</v>
      </c>
      <c r="D70" s="32">
        <f>数据库!D68</f>
        <v>501</v>
      </c>
      <c r="E70" s="32">
        <f t="shared" si="1"/>
        <v>501</v>
      </c>
      <c r="F70" s="32"/>
      <c r="G70" s="32"/>
      <c r="H70" s="33" t="s">
        <v>696</v>
      </c>
      <c r="I70" s="29"/>
      <c r="J70" s="29"/>
      <c r="K70" s="29"/>
      <c r="L70" s="29"/>
      <c r="M70" s="18" t="str">
        <f>数据库!E68</f>
        <v>40121952</v>
      </c>
      <c r="N70" s="29" t="s">
        <v>695</v>
      </c>
      <c r="O70" s="32" t="s">
        <v>694</v>
      </c>
      <c r="P70" s="29" t="s">
        <v>693</v>
      </c>
      <c r="Q70" s="29"/>
      <c r="R70" s="29" t="s">
        <v>692</v>
      </c>
      <c r="S70" s="29" t="s">
        <v>691</v>
      </c>
      <c r="T70" s="29"/>
      <c r="U70" s="18">
        <f>数据库!I68</f>
        <v>0</v>
      </c>
      <c r="V70" s="35" t="s">
        <v>711</v>
      </c>
    </row>
    <row r="71" spans="1:22" ht="22.5">
      <c r="A71" s="32" t="s">
        <v>697</v>
      </c>
      <c r="B71" s="32" t="str">
        <f>数据库!B69&amp;"号楼"</f>
        <v>9号楼</v>
      </c>
      <c r="C71" s="32" t="str">
        <f>NUMBERSTRING(数据库!C69,3)&amp;"单元"</f>
        <v>三单元</v>
      </c>
      <c r="D71" s="32">
        <f>数据库!D69</f>
        <v>504</v>
      </c>
      <c r="E71" s="32">
        <f t="shared" si="1"/>
        <v>504</v>
      </c>
      <c r="F71" s="32"/>
      <c r="G71" s="32"/>
      <c r="H71" s="33" t="s">
        <v>696</v>
      </c>
      <c r="I71" s="29"/>
      <c r="J71" s="29"/>
      <c r="K71" s="29"/>
      <c r="L71" s="29"/>
      <c r="M71" s="18" t="str">
        <f>数据库!E69</f>
        <v>40199354</v>
      </c>
      <c r="N71" s="29" t="s">
        <v>695</v>
      </c>
      <c r="O71" s="32" t="s">
        <v>694</v>
      </c>
      <c r="P71" s="29" t="s">
        <v>693</v>
      </c>
      <c r="Q71" s="29"/>
      <c r="R71" s="29" t="s">
        <v>692</v>
      </c>
      <c r="S71" s="29" t="s">
        <v>691</v>
      </c>
      <c r="T71" s="29"/>
      <c r="U71" s="18">
        <f>数据库!I69</f>
        <v>0</v>
      </c>
      <c r="V71" s="35" t="s">
        <v>711</v>
      </c>
    </row>
    <row r="72" spans="1:22" ht="22.5">
      <c r="A72" s="32" t="s">
        <v>697</v>
      </c>
      <c r="B72" s="32" t="str">
        <f>数据库!B70&amp;"号楼"</f>
        <v>10号楼</v>
      </c>
      <c r="C72" s="32" t="str">
        <f>NUMBERSTRING(数据库!C70,3)&amp;"单元"</f>
        <v>一单元</v>
      </c>
      <c r="D72" s="32">
        <f>数据库!D70</f>
        <v>101</v>
      </c>
      <c r="E72" s="32">
        <f t="shared" si="1"/>
        <v>101</v>
      </c>
      <c r="F72" s="32"/>
      <c r="G72" s="32"/>
      <c r="H72" s="33" t="s">
        <v>696</v>
      </c>
      <c r="I72" s="29"/>
      <c r="J72" s="29"/>
      <c r="K72" s="29"/>
      <c r="L72" s="29"/>
      <c r="M72" s="18" t="str">
        <f>数据库!E70</f>
        <v>40138105</v>
      </c>
      <c r="N72" s="29" t="s">
        <v>695</v>
      </c>
      <c r="O72" s="32" t="s">
        <v>694</v>
      </c>
      <c r="P72" s="29" t="s">
        <v>693</v>
      </c>
      <c r="Q72" s="29"/>
      <c r="R72" s="29" t="s">
        <v>692</v>
      </c>
      <c r="S72" s="29" t="s">
        <v>691</v>
      </c>
      <c r="T72" s="29"/>
      <c r="U72" s="18">
        <f>数据库!I70</f>
        <v>0</v>
      </c>
      <c r="V72" s="35" t="s">
        <v>711</v>
      </c>
    </row>
    <row r="73" spans="1:22" ht="22.5">
      <c r="A73" s="32" t="s">
        <v>697</v>
      </c>
      <c r="B73" s="32" t="str">
        <f>数据库!B71&amp;"号楼"</f>
        <v>10号楼</v>
      </c>
      <c r="C73" s="32" t="str">
        <f>NUMBERSTRING(数据库!C71,3)&amp;"单元"</f>
        <v>一单元</v>
      </c>
      <c r="D73" s="32">
        <f>数据库!D71</f>
        <v>104</v>
      </c>
      <c r="E73" s="32">
        <f t="shared" si="1"/>
        <v>104</v>
      </c>
      <c r="F73" s="32"/>
      <c r="G73" s="32"/>
      <c r="H73" s="33" t="s">
        <v>696</v>
      </c>
      <c r="I73" s="29"/>
      <c r="J73" s="29"/>
      <c r="K73" s="29"/>
      <c r="L73" s="29"/>
      <c r="M73" s="18" t="str">
        <f>数据库!E71</f>
        <v>40175834</v>
      </c>
      <c r="N73" s="29" t="s">
        <v>695</v>
      </c>
      <c r="O73" s="32" t="s">
        <v>694</v>
      </c>
      <c r="P73" s="29" t="s">
        <v>693</v>
      </c>
      <c r="Q73" s="29"/>
      <c r="R73" s="29" t="s">
        <v>692</v>
      </c>
      <c r="S73" s="29" t="s">
        <v>691</v>
      </c>
      <c r="T73" s="29"/>
      <c r="U73" s="18">
        <f>数据库!I71</f>
        <v>0</v>
      </c>
      <c r="V73" s="35" t="s">
        <v>711</v>
      </c>
    </row>
    <row r="74" spans="1:22" ht="22.5">
      <c r="A74" s="32" t="s">
        <v>697</v>
      </c>
      <c r="B74" s="32" t="str">
        <f>数据库!B72&amp;"号楼"</f>
        <v>10号楼</v>
      </c>
      <c r="C74" s="32" t="str">
        <f>NUMBERSTRING(数据库!C72,3)&amp;"单元"</f>
        <v>一单元</v>
      </c>
      <c r="D74" s="32">
        <f>数据库!D72</f>
        <v>501</v>
      </c>
      <c r="E74" s="32">
        <f t="shared" si="1"/>
        <v>501</v>
      </c>
      <c r="F74" s="32"/>
      <c r="G74" s="32"/>
      <c r="H74" s="33" t="s">
        <v>696</v>
      </c>
      <c r="I74" s="29"/>
      <c r="J74" s="29"/>
      <c r="K74" s="29"/>
      <c r="L74" s="29"/>
      <c r="M74" s="18" t="str">
        <f>数据库!E72</f>
        <v>40167732</v>
      </c>
      <c r="N74" s="29" t="s">
        <v>695</v>
      </c>
      <c r="O74" s="32" t="s">
        <v>694</v>
      </c>
      <c r="P74" s="29" t="s">
        <v>693</v>
      </c>
      <c r="Q74" s="29"/>
      <c r="R74" s="29" t="s">
        <v>692</v>
      </c>
      <c r="S74" s="29" t="s">
        <v>691</v>
      </c>
      <c r="T74" s="29"/>
      <c r="U74" s="18">
        <f>数据库!I72</f>
        <v>0</v>
      </c>
      <c r="V74" s="35" t="s">
        <v>711</v>
      </c>
    </row>
    <row r="75" spans="1:22" ht="22.5">
      <c r="A75" s="32" t="s">
        <v>697</v>
      </c>
      <c r="B75" s="32" t="str">
        <f>数据库!B73&amp;"号楼"</f>
        <v>10号楼</v>
      </c>
      <c r="C75" s="32" t="str">
        <f>NUMBERSTRING(数据库!C73,3)&amp;"单元"</f>
        <v>一单元</v>
      </c>
      <c r="D75" s="32">
        <f>数据库!D73</f>
        <v>504</v>
      </c>
      <c r="E75" s="32">
        <f t="shared" si="1"/>
        <v>504</v>
      </c>
      <c r="F75" s="32"/>
      <c r="G75" s="32"/>
      <c r="H75" s="33" t="s">
        <v>696</v>
      </c>
      <c r="I75" s="29"/>
      <c r="J75" s="29"/>
      <c r="K75" s="29"/>
      <c r="L75" s="29"/>
      <c r="M75" s="18" t="str">
        <f>数据库!E73</f>
        <v>40162444</v>
      </c>
      <c r="N75" s="29" t="s">
        <v>695</v>
      </c>
      <c r="O75" s="32" t="s">
        <v>694</v>
      </c>
      <c r="P75" s="29" t="s">
        <v>693</v>
      </c>
      <c r="Q75" s="29"/>
      <c r="R75" s="29" t="s">
        <v>692</v>
      </c>
      <c r="S75" s="29" t="s">
        <v>691</v>
      </c>
      <c r="T75" s="29"/>
      <c r="U75" s="18">
        <f>数据库!I73</f>
        <v>0</v>
      </c>
      <c r="V75" s="35" t="s">
        <v>711</v>
      </c>
    </row>
    <row r="76" spans="1:22" ht="22.5">
      <c r="A76" s="32" t="s">
        <v>697</v>
      </c>
      <c r="B76" s="32" t="str">
        <f>数据库!B74&amp;"号楼"</f>
        <v>10号楼</v>
      </c>
      <c r="C76" s="32" t="str">
        <f>NUMBERSTRING(数据库!C74,3)&amp;"单元"</f>
        <v>二单元</v>
      </c>
      <c r="D76" s="32">
        <f>数据库!D74</f>
        <v>101</v>
      </c>
      <c r="E76" s="32">
        <f t="shared" si="1"/>
        <v>101</v>
      </c>
      <c r="F76" s="32"/>
      <c r="G76" s="32"/>
      <c r="H76" s="33" t="s">
        <v>696</v>
      </c>
      <c r="I76" s="29"/>
      <c r="J76" s="29"/>
      <c r="K76" s="29"/>
      <c r="L76" s="29"/>
      <c r="M76" s="18" t="str">
        <f>数据库!E74</f>
        <v>40122273</v>
      </c>
      <c r="N76" s="29" t="s">
        <v>695</v>
      </c>
      <c r="O76" s="32" t="s">
        <v>694</v>
      </c>
      <c r="P76" s="29" t="s">
        <v>693</v>
      </c>
      <c r="Q76" s="29"/>
      <c r="R76" s="29" t="s">
        <v>692</v>
      </c>
      <c r="S76" s="29" t="s">
        <v>691</v>
      </c>
      <c r="T76" s="29"/>
      <c r="U76" s="18">
        <f>数据库!I74</f>
        <v>0</v>
      </c>
      <c r="V76" s="35" t="s">
        <v>711</v>
      </c>
    </row>
    <row r="77" spans="1:22" ht="22.5">
      <c r="A77" s="32" t="s">
        <v>697</v>
      </c>
      <c r="B77" s="32" t="str">
        <f>数据库!B75&amp;"号楼"</f>
        <v>10号楼</v>
      </c>
      <c r="C77" s="32" t="str">
        <f>NUMBERSTRING(数据库!C75,3)&amp;"单元"</f>
        <v>二单元</v>
      </c>
      <c r="D77" s="32">
        <f>数据库!D75</f>
        <v>104</v>
      </c>
      <c r="E77" s="32">
        <f t="shared" si="1"/>
        <v>104</v>
      </c>
      <c r="F77" s="32"/>
      <c r="G77" s="32"/>
      <c r="H77" s="33" t="s">
        <v>696</v>
      </c>
      <c r="I77" s="29"/>
      <c r="J77" s="29"/>
      <c r="K77" s="29"/>
      <c r="L77" s="29"/>
      <c r="M77" s="18" t="str">
        <f>数据库!E75</f>
        <v>40189037</v>
      </c>
      <c r="N77" s="29" t="s">
        <v>695</v>
      </c>
      <c r="O77" s="32" t="s">
        <v>694</v>
      </c>
      <c r="P77" s="29" t="s">
        <v>693</v>
      </c>
      <c r="Q77" s="29"/>
      <c r="R77" s="29" t="s">
        <v>692</v>
      </c>
      <c r="S77" s="29" t="s">
        <v>691</v>
      </c>
      <c r="T77" s="29"/>
      <c r="U77" s="18">
        <f>数据库!I75</f>
        <v>0</v>
      </c>
      <c r="V77" s="35" t="s">
        <v>711</v>
      </c>
    </row>
    <row r="78" spans="1:22" ht="22.5">
      <c r="A78" s="32" t="s">
        <v>697</v>
      </c>
      <c r="B78" s="32" t="str">
        <f>数据库!B76&amp;"号楼"</f>
        <v>10号楼</v>
      </c>
      <c r="C78" s="32" t="str">
        <f>NUMBERSTRING(数据库!C76,3)&amp;"单元"</f>
        <v>二单元</v>
      </c>
      <c r="D78" s="32">
        <f>数据库!D76</f>
        <v>501</v>
      </c>
      <c r="E78" s="32">
        <f t="shared" si="1"/>
        <v>501</v>
      </c>
      <c r="F78" s="32"/>
      <c r="G78" s="32"/>
      <c r="H78" s="33" t="s">
        <v>696</v>
      </c>
      <c r="I78" s="29"/>
      <c r="J78" s="29"/>
      <c r="K78" s="29"/>
      <c r="L78" s="29"/>
      <c r="M78" s="18" t="str">
        <f>数据库!E76</f>
        <v>40185494</v>
      </c>
      <c r="N78" s="29" t="s">
        <v>695</v>
      </c>
      <c r="O78" s="32" t="s">
        <v>694</v>
      </c>
      <c r="P78" s="29" t="s">
        <v>693</v>
      </c>
      <c r="Q78" s="29"/>
      <c r="R78" s="29" t="s">
        <v>692</v>
      </c>
      <c r="S78" s="29" t="s">
        <v>691</v>
      </c>
      <c r="T78" s="29"/>
      <c r="U78" s="18">
        <f>数据库!I76</f>
        <v>0</v>
      </c>
      <c r="V78" s="35" t="s">
        <v>711</v>
      </c>
    </row>
    <row r="79" spans="1:22" ht="22.5">
      <c r="A79" s="32" t="s">
        <v>697</v>
      </c>
      <c r="B79" s="32" t="str">
        <f>数据库!B77&amp;"号楼"</f>
        <v>10号楼</v>
      </c>
      <c r="C79" s="32" t="str">
        <f>NUMBERSTRING(数据库!C77,3)&amp;"单元"</f>
        <v>二单元</v>
      </c>
      <c r="D79" s="32">
        <f>数据库!D77</f>
        <v>504</v>
      </c>
      <c r="E79" s="32">
        <f t="shared" si="1"/>
        <v>504</v>
      </c>
      <c r="F79" s="32"/>
      <c r="G79" s="32"/>
      <c r="H79" s="33" t="s">
        <v>696</v>
      </c>
      <c r="I79" s="29"/>
      <c r="J79" s="29"/>
      <c r="K79" s="29"/>
      <c r="L79" s="29"/>
      <c r="M79" s="18" t="str">
        <f>数据库!E77</f>
        <v>40196897</v>
      </c>
      <c r="N79" s="29" t="s">
        <v>695</v>
      </c>
      <c r="O79" s="32" t="s">
        <v>694</v>
      </c>
      <c r="P79" s="29" t="s">
        <v>693</v>
      </c>
      <c r="Q79" s="29"/>
      <c r="R79" s="29" t="s">
        <v>692</v>
      </c>
      <c r="S79" s="29" t="s">
        <v>691</v>
      </c>
      <c r="T79" s="29"/>
      <c r="U79" s="18">
        <f>数据库!I77</f>
        <v>0</v>
      </c>
      <c r="V79" s="35" t="s">
        <v>711</v>
      </c>
    </row>
    <row r="80" spans="1:22" ht="22.5">
      <c r="A80" s="32" t="s">
        <v>697</v>
      </c>
      <c r="B80" s="32" t="str">
        <f>数据库!B78&amp;"号楼"</f>
        <v>11号楼</v>
      </c>
      <c r="C80" s="32" t="str">
        <f>NUMBERSTRING(数据库!C78,3)&amp;"单元"</f>
        <v>一单元</v>
      </c>
      <c r="D80" s="32">
        <f>数据库!D78</f>
        <v>101</v>
      </c>
      <c r="E80" s="32">
        <f t="shared" si="1"/>
        <v>101</v>
      </c>
      <c r="F80" s="32"/>
      <c r="G80" s="32"/>
      <c r="H80" s="33" t="s">
        <v>696</v>
      </c>
      <c r="I80" s="29"/>
      <c r="J80" s="29"/>
      <c r="K80" s="29"/>
      <c r="L80" s="29"/>
      <c r="M80" s="18" t="str">
        <f>数据库!E78</f>
        <v>40163673</v>
      </c>
      <c r="N80" s="29" t="s">
        <v>695</v>
      </c>
      <c r="O80" s="32" t="s">
        <v>694</v>
      </c>
      <c r="P80" s="29" t="s">
        <v>693</v>
      </c>
      <c r="Q80" s="29"/>
      <c r="R80" s="29" t="s">
        <v>692</v>
      </c>
      <c r="S80" s="29" t="s">
        <v>691</v>
      </c>
      <c r="T80" s="29"/>
      <c r="U80" s="18">
        <f>数据库!I78</f>
        <v>0</v>
      </c>
      <c r="V80" s="35" t="s">
        <v>711</v>
      </c>
    </row>
    <row r="81" spans="1:22" ht="22.5">
      <c r="A81" s="32" t="s">
        <v>697</v>
      </c>
      <c r="B81" s="32" t="str">
        <f>数据库!B79&amp;"号楼"</f>
        <v>11号楼</v>
      </c>
      <c r="C81" s="32" t="str">
        <f>NUMBERSTRING(数据库!C79,3)&amp;"单元"</f>
        <v>一单元</v>
      </c>
      <c r="D81" s="32">
        <f>数据库!D79</f>
        <v>104</v>
      </c>
      <c r="E81" s="32">
        <f t="shared" si="1"/>
        <v>104</v>
      </c>
      <c r="F81" s="32"/>
      <c r="G81" s="32"/>
      <c r="H81" s="33" t="s">
        <v>696</v>
      </c>
      <c r="I81" s="29"/>
      <c r="J81" s="29"/>
      <c r="K81" s="29"/>
      <c r="L81" s="29"/>
      <c r="M81" s="18" t="str">
        <f>数据库!E79</f>
        <v>40175271</v>
      </c>
      <c r="N81" s="29" t="s">
        <v>695</v>
      </c>
      <c r="O81" s="32" t="s">
        <v>694</v>
      </c>
      <c r="P81" s="29" t="s">
        <v>693</v>
      </c>
      <c r="Q81" s="29"/>
      <c r="R81" s="29" t="s">
        <v>692</v>
      </c>
      <c r="S81" s="29" t="s">
        <v>691</v>
      </c>
      <c r="T81" s="29"/>
      <c r="U81" s="18">
        <f>数据库!I79</f>
        <v>0</v>
      </c>
      <c r="V81" s="35" t="s">
        <v>711</v>
      </c>
    </row>
    <row r="82" spans="1:22" ht="22.5">
      <c r="A82" s="32" t="s">
        <v>697</v>
      </c>
      <c r="B82" s="32" t="str">
        <f>数据库!B80&amp;"号楼"</f>
        <v>11号楼</v>
      </c>
      <c r="C82" s="32" t="str">
        <f>NUMBERSTRING(数据库!C80,3)&amp;"单元"</f>
        <v>一单元</v>
      </c>
      <c r="D82" s="32">
        <f>数据库!D80</f>
        <v>601</v>
      </c>
      <c r="E82" s="32">
        <f t="shared" si="1"/>
        <v>601</v>
      </c>
      <c r="F82" s="32"/>
      <c r="G82" s="32"/>
      <c r="H82" s="33" t="s">
        <v>696</v>
      </c>
      <c r="I82" s="29"/>
      <c r="J82" s="29"/>
      <c r="K82" s="29"/>
      <c r="L82" s="29"/>
      <c r="M82" s="18" t="str">
        <f>数据库!E80</f>
        <v>40199727</v>
      </c>
      <c r="N82" s="29" t="s">
        <v>695</v>
      </c>
      <c r="O82" s="32" t="s">
        <v>694</v>
      </c>
      <c r="P82" s="29" t="s">
        <v>693</v>
      </c>
      <c r="Q82" s="29"/>
      <c r="R82" s="29" t="s">
        <v>692</v>
      </c>
      <c r="S82" s="29" t="s">
        <v>691</v>
      </c>
      <c r="T82" s="29"/>
      <c r="U82" s="18">
        <f>数据库!I80</f>
        <v>0</v>
      </c>
      <c r="V82" s="35" t="s">
        <v>711</v>
      </c>
    </row>
    <row r="83" spans="1:22" ht="22.5">
      <c r="A83" s="32" t="s">
        <v>697</v>
      </c>
      <c r="B83" s="32" t="str">
        <f>数据库!B81&amp;"号楼"</f>
        <v>11号楼</v>
      </c>
      <c r="C83" s="32" t="str">
        <f>NUMBERSTRING(数据库!C81,3)&amp;"单元"</f>
        <v>一单元</v>
      </c>
      <c r="D83" s="32">
        <f>数据库!D81</f>
        <v>604</v>
      </c>
      <c r="E83" s="32">
        <f t="shared" si="1"/>
        <v>604</v>
      </c>
      <c r="F83" s="32"/>
      <c r="G83" s="32"/>
      <c r="H83" s="33" t="s">
        <v>696</v>
      </c>
      <c r="I83" s="29"/>
      <c r="J83" s="29"/>
      <c r="K83" s="29"/>
      <c r="L83" s="29"/>
      <c r="M83" s="18" t="str">
        <f>数据库!E81</f>
        <v>40158061</v>
      </c>
      <c r="N83" s="29" t="s">
        <v>695</v>
      </c>
      <c r="O83" s="32" t="s">
        <v>694</v>
      </c>
      <c r="P83" s="29" t="s">
        <v>693</v>
      </c>
      <c r="Q83" s="29"/>
      <c r="R83" s="29" t="s">
        <v>692</v>
      </c>
      <c r="S83" s="29" t="s">
        <v>691</v>
      </c>
      <c r="T83" s="29"/>
      <c r="U83" s="18">
        <f>数据库!I81</f>
        <v>0</v>
      </c>
      <c r="V83" s="35" t="s">
        <v>711</v>
      </c>
    </row>
    <row r="84" spans="1:22" ht="22.5">
      <c r="A84" s="32" t="s">
        <v>697</v>
      </c>
      <c r="B84" s="32" t="str">
        <f>数据库!B82&amp;"号楼"</f>
        <v>11号楼</v>
      </c>
      <c r="C84" s="32" t="str">
        <f>NUMBERSTRING(数据库!C82,3)&amp;"单元"</f>
        <v>二单元</v>
      </c>
      <c r="D84" s="32">
        <f>数据库!D82</f>
        <v>101</v>
      </c>
      <c r="E84" s="32">
        <f t="shared" si="1"/>
        <v>101</v>
      </c>
      <c r="F84" s="32"/>
      <c r="G84" s="32"/>
      <c r="H84" s="33" t="s">
        <v>696</v>
      </c>
      <c r="I84" s="29"/>
      <c r="J84" s="29"/>
      <c r="K84" s="29"/>
      <c r="L84" s="29"/>
      <c r="M84" s="18" t="str">
        <f>数据库!E82</f>
        <v>40204717</v>
      </c>
      <c r="N84" s="29" t="s">
        <v>695</v>
      </c>
      <c r="O84" s="32" t="s">
        <v>694</v>
      </c>
      <c r="P84" s="29" t="s">
        <v>693</v>
      </c>
      <c r="Q84" s="29"/>
      <c r="R84" s="29" t="s">
        <v>692</v>
      </c>
      <c r="S84" s="29" t="s">
        <v>691</v>
      </c>
      <c r="T84" s="29"/>
      <c r="U84" s="18">
        <f>数据库!I82</f>
        <v>0</v>
      </c>
      <c r="V84" s="35" t="s">
        <v>711</v>
      </c>
    </row>
    <row r="85" spans="1:22" ht="22.5">
      <c r="A85" s="32" t="s">
        <v>697</v>
      </c>
      <c r="B85" s="32" t="str">
        <f>数据库!B83&amp;"号楼"</f>
        <v>11号楼</v>
      </c>
      <c r="C85" s="32" t="str">
        <f>NUMBERSTRING(数据库!C83,3)&amp;"单元"</f>
        <v>二单元</v>
      </c>
      <c r="D85" s="32">
        <f>数据库!D83</f>
        <v>104</v>
      </c>
      <c r="E85" s="32">
        <f t="shared" si="1"/>
        <v>104</v>
      </c>
      <c r="F85" s="32"/>
      <c r="G85" s="32"/>
      <c r="H85" s="33" t="s">
        <v>696</v>
      </c>
      <c r="I85" s="29"/>
      <c r="J85" s="29"/>
      <c r="K85" s="29"/>
      <c r="L85" s="29"/>
      <c r="M85" s="18" t="str">
        <f>数据库!E83</f>
        <v>40122323</v>
      </c>
      <c r="N85" s="29" t="s">
        <v>695</v>
      </c>
      <c r="O85" s="32" t="s">
        <v>694</v>
      </c>
      <c r="P85" s="29" t="s">
        <v>693</v>
      </c>
      <c r="Q85" s="29"/>
      <c r="R85" s="29" t="s">
        <v>692</v>
      </c>
      <c r="S85" s="29" t="s">
        <v>691</v>
      </c>
      <c r="T85" s="29"/>
      <c r="U85" s="18">
        <f>数据库!I83</f>
        <v>0</v>
      </c>
      <c r="V85" s="35" t="s">
        <v>711</v>
      </c>
    </row>
    <row r="86" spans="1:22" ht="22.5">
      <c r="A86" s="32" t="s">
        <v>697</v>
      </c>
      <c r="B86" s="32" t="str">
        <f>数据库!B84&amp;"号楼"</f>
        <v>11号楼</v>
      </c>
      <c r="C86" s="32" t="str">
        <f>NUMBERSTRING(数据库!C84,3)&amp;"单元"</f>
        <v>二单元</v>
      </c>
      <c r="D86" s="32">
        <f>数据库!D84</f>
        <v>601</v>
      </c>
      <c r="E86" s="32">
        <f t="shared" si="1"/>
        <v>601</v>
      </c>
      <c r="F86" s="32"/>
      <c r="G86" s="32"/>
      <c r="H86" s="33" t="s">
        <v>696</v>
      </c>
      <c r="I86" s="29"/>
      <c r="J86" s="29"/>
      <c r="K86" s="29"/>
      <c r="L86" s="29"/>
      <c r="M86" s="18" t="str">
        <f>数据库!E84</f>
        <v>40175537</v>
      </c>
      <c r="N86" s="29" t="s">
        <v>695</v>
      </c>
      <c r="O86" s="32" t="s">
        <v>694</v>
      </c>
      <c r="P86" s="29" t="s">
        <v>693</v>
      </c>
      <c r="Q86" s="29"/>
      <c r="R86" s="29" t="s">
        <v>692</v>
      </c>
      <c r="S86" s="29" t="s">
        <v>691</v>
      </c>
      <c r="T86" s="29"/>
      <c r="U86" s="18">
        <f>数据库!I84</f>
        <v>0</v>
      </c>
      <c r="V86" s="35" t="s">
        <v>711</v>
      </c>
    </row>
    <row r="87" spans="1:22" ht="22.5">
      <c r="A87" s="32" t="s">
        <v>697</v>
      </c>
      <c r="B87" s="32" t="str">
        <f>数据库!B85&amp;"号楼"</f>
        <v>11号楼</v>
      </c>
      <c r="C87" s="32" t="str">
        <f>NUMBERSTRING(数据库!C85,3)&amp;"单元"</f>
        <v>二单元</v>
      </c>
      <c r="D87" s="32">
        <f>数据库!D85</f>
        <v>604</v>
      </c>
      <c r="E87" s="32">
        <f t="shared" si="1"/>
        <v>604</v>
      </c>
      <c r="F87" s="32"/>
      <c r="G87" s="32"/>
      <c r="H87" s="33" t="s">
        <v>696</v>
      </c>
      <c r="I87" s="29"/>
      <c r="J87" s="29"/>
      <c r="K87" s="29"/>
      <c r="L87" s="29"/>
      <c r="M87" s="18" t="str">
        <f>数据库!E85</f>
        <v>40158194</v>
      </c>
      <c r="N87" s="29" t="s">
        <v>695</v>
      </c>
      <c r="O87" s="32" t="s">
        <v>694</v>
      </c>
      <c r="P87" s="29" t="s">
        <v>693</v>
      </c>
      <c r="Q87" s="29"/>
      <c r="R87" s="29" t="s">
        <v>692</v>
      </c>
      <c r="S87" s="29" t="s">
        <v>691</v>
      </c>
      <c r="T87" s="29"/>
      <c r="U87" s="18">
        <f>数据库!I85</f>
        <v>0</v>
      </c>
      <c r="V87" s="35" t="s">
        <v>711</v>
      </c>
    </row>
    <row r="88" spans="1:22" ht="22.5">
      <c r="A88" s="32" t="s">
        <v>697</v>
      </c>
      <c r="B88" s="32" t="str">
        <f>数据库!B86&amp;"号楼"</f>
        <v>13A号楼</v>
      </c>
      <c r="C88" s="32" t="str">
        <f>NUMBERSTRING(数据库!C86,3)&amp;"单元"</f>
        <v>一单元</v>
      </c>
      <c r="D88" s="32">
        <f>数据库!D86</f>
        <v>101</v>
      </c>
      <c r="E88" s="32">
        <f t="shared" si="1"/>
        <v>101</v>
      </c>
      <c r="F88" s="32"/>
      <c r="G88" s="32"/>
      <c r="H88" s="33" t="s">
        <v>696</v>
      </c>
      <c r="I88" s="29"/>
      <c r="J88" s="29"/>
      <c r="K88" s="29"/>
      <c r="L88" s="29"/>
      <c r="M88" s="18" t="str">
        <f>数据库!E86</f>
        <v>40158124</v>
      </c>
      <c r="N88" s="29" t="s">
        <v>695</v>
      </c>
      <c r="O88" s="32" t="s">
        <v>694</v>
      </c>
      <c r="P88" s="29" t="s">
        <v>693</v>
      </c>
      <c r="Q88" s="29"/>
      <c r="R88" s="29" t="s">
        <v>692</v>
      </c>
      <c r="S88" s="29" t="s">
        <v>691</v>
      </c>
      <c r="T88" s="29"/>
      <c r="U88" s="18">
        <f>数据库!I86</f>
        <v>0</v>
      </c>
      <c r="V88" s="35" t="s">
        <v>711</v>
      </c>
    </row>
    <row r="89" spans="1:22" ht="22.5">
      <c r="A89" s="32" t="s">
        <v>697</v>
      </c>
      <c r="B89" s="32" t="str">
        <f>数据库!B87&amp;"号楼"</f>
        <v>13A号楼</v>
      </c>
      <c r="C89" s="32" t="str">
        <f>NUMBERSTRING(数据库!C87,3)&amp;"单元"</f>
        <v>一单元</v>
      </c>
      <c r="D89" s="32">
        <f>数据库!D87</f>
        <v>102</v>
      </c>
      <c r="E89" s="32">
        <f t="shared" si="1"/>
        <v>102</v>
      </c>
      <c r="F89" s="32"/>
      <c r="G89" s="32"/>
      <c r="H89" s="33" t="s">
        <v>696</v>
      </c>
      <c r="I89" s="29"/>
      <c r="J89" s="29"/>
      <c r="K89" s="29"/>
      <c r="L89" s="29"/>
      <c r="M89" s="18" t="str">
        <f>数据库!E87</f>
        <v>40128353</v>
      </c>
      <c r="N89" s="29" t="s">
        <v>695</v>
      </c>
      <c r="O89" s="32" t="s">
        <v>694</v>
      </c>
      <c r="P89" s="29" t="s">
        <v>693</v>
      </c>
      <c r="Q89" s="29"/>
      <c r="R89" s="29" t="s">
        <v>692</v>
      </c>
      <c r="S89" s="29" t="s">
        <v>691</v>
      </c>
      <c r="T89" s="29"/>
      <c r="U89" s="18">
        <f>数据库!I87</f>
        <v>0</v>
      </c>
      <c r="V89" s="35" t="s">
        <v>711</v>
      </c>
    </row>
    <row r="90" spans="1:22" ht="22.5">
      <c r="A90" s="32" t="s">
        <v>697</v>
      </c>
      <c r="B90" s="32" t="str">
        <f>数据库!B88&amp;"号楼"</f>
        <v>13A号楼</v>
      </c>
      <c r="C90" s="32" t="str">
        <f>NUMBERSTRING(数据库!C88,3)&amp;"单元"</f>
        <v>一单元</v>
      </c>
      <c r="D90" s="32">
        <f>数据库!D88</f>
        <v>501</v>
      </c>
      <c r="E90" s="32">
        <f t="shared" si="1"/>
        <v>501</v>
      </c>
      <c r="F90" s="32"/>
      <c r="G90" s="32"/>
      <c r="H90" s="33" t="s">
        <v>696</v>
      </c>
      <c r="I90" s="29"/>
      <c r="J90" s="29"/>
      <c r="K90" s="29"/>
      <c r="L90" s="29"/>
      <c r="M90" s="18" t="str">
        <f>数据库!E88</f>
        <v>40169092</v>
      </c>
      <c r="N90" s="29" t="s">
        <v>695</v>
      </c>
      <c r="O90" s="32" t="s">
        <v>694</v>
      </c>
      <c r="P90" s="29" t="s">
        <v>693</v>
      </c>
      <c r="Q90" s="29"/>
      <c r="R90" s="29" t="s">
        <v>692</v>
      </c>
      <c r="S90" s="29" t="s">
        <v>691</v>
      </c>
      <c r="T90" s="29"/>
      <c r="U90" s="18">
        <f>数据库!I88</f>
        <v>0</v>
      </c>
      <c r="V90" s="35" t="s">
        <v>711</v>
      </c>
    </row>
    <row r="91" spans="1:22" ht="22.5">
      <c r="A91" s="32" t="s">
        <v>697</v>
      </c>
      <c r="B91" s="32" t="str">
        <f>数据库!B89&amp;"号楼"</f>
        <v>13A号楼</v>
      </c>
      <c r="C91" s="32" t="str">
        <f>NUMBERSTRING(数据库!C89,3)&amp;"单元"</f>
        <v>一单元</v>
      </c>
      <c r="D91" s="32">
        <f>数据库!D89</f>
        <v>502</v>
      </c>
      <c r="E91" s="32">
        <f t="shared" si="1"/>
        <v>502</v>
      </c>
      <c r="F91" s="32"/>
      <c r="G91" s="32"/>
      <c r="H91" s="33" t="s">
        <v>696</v>
      </c>
      <c r="I91" s="29"/>
      <c r="J91" s="29"/>
      <c r="K91" s="29"/>
      <c r="L91" s="29"/>
      <c r="M91" s="18" t="str">
        <f>数据库!E89</f>
        <v>40118727</v>
      </c>
      <c r="N91" s="29" t="s">
        <v>695</v>
      </c>
      <c r="O91" s="32" t="s">
        <v>694</v>
      </c>
      <c r="P91" s="29" t="s">
        <v>693</v>
      </c>
      <c r="Q91" s="29"/>
      <c r="R91" s="29" t="s">
        <v>692</v>
      </c>
      <c r="S91" s="29" t="s">
        <v>691</v>
      </c>
      <c r="T91" s="29"/>
      <c r="U91" s="18">
        <f>数据库!I89</f>
        <v>0</v>
      </c>
      <c r="V91" s="35" t="s">
        <v>711</v>
      </c>
    </row>
    <row r="92" spans="1:22" ht="22.5">
      <c r="A92" s="32" t="s">
        <v>697</v>
      </c>
      <c r="B92" s="32" t="str">
        <f>数据库!B90&amp;"号楼"</f>
        <v>13A号楼</v>
      </c>
      <c r="C92" s="32" t="str">
        <f>NUMBERSTRING(数据库!C90,3)&amp;"单元"</f>
        <v>二单元</v>
      </c>
      <c r="D92" s="32">
        <f>数据库!D90</f>
        <v>101</v>
      </c>
      <c r="E92" s="32">
        <f t="shared" si="1"/>
        <v>101</v>
      </c>
      <c r="F92" s="32"/>
      <c r="G92" s="32"/>
      <c r="H92" s="33" t="s">
        <v>696</v>
      </c>
      <c r="I92" s="29"/>
      <c r="J92" s="29"/>
      <c r="K92" s="29"/>
      <c r="L92" s="29"/>
      <c r="M92" s="18" t="str">
        <f>数据库!E90</f>
        <v>40121994</v>
      </c>
      <c r="N92" s="29" t="s">
        <v>695</v>
      </c>
      <c r="O92" s="32" t="s">
        <v>694</v>
      </c>
      <c r="P92" s="29" t="s">
        <v>693</v>
      </c>
      <c r="Q92" s="29"/>
      <c r="R92" s="29" t="s">
        <v>692</v>
      </c>
      <c r="S92" s="29" t="s">
        <v>691</v>
      </c>
      <c r="T92" s="29"/>
      <c r="U92" s="18">
        <f>数据库!I90</f>
        <v>0</v>
      </c>
      <c r="V92" s="35" t="s">
        <v>711</v>
      </c>
    </row>
    <row r="93" spans="1:22" ht="22.5">
      <c r="A93" s="32" t="s">
        <v>697</v>
      </c>
      <c r="B93" s="32" t="str">
        <f>数据库!B91&amp;"号楼"</f>
        <v>13A号楼</v>
      </c>
      <c r="C93" s="32" t="str">
        <f>NUMBERSTRING(数据库!C91,3)&amp;"单元"</f>
        <v>二单元</v>
      </c>
      <c r="D93" s="32">
        <f>数据库!D91</f>
        <v>102</v>
      </c>
      <c r="E93" s="32">
        <f t="shared" si="1"/>
        <v>102</v>
      </c>
      <c r="F93" s="32"/>
      <c r="G93" s="32"/>
      <c r="H93" s="33" t="s">
        <v>696</v>
      </c>
      <c r="I93" s="29"/>
      <c r="J93" s="29"/>
      <c r="K93" s="29"/>
      <c r="L93" s="29"/>
      <c r="M93" s="18" t="str">
        <f>数据库!E91</f>
        <v>40176121</v>
      </c>
      <c r="N93" s="29" t="s">
        <v>695</v>
      </c>
      <c r="O93" s="32" t="s">
        <v>694</v>
      </c>
      <c r="P93" s="29" t="s">
        <v>693</v>
      </c>
      <c r="Q93" s="29"/>
      <c r="R93" s="29" t="s">
        <v>692</v>
      </c>
      <c r="S93" s="29" t="s">
        <v>691</v>
      </c>
      <c r="T93" s="29"/>
      <c r="U93" s="18">
        <f>数据库!I91</f>
        <v>0</v>
      </c>
      <c r="V93" s="35" t="s">
        <v>711</v>
      </c>
    </row>
    <row r="94" spans="1:22" ht="22.5">
      <c r="A94" s="32" t="s">
        <v>697</v>
      </c>
      <c r="B94" s="32" t="str">
        <f>数据库!B92&amp;"号楼"</f>
        <v>13A号楼</v>
      </c>
      <c r="C94" s="32" t="str">
        <f>NUMBERSTRING(数据库!C92,3)&amp;"单元"</f>
        <v>二单元</v>
      </c>
      <c r="D94" s="32">
        <f>数据库!D92</f>
        <v>501</v>
      </c>
      <c r="E94" s="32">
        <f t="shared" si="1"/>
        <v>501</v>
      </c>
      <c r="F94" s="32"/>
      <c r="G94" s="32"/>
      <c r="H94" s="33" t="s">
        <v>696</v>
      </c>
      <c r="I94" s="29"/>
      <c r="J94" s="29"/>
      <c r="K94" s="29"/>
      <c r="L94" s="29"/>
      <c r="M94" s="18" t="str">
        <f>数据库!E92</f>
        <v>40188316</v>
      </c>
      <c r="N94" s="29" t="s">
        <v>695</v>
      </c>
      <c r="O94" s="32" t="s">
        <v>694</v>
      </c>
      <c r="P94" s="29" t="s">
        <v>693</v>
      </c>
      <c r="Q94" s="29"/>
      <c r="R94" s="29" t="s">
        <v>692</v>
      </c>
      <c r="S94" s="29" t="s">
        <v>691</v>
      </c>
      <c r="T94" s="29"/>
      <c r="U94" s="18">
        <f>数据库!I92</f>
        <v>0</v>
      </c>
      <c r="V94" s="35" t="s">
        <v>711</v>
      </c>
    </row>
    <row r="95" spans="1:22" ht="22.5">
      <c r="A95" s="32" t="s">
        <v>697</v>
      </c>
      <c r="B95" s="32" t="str">
        <f>数据库!B93&amp;"号楼"</f>
        <v>13A号楼</v>
      </c>
      <c r="C95" s="32" t="str">
        <f>NUMBERSTRING(数据库!C93,3)&amp;"单元"</f>
        <v>二单元</v>
      </c>
      <c r="D95" s="32">
        <f>数据库!D93</f>
        <v>502</v>
      </c>
      <c r="E95" s="32">
        <f t="shared" si="1"/>
        <v>502</v>
      </c>
      <c r="F95" s="32"/>
      <c r="G95" s="32"/>
      <c r="H95" s="33" t="s">
        <v>696</v>
      </c>
      <c r="I95" s="29"/>
      <c r="J95" s="29"/>
      <c r="K95" s="29"/>
      <c r="L95" s="29"/>
      <c r="M95" s="18" t="str">
        <f>数据库!E93</f>
        <v>40161727</v>
      </c>
      <c r="N95" s="29" t="s">
        <v>695</v>
      </c>
      <c r="O95" s="32" t="s">
        <v>694</v>
      </c>
      <c r="P95" s="29" t="s">
        <v>693</v>
      </c>
      <c r="Q95" s="29"/>
      <c r="R95" s="29" t="s">
        <v>692</v>
      </c>
      <c r="S95" s="29" t="s">
        <v>691</v>
      </c>
      <c r="T95" s="29"/>
      <c r="U95" s="18">
        <f>数据库!I93</f>
        <v>0</v>
      </c>
      <c r="V95" s="35" t="s">
        <v>711</v>
      </c>
    </row>
    <row r="96" spans="1:22" ht="22.5">
      <c r="A96" s="32" t="s">
        <v>697</v>
      </c>
      <c r="B96" s="32" t="str">
        <f>数据库!B94&amp;"号楼"</f>
        <v>13A号楼</v>
      </c>
      <c r="C96" s="32" t="str">
        <f>NUMBERSTRING(数据库!C94,3)&amp;"单元"</f>
        <v>三单元</v>
      </c>
      <c r="D96" s="32">
        <f>数据库!D94</f>
        <v>101</v>
      </c>
      <c r="E96" s="32">
        <f t="shared" si="1"/>
        <v>101</v>
      </c>
      <c r="F96" s="32"/>
      <c r="G96" s="32"/>
      <c r="H96" s="33" t="s">
        <v>696</v>
      </c>
      <c r="I96" s="29"/>
      <c r="J96" s="29"/>
      <c r="K96" s="29"/>
      <c r="L96" s="29"/>
      <c r="M96" s="18" t="str">
        <f>数据库!E94</f>
        <v>40176220</v>
      </c>
      <c r="N96" s="29" t="s">
        <v>695</v>
      </c>
      <c r="O96" s="32" t="s">
        <v>694</v>
      </c>
      <c r="P96" s="29" t="s">
        <v>693</v>
      </c>
      <c r="Q96" s="29"/>
      <c r="R96" s="29" t="s">
        <v>692</v>
      </c>
      <c r="S96" s="29" t="s">
        <v>691</v>
      </c>
      <c r="T96" s="29"/>
      <c r="U96" s="18">
        <f>数据库!I94</f>
        <v>0</v>
      </c>
      <c r="V96" s="35" t="s">
        <v>711</v>
      </c>
    </row>
    <row r="97" spans="1:22" ht="22.5">
      <c r="A97" s="32" t="s">
        <v>697</v>
      </c>
      <c r="B97" s="32" t="str">
        <f>数据库!B95&amp;"号楼"</f>
        <v>13A号楼</v>
      </c>
      <c r="C97" s="32" t="str">
        <f>NUMBERSTRING(数据库!C95,3)&amp;"单元"</f>
        <v>三单元</v>
      </c>
      <c r="D97" s="32">
        <f>数据库!D95</f>
        <v>102</v>
      </c>
      <c r="E97" s="32">
        <f t="shared" si="1"/>
        <v>102</v>
      </c>
      <c r="F97" s="32"/>
      <c r="G97" s="32"/>
      <c r="H97" s="33" t="s">
        <v>696</v>
      </c>
      <c r="I97" s="29"/>
      <c r="J97" s="29"/>
      <c r="K97" s="29"/>
      <c r="L97" s="29"/>
      <c r="M97" s="18" t="str">
        <f>数据库!E95</f>
        <v>40207272</v>
      </c>
      <c r="N97" s="29" t="s">
        <v>695</v>
      </c>
      <c r="O97" s="32" t="s">
        <v>694</v>
      </c>
      <c r="P97" s="29" t="s">
        <v>693</v>
      </c>
      <c r="Q97" s="29"/>
      <c r="R97" s="29" t="s">
        <v>692</v>
      </c>
      <c r="S97" s="29" t="s">
        <v>691</v>
      </c>
      <c r="T97" s="29"/>
      <c r="U97" s="18">
        <f>数据库!I95</f>
        <v>0</v>
      </c>
      <c r="V97" s="35" t="s">
        <v>711</v>
      </c>
    </row>
    <row r="98" spans="1:22" ht="22.5">
      <c r="A98" s="32" t="s">
        <v>697</v>
      </c>
      <c r="B98" s="32" t="str">
        <f>数据库!B96&amp;"号楼"</f>
        <v>13A号楼</v>
      </c>
      <c r="C98" s="32" t="str">
        <f>NUMBERSTRING(数据库!C96,3)&amp;"单元"</f>
        <v>三单元</v>
      </c>
      <c r="D98" s="32">
        <f>数据库!D96</f>
        <v>501</v>
      </c>
      <c r="E98" s="32">
        <f t="shared" si="1"/>
        <v>501</v>
      </c>
      <c r="F98" s="32"/>
      <c r="G98" s="32"/>
      <c r="H98" s="33" t="s">
        <v>696</v>
      </c>
      <c r="I98" s="29"/>
      <c r="J98" s="29"/>
      <c r="K98" s="29"/>
      <c r="L98" s="29"/>
      <c r="M98" s="18" t="str">
        <f>数据库!E96</f>
        <v>40187920</v>
      </c>
      <c r="N98" s="29" t="s">
        <v>695</v>
      </c>
      <c r="O98" s="32" t="s">
        <v>694</v>
      </c>
      <c r="P98" s="29" t="s">
        <v>693</v>
      </c>
      <c r="Q98" s="29"/>
      <c r="R98" s="29" t="s">
        <v>692</v>
      </c>
      <c r="S98" s="29" t="s">
        <v>691</v>
      </c>
      <c r="T98" s="29"/>
      <c r="U98" s="18">
        <f>数据库!I96</f>
        <v>0</v>
      </c>
      <c r="V98" s="35" t="s">
        <v>711</v>
      </c>
    </row>
    <row r="99" spans="1:22" ht="22.5">
      <c r="A99" s="32" t="s">
        <v>697</v>
      </c>
      <c r="B99" s="32" t="str">
        <f>数据库!B97&amp;"号楼"</f>
        <v>13A号楼</v>
      </c>
      <c r="C99" s="32" t="str">
        <f>NUMBERSTRING(数据库!C97,3)&amp;"单元"</f>
        <v>三单元</v>
      </c>
      <c r="D99" s="32">
        <f>数据库!D97</f>
        <v>502</v>
      </c>
      <c r="E99" s="32">
        <f t="shared" si="1"/>
        <v>502</v>
      </c>
      <c r="F99" s="32"/>
      <c r="G99" s="32"/>
      <c r="H99" s="33" t="s">
        <v>696</v>
      </c>
      <c r="I99" s="29"/>
      <c r="J99" s="29"/>
      <c r="K99" s="29"/>
      <c r="L99" s="29"/>
      <c r="M99" s="18" t="str">
        <f>数据库!E97</f>
        <v>40121911</v>
      </c>
      <c r="N99" s="29" t="s">
        <v>695</v>
      </c>
      <c r="O99" s="32" t="s">
        <v>694</v>
      </c>
      <c r="P99" s="29" t="s">
        <v>693</v>
      </c>
      <c r="Q99" s="29"/>
      <c r="R99" s="29" t="s">
        <v>692</v>
      </c>
      <c r="S99" s="29" t="s">
        <v>691</v>
      </c>
      <c r="T99" s="29"/>
      <c r="U99" s="18">
        <f>数据库!I97</f>
        <v>0</v>
      </c>
      <c r="V99" s="35" t="s">
        <v>711</v>
      </c>
    </row>
    <row r="100" spans="1:22" ht="22.5">
      <c r="A100" s="32" t="s">
        <v>697</v>
      </c>
      <c r="B100" s="32" t="str">
        <f>数据库!B98&amp;"号楼"</f>
        <v>13B号楼</v>
      </c>
      <c r="C100" s="32" t="str">
        <f>NUMBERSTRING(数据库!C98,3)&amp;"单元"</f>
        <v>一单元</v>
      </c>
      <c r="D100" s="32">
        <f>数据库!D98</f>
        <v>101</v>
      </c>
      <c r="E100" s="32">
        <f t="shared" si="1"/>
        <v>101</v>
      </c>
      <c r="F100" s="32"/>
      <c r="G100" s="32"/>
      <c r="H100" s="33" t="s">
        <v>696</v>
      </c>
      <c r="I100" s="29"/>
      <c r="J100" s="29"/>
      <c r="K100" s="29"/>
      <c r="L100" s="29"/>
      <c r="M100" s="18" t="str">
        <f>数据库!E98</f>
        <v>40160620</v>
      </c>
      <c r="N100" s="29" t="s">
        <v>695</v>
      </c>
      <c r="O100" s="32" t="s">
        <v>694</v>
      </c>
      <c r="P100" s="29" t="s">
        <v>693</v>
      </c>
      <c r="Q100" s="29"/>
      <c r="R100" s="29" t="s">
        <v>692</v>
      </c>
      <c r="S100" s="29" t="s">
        <v>691</v>
      </c>
      <c r="T100" s="29"/>
      <c r="U100" s="18">
        <f>数据库!I98</f>
        <v>0</v>
      </c>
      <c r="V100" s="35" t="s">
        <v>711</v>
      </c>
    </row>
    <row r="101" spans="1:22" ht="22.5">
      <c r="A101" s="32" t="s">
        <v>697</v>
      </c>
      <c r="B101" s="32" t="str">
        <f>数据库!B99&amp;"号楼"</f>
        <v>13B号楼</v>
      </c>
      <c r="C101" s="32" t="str">
        <f>NUMBERSTRING(数据库!C99,3)&amp;"单元"</f>
        <v>一单元</v>
      </c>
      <c r="D101" s="32">
        <f>数据库!D99</f>
        <v>102</v>
      </c>
      <c r="E101" s="32">
        <f t="shared" si="1"/>
        <v>102</v>
      </c>
      <c r="F101" s="32"/>
      <c r="G101" s="32"/>
      <c r="H101" s="33" t="s">
        <v>696</v>
      </c>
      <c r="I101" s="29"/>
      <c r="J101" s="29"/>
      <c r="K101" s="29"/>
      <c r="L101" s="29"/>
      <c r="M101" s="18" t="str">
        <f>数据库!E99</f>
        <v>40161370</v>
      </c>
      <c r="N101" s="29" t="s">
        <v>695</v>
      </c>
      <c r="O101" s="32" t="s">
        <v>694</v>
      </c>
      <c r="P101" s="29" t="s">
        <v>693</v>
      </c>
      <c r="Q101" s="29"/>
      <c r="R101" s="29" t="s">
        <v>692</v>
      </c>
      <c r="S101" s="29" t="s">
        <v>691</v>
      </c>
      <c r="T101" s="29"/>
      <c r="U101" s="18">
        <f>数据库!I99</f>
        <v>0</v>
      </c>
      <c r="V101" s="35" t="s">
        <v>711</v>
      </c>
    </row>
    <row r="102" spans="1:22" ht="22.5">
      <c r="A102" s="32" t="s">
        <v>697</v>
      </c>
      <c r="B102" s="32" t="str">
        <f>数据库!B100&amp;"号楼"</f>
        <v>13B号楼</v>
      </c>
      <c r="C102" s="32" t="str">
        <f>NUMBERSTRING(数据库!C100,3)&amp;"单元"</f>
        <v>一单元</v>
      </c>
      <c r="D102" s="32">
        <f>数据库!D100</f>
        <v>501</v>
      </c>
      <c r="E102" s="32">
        <f t="shared" si="1"/>
        <v>501</v>
      </c>
      <c r="F102" s="32"/>
      <c r="G102" s="32"/>
      <c r="H102" s="33" t="s">
        <v>696</v>
      </c>
      <c r="I102" s="29"/>
      <c r="J102" s="29"/>
      <c r="K102" s="29"/>
      <c r="L102" s="29"/>
      <c r="M102" s="18" t="str">
        <f>数据库!E100</f>
        <v>40175339</v>
      </c>
      <c r="N102" s="29" t="s">
        <v>695</v>
      </c>
      <c r="O102" s="32" t="s">
        <v>694</v>
      </c>
      <c r="P102" s="29" t="s">
        <v>693</v>
      </c>
      <c r="Q102" s="29"/>
      <c r="R102" s="29" t="s">
        <v>692</v>
      </c>
      <c r="S102" s="29" t="s">
        <v>691</v>
      </c>
      <c r="T102" s="29"/>
      <c r="U102" s="18">
        <f>数据库!I100</f>
        <v>0</v>
      </c>
      <c r="V102" s="35" t="s">
        <v>711</v>
      </c>
    </row>
    <row r="103" spans="1:22" ht="22.5">
      <c r="A103" s="32" t="s">
        <v>697</v>
      </c>
      <c r="B103" s="32" t="str">
        <f>数据库!B101&amp;"号楼"</f>
        <v>13B号楼</v>
      </c>
      <c r="C103" s="32" t="str">
        <f>NUMBERSTRING(数据库!C101,3)&amp;"单元"</f>
        <v>一单元</v>
      </c>
      <c r="D103" s="32">
        <f>数据库!D101</f>
        <v>502</v>
      </c>
      <c r="E103" s="32">
        <f t="shared" si="1"/>
        <v>502</v>
      </c>
      <c r="F103" s="32"/>
      <c r="G103" s="32"/>
      <c r="H103" s="33" t="s">
        <v>696</v>
      </c>
      <c r="I103" s="29"/>
      <c r="J103" s="29"/>
      <c r="K103" s="29"/>
      <c r="L103" s="29"/>
      <c r="M103" s="18" t="str">
        <f>数据库!E101</f>
        <v>40118925</v>
      </c>
      <c r="N103" s="29" t="s">
        <v>695</v>
      </c>
      <c r="O103" s="32" t="s">
        <v>694</v>
      </c>
      <c r="P103" s="29" t="s">
        <v>693</v>
      </c>
      <c r="Q103" s="29"/>
      <c r="R103" s="29" t="s">
        <v>692</v>
      </c>
      <c r="S103" s="29" t="s">
        <v>691</v>
      </c>
      <c r="T103" s="29"/>
      <c r="U103" s="18">
        <f>数据库!I101</f>
        <v>0</v>
      </c>
      <c r="V103" s="35" t="s">
        <v>711</v>
      </c>
    </row>
    <row r="104" spans="1:22" ht="22.5">
      <c r="A104" s="32" t="s">
        <v>697</v>
      </c>
      <c r="B104" s="32" t="str">
        <f>数据库!B102&amp;"号楼"</f>
        <v>13B号楼</v>
      </c>
      <c r="C104" s="32" t="str">
        <f>NUMBERSTRING(数据库!C102,3)&amp;"单元"</f>
        <v>二单元</v>
      </c>
      <c r="D104" s="32">
        <f>数据库!D102</f>
        <v>101</v>
      </c>
      <c r="E104" s="32">
        <f t="shared" si="1"/>
        <v>101</v>
      </c>
      <c r="F104" s="32"/>
      <c r="G104" s="32"/>
      <c r="H104" s="33" t="s">
        <v>696</v>
      </c>
      <c r="I104" s="29"/>
      <c r="J104" s="29"/>
      <c r="K104" s="29"/>
      <c r="L104" s="29"/>
      <c r="M104" s="18" t="str">
        <f>数据库!E102</f>
        <v>40132629</v>
      </c>
      <c r="N104" s="29" t="s">
        <v>695</v>
      </c>
      <c r="O104" s="32" t="s">
        <v>694</v>
      </c>
      <c r="P104" s="29" t="s">
        <v>693</v>
      </c>
      <c r="Q104" s="29"/>
      <c r="R104" s="29" t="s">
        <v>692</v>
      </c>
      <c r="S104" s="29" t="s">
        <v>691</v>
      </c>
      <c r="T104" s="29"/>
      <c r="U104" s="18">
        <f>数据库!I102</f>
        <v>0</v>
      </c>
      <c r="V104" s="35" t="s">
        <v>711</v>
      </c>
    </row>
    <row r="105" spans="1:22" ht="22.5">
      <c r="A105" s="32" t="s">
        <v>697</v>
      </c>
      <c r="B105" s="32" t="str">
        <f>数据库!B103&amp;"号楼"</f>
        <v>13B号楼</v>
      </c>
      <c r="C105" s="32" t="str">
        <f>NUMBERSTRING(数据库!C103,3)&amp;"单元"</f>
        <v>二单元</v>
      </c>
      <c r="D105" s="32">
        <f>数据库!D103</f>
        <v>102</v>
      </c>
      <c r="E105" s="32">
        <f t="shared" si="1"/>
        <v>102</v>
      </c>
      <c r="F105" s="32"/>
      <c r="G105" s="32"/>
      <c r="H105" s="33" t="s">
        <v>696</v>
      </c>
      <c r="I105" s="29"/>
      <c r="J105" s="29"/>
      <c r="K105" s="29"/>
      <c r="L105" s="29"/>
      <c r="M105" s="18" t="str">
        <f>数据库!E103</f>
        <v>40136018</v>
      </c>
      <c r="N105" s="29" t="s">
        <v>695</v>
      </c>
      <c r="O105" s="32" t="s">
        <v>694</v>
      </c>
      <c r="P105" s="29" t="s">
        <v>693</v>
      </c>
      <c r="Q105" s="29"/>
      <c r="R105" s="29" t="s">
        <v>692</v>
      </c>
      <c r="S105" s="29" t="s">
        <v>691</v>
      </c>
      <c r="T105" s="29"/>
      <c r="U105" s="18">
        <f>数据库!I103</f>
        <v>0</v>
      </c>
      <c r="V105" s="35" t="s">
        <v>711</v>
      </c>
    </row>
    <row r="106" spans="1:22" ht="22.5">
      <c r="A106" s="32" t="s">
        <v>697</v>
      </c>
      <c r="B106" s="32" t="str">
        <f>数据库!B104&amp;"号楼"</f>
        <v>13B号楼</v>
      </c>
      <c r="C106" s="32" t="str">
        <f>NUMBERSTRING(数据库!C104,3)&amp;"单元"</f>
        <v>二单元</v>
      </c>
      <c r="D106" s="32">
        <f>数据库!D104</f>
        <v>501</v>
      </c>
      <c r="E106" s="32">
        <f t="shared" si="1"/>
        <v>501</v>
      </c>
      <c r="F106" s="32"/>
      <c r="G106" s="32"/>
      <c r="H106" s="33" t="s">
        <v>696</v>
      </c>
      <c r="I106" s="29"/>
      <c r="J106" s="29"/>
      <c r="K106" s="29"/>
      <c r="L106" s="29"/>
      <c r="M106" s="18" t="str">
        <f>数据库!E104</f>
        <v>40176287</v>
      </c>
      <c r="N106" s="29" t="s">
        <v>695</v>
      </c>
      <c r="O106" s="32" t="s">
        <v>694</v>
      </c>
      <c r="P106" s="29" t="s">
        <v>693</v>
      </c>
      <c r="Q106" s="29"/>
      <c r="R106" s="29" t="s">
        <v>692</v>
      </c>
      <c r="S106" s="29" t="s">
        <v>691</v>
      </c>
      <c r="T106" s="29"/>
      <c r="U106" s="18">
        <f>数据库!I104</f>
        <v>0</v>
      </c>
      <c r="V106" s="35" t="s">
        <v>711</v>
      </c>
    </row>
    <row r="107" spans="1:22" ht="22.5">
      <c r="A107" s="32" t="s">
        <v>697</v>
      </c>
      <c r="B107" s="32" t="str">
        <f>数据库!B105&amp;"号楼"</f>
        <v>13B号楼</v>
      </c>
      <c r="C107" s="32" t="str">
        <f>NUMBERSTRING(数据库!C105,3)&amp;"单元"</f>
        <v>二单元</v>
      </c>
      <c r="D107" s="32">
        <f>数据库!D105</f>
        <v>502</v>
      </c>
      <c r="E107" s="32">
        <f t="shared" si="1"/>
        <v>502</v>
      </c>
      <c r="F107" s="32"/>
      <c r="G107" s="32"/>
      <c r="H107" s="33" t="s">
        <v>696</v>
      </c>
      <c r="I107" s="29"/>
      <c r="J107" s="29"/>
      <c r="K107" s="29"/>
      <c r="L107" s="29"/>
      <c r="M107" s="18" t="str">
        <f>数据库!E105</f>
        <v>40176808</v>
      </c>
      <c r="N107" s="29" t="s">
        <v>695</v>
      </c>
      <c r="O107" s="32" t="s">
        <v>694</v>
      </c>
      <c r="P107" s="29" t="s">
        <v>693</v>
      </c>
      <c r="Q107" s="29"/>
      <c r="R107" s="29" t="s">
        <v>692</v>
      </c>
      <c r="S107" s="29" t="s">
        <v>691</v>
      </c>
      <c r="T107" s="29"/>
      <c r="U107" s="18">
        <f>数据库!I105</f>
        <v>0</v>
      </c>
      <c r="V107" s="35" t="s">
        <v>711</v>
      </c>
    </row>
    <row r="108" spans="1:22" ht="22.5">
      <c r="A108" s="32" t="s">
        <v>697</v>
      </c>
      <c r="B108" s="32" t="str">
        <f>数据库!B106&amp;"号楼"</f>
        <v>13B号楼</v>
      </c>
      <c r="C108" s="32" t="str">
        <f>NUMBERSTRING(数据库!C106,3)&amp;"单元"</f>
        <v>三单元</v>
      </c>
      <c r="D108" s="32">
        <f>数据库!D106</f>
        <v>101</v>
      </c>
      <c r="E108" s="32">
        <f t="shared" si="1"/>
        <v>101</v>
      </c>
      <c r="F108" s="32"/>
      <c r="G108" s="32"/>
      <c r="H108" s="33" t="s">
        <v>696</v>
      </c>
      <c r="I108" s="29"/>
      <c r="J108" s="29"/>
      <c r="K108" s="29"/>
      <c r="L108" s="29"/>
      <c r="M108" s="18" t="str">
        <f>数据库!E106</f>
        <v>40206928</v>
      </c>
      <c r="N108" s="29" t="s">
        <v>695</v>
      </c>
      <c r="O108" s="32" t="s">
        <v>694</v>
      </c>
      <c r="P108" s="29" t="s">
        <v>693</v>
      </c>
      <c r="Q108" s="29"/>
      <c r="R108" s="29" t="s">
        <v>692</v>
      </c>
      <c r="S108" s="29" t="s">
        <v>691</v>
      </c>
      <c r="T108" s="29"/>
      <c r="U108" s="18">
        <f>数据库!I106</f>
        <v>0</v>
      </c>
      <c r="V108" s="35" t="s">
        <v>711</v>
      </c>
    </row>
    <row r="109" spans="1:22" ht="22.5">
      <c r="A109" s="32" t="s">
        <v>697</v>
      </c>
      <c r="B109" s="32" t="str">
        <f>数据库!B107&amp;"号楼"</f>
        <v>13B号楼</v>
      </c>
      <c r="C109" s="32" t="str">
        <f>NUMBERSTRING(数据库!C107,3)&amp;"单元"</f>
        <v>三单元</v>
      </c>
      <c r="D109" s="32">
        <f>数据库!D107</f>
        <v>102</v>
      </c>
      <c r="E109" s="32">
        <f t="shared" si="1"/>
        <v>102</v>
      </c>
      <c r="F109" s="32"/>
      <c r="G109" s="32"/>
      <c r="H109" s="33" t="s">
        <v>696</v>
      </c>
      <c r="I109" s="29"/>
      <c r="J109" s="29"/>
      <c r="K109" s="29"/>
      <c r="L109" s="29"/>
      <c r="M109" s="18" t="str">
        <f>数据库!E107</f>
        <v>40159747</v>
      </c>
      <c r="N109" s="29" t="s">
        <v>695</v>
      </c>
      <c r="O109" s="32" t="s">
        <v>694</v>
      </c>
      <c r="P109" s="29" t="s">
        <v>693</v>
      </c>
      <c r="Q109" s="29"/>
      <c r="R109" s="29" t="s">
        <v>692</v>
      </c>
      <c r="S109" s="29" t="s">
        <v>691</v>
      </c>
      <c r="T109" s="29"/>
      <c r="U109" s="18">
        <f>数据库!I107</f>
        <v>0</v>
      </c>
      <c r="V109" s="35" t="s">
        <v>711</v>
      </c>
    </row>
    <row r="110" spans="1:22" ht="22.5">
      <c r="A110" s="32" t="s">
        <v>697</v>
      </c>
      <c r="B110" s="32" t="str">
        <f>数据库!B108&amp;"号楼"</f>
        <v>13B号楼</v>
      </c>
      <c r="C110" s="32" t="str">
        <f>NUMBERSTRING(数据库!C108,3)&amp;"单元"</f>
        <v>三单元</v>
      </c>
      <c r="D110" s="32">
        <f>数据库!D108</f>
        <v>501</v>
      </c>
      <c r="E110" s="32">
        <f t="shared" si="1"/>
        <v>501</v>
      </c>
      <c r="F110" s="32"/>
      <c r="G110" s="32"/>
      <c r="H110" s="33" t="s">
        <v>696</v>
      </c>
      <c r="I110" s="29"/>
      <c r="J110" s="29"/>
      <c r="K110" s="29"/>
      <c r="L110" s="29"/>
      <c r="M110" s="18" t="str">
        <f>数据库!E108</f>
        <v>40205664</v>
      </c>
      <c r="N110" s="29" t="s">
        <v>695</v>
      </c>
      <c r="O110" s="32" t="s">
        <v>694</v>
      </c>
      <c r="P110" s="29" t="s">
        <v>693</v>
      </c>
      <c r="Q110" s="29"/>
      <c r="R110" s="29" t="s">
        <v>692</v>
      </c>
      <c r="S110" s="29" t="s">
        <v>691</v>
      </c>
      <c r="T110" s="29"/>
      <c r="U110" s="18">
        <f>数据库!I108</f>
        <v>0</v>
      </c>
      <c r="V110" s="35" t="s">
        <v>711</v>
      </c>
    </row>
    <row r="111" spans="1:22" ht="22.5">
      <c r="A111" s="32" t="s">
        <v>697</v>
      </c>
      <c r="B111" s="32" t="str">
        <f>数据库!B109&amp;"号楼"</f>
        <v>13B号楼</v>
      </c>
      <c r="C111" s="32" t="str">
        <f>NUMBERSTRING(数据库!C109,3)&amp;"单元"</f>
        <v>三单元</v>
      </c>
      <c r="D111" s="32">
        <f>数据库!D109</f>
        <v>502</v>
      </c>
      <c r="E111" s="32">
        <f t="shared" si="1"/>
        <v>502</v>
      </c>
      <c r="F111" s="32"/>
      <c r="G111" s="32"/>
      <c r="H111" s="33" t="s">
        <v>696</v>
      </c>
      <c r="I111" s="29"/>
      <c r="J111" s="29"/>
      <c r="K111" s="29"/>
      <c r="L111" s="29"/>
      <c r="M111" s="18" t="str">
        <f>数据库!E109</f>
        <v>40176261</v>
      </c>
      <c r="N111" s="29" t="s">
        <v>695</v>
      </c>
      <c r="O111" s="32" t="s">
        <v>694</v>
      </c>
      <c r="P111" s="29" t="s">
        <v>693</v>
      </c>
      <c r="Q111" s="29"/>
      <c r="R111" s="29" t="s">
        <v>692</v>
      </c>
      <c r="S111" s="29" t="s">
        <v>691</v>
      </c>
      <c r="T111" s="29"/>
      <c r="U111" s="18">
        <f>数据库!I109</f>
        <v>0</v>
      </c>
      <c r="V111" s="35" t="s">
        <v>711</v>
      </c>
    </row>
    <row r="112" spans="1:22" ht="22.5">
      <c r="A112" s="32" t="s">
        <v>697</v>
      </c>
      <c r="B112" s="32" t="str">
        <f>数据库!B110&amp;"号楼"</f>
        <v>13C号楼</v>
      </c>
      <c r="C112" s="32" t="str">
        <f>NUMBERSTRING(数据库!C110,3)&amp;"单元"</f>
        <v>一单元</v>
      </c>
      <c r="D112" s="32">
        <f>数据库!D110</f>
        <v>101</v>
      </c>
      <c r="E112" s="32">
        <f t="shared" si="1"/>
        <v>101</v>
      </c>
      <c r="F112" s="32"/>
      <c r="G112" s="32"/>
      <c r="H112" s="33" t="s">
        <v>696</v>
      </c>
      <c r="I112" s="29"/>
      <c r="J112" s="29"/>
      <c r="K112" s="29"/>
      <c r="L112" s="29"/>
      <c r="M112" s="18" t="str">
        <f>数据库!E110</f>
        <v>40139814</v>
      </c>
      <c r="N112" s="29" t="s">
        <v>695</v>
      </c>
      <c r="O112" s="32" t="s">
        <v>694</v>
      </c>
      <c r="P112" s="29" t="s">
        <v>693</v>
      </c>
      <c r="Q112" s="29"/>
      <c r="R112" s="29" t="s">
        <v>692</v>
      </c>
      <c r="S112" s="29" t="s">
        <v>691</v>
      </c>
      <c r="T112" s="29"/>
      <c r="U112" s="18">
        <f>数据库!I110</f>
        <v>0</v>
      </c>
      <c r="V112" s="35" t="s">
        <v>711</v>
      </c>
    </row>
    <row r="113" spans="1:22" ht="22.5">
      <c r="A113" s="32" t="s">
        <v>697</v>
      </c>
      <c r="B113" s="32" t="str">
        <f>数据库!B111&amp;"号楼"</f>
        <v>13C号楼</v>
      </c>
      <c r="C113" s="32" t="str">
        <f>NUMBERSTRING(数据库!C111,3)&amp;"单元"</f>
        <v>一单元</v>
      </c>
      <c r="D113" s="32">
        <f>数据库!D111</f>
        <v>102</v>
      </c>
      <c r="E113" s="32">
        <f t="shared" si="1"/>
        <v>102</v>
      </c>
      <c r="F113" s="32"/>
      <c r="G113" s="32"/>
      <c r="H113" s="33" t="s">
        <v>696</v>
      </c>
      <c r="I113" s="29"/>
      <c r="J113" s="29"/>
      <c r="K113" s="29"/>
      <c r="L113" s="29"/>
      <c r="M113" s="18" t="str">
        <f>数据库!E111</f>
        <v>40159861</v>
      </c>
      <c r="N113" s="29" t="s">
        <v>695</v>
      </c>
      <c r="O113" s="32" t="s">
        <v>694</v>
      </c>
      <c r="P113" s="29" t="s">
        <v>693</v>
      </c>
      <c r="Q113" s="29"/>
      <c r="R113" s="29" t="s">
        <v>692</v>
      </c>
      <c r="S113" s="29" t="s">
        <v>691</v>
      </c>
      <c r="T113" s="29"/>
      <c r="U113" s="18">
        <f>数据库!I111</f>
        <v>0</v>
      </c>
      <c r="V113" s="35" t="s">
        <v>711</v>
      </c>
    </row>
    <row r="114" spans="1:22" ht="22.5">
      <c r="A114" s="32" t="s">
        <v>697</v>
      </c>
      <c r="B114" s="32" t="str">
        <f>数据库!B112&amp;"号楼"</f>
        <v>13C号楼</v>
      </c>
      <c r="C114" s="32" t="str">
        <f>NUMBERSTRING(数据库!C112,3)&amp;"单元"</f>
        <v>一单元</v>
      </c>
      <c r="D114" s="32">
        <f>数据库!D112</f>
        <v>601</v>
      </c>
      <c r="E114" s="32">
        <f t="shared" si="1"/>
        <v>601</v>
      </c>
      <c r="F114" s="32"/>
      <c r="G114" s="32"/>
      <c r="H114" s="33" t="s">
        <v>696</v>
      </c>
      <c r="I114" s="29"/>
      <c r="J114" s="29"/>
      <c r="K114" s="29"/>
      <c r="L114" s="29"/>
      <c r="M114" s="18" t="str">
        <f>数据库!E112</f>
        <v>40122018</v>
      </c>
      <c r="N114" s="29" t="s">
        <v>695</v>
      </c>
      <c r="O114" s="32" t="s">
        <v>694</v>
      </c>
      <c r="P114" s="29" t="s">
        <v>693</v>
      </c>
      <c r="Q114" s="29"/>
      <c r="R114" s="29" t="s">
        <v>692</v>
      </c>
      <c r="S114" s="29" t="s">
        <v>691</v>
      </c>
      <c r="T114" s="29"/>
      <c r="U114" s="18">
        <f>数据库!I112</f>
        <v>0</v>
      </c>
      <c r="V114" s="35" t="s">
        <v>711</v>
      </c>
    </row>
    <row r="115" spans="1:22" ht="22.5">
      <c r="A115" s="32" t="s">
        <v>697</v>
      </c>
      <c r="B115" s="32" t="str">
        <f>数据库!B113&amp;"号楼"</f>
        <v>13C号楼</v>
      </c>
      <c r="C115" s="32" t="str">
        <f>NUMBERSTRING(数据库!C113,3)&amp;"单元"</f>
        <v>一单元</v>
      </c>
      <c r="D115" s="32">
        <f>数据库!D113</f>
        <v>602</v>
      </c>
      <c r="E115" s="32">
        <f t="shared" si="1"/>
        <v>602</v>
      </c>
      <c r="F115" s="32"/>
      <c r="G115" s="32"/>
      <c r="H115" s="33" t="s">
        <v>696</v>
      </c>
      <c r="I115" s="29"/>
      <c r="J115" s="29"/>
      <c r="K115" s="29"/>
      <c r="L115" s="29"/>
      <c r="M115" s="18" t="str">
        <f>数据库!E113</f>
        <v>40128564</v>
      </c>
      <c r="N115" s="29" t="s">
        <v>695</v>
      </c>
      <c r="O115" s="32" t="s">
        <v>694</v>
      </c>
      <c r="P115" s="29" t="s">
        <v>693</v>
      </c>
      <c r="Q115" s="29"/>
      <c r="R115" s="29" t="s">
        <v>692</v>
      </c>
      <c r="S115" s="29" t="s">
        <v>691</v>
      </c>
      <c r="T115" s="29"/>
      <c r="U115" s="18">
        <f>数据库!I113</f>
        <v>0</v>
      </c>
      <c r="V115" s="35" t="s">
        <v>711</v>
      </c>
    </row>
    <row r="116" spans="1:22" ht="22.5">
      <c r="A116" s="32" t="s">
        <v>697</v>
      </c>
      <c r="B116" s="32" t="str">
        <f>数据库!B114&amp;"号楼"</f>
        <v>13C号楼</v>
      </c>
      <c r="C116" s="32" t="str">
        <f>NUMBERSTRING(数据库!C114,3)&amp;"单元"</f>
        <v>二单元</v>
      </c>
      <c r="D116" s="32">
        <f>数据库!D114</f>
        <v>101</v>
      </c>
      <c r="E116" s="32">
        <f t="shared" si="1"/>
        <v>101</v>
      </c>
      <c r="F116" s="32"/>
      <c r="G116" s="32"/>
      <c r="H116" s="33" t="s">
        <v>696</v>
      </c>
      <c r="I116" s="29"/>
      <c r="J116" s="29"/>
      <c r="K116" s="29"/>
      <c r="L116" s="29"/>
      <c r="M116" s="18" t="str">
        <f>数据库!E114</f>
        <v>40189132</v>
      </c>
      <c r="N116" s="29" t="s">
        <v>695</v>
      </c>
      <c r="O116" s="32" t="s">
        <v>694</v>
      </c>
      <c r="P116" s="29" t="s">
        <v>693</v>
      </c>
      <c r="Q116" s="29"/>
      <c r="R116" s="29" t="s">
        <v>692</v>
      </c>
      <c r="S116" s="29" t="s">
        <v>691</v>
      </c>
      <c r="T116" s="29"/>
      <c r="U116" s="18">
        <f>数据库!I114</f>
        <v>0</v>
      </c>
      <c r="V116" s="35" t="s">
        <v>711</v>
      </c>
    </row>
    <row r="117" spans="1:22" ht="22.5">
      <c r="A117" s="32" t="s">
        <v>697</v>
      </c>
      <c r="B117" s="32" t="str">
        <f>数据库!B115&amp;"号楼"</f>
        <v>13C号楼</v>
      </c>
      <c r="C117" s="32" t="str">
        <f>NUMBERSTRING(数据库!C115,3)&amp;"单元"</f>
        <v>二单元</v>
      </c>
      <c r="D117" s="32">
        <f>数据库!D115</f>
        <v>102</v>
      </c>
      <c r="E117" s="32">
        <f t="shared" si="1"/>
        <v>102</v>
      </c>
      <c r="F117" s="32"/>
      <c r="G117" s="32"/>
      <c r="H117" s="33" t="s">
        <v>696</v>
      </c>
      <c r="I117" s="29"/>
      <c r="J117" s="29"/>
      <c r="K117" s="29"/>
      <c r="L117" s="29"/>
      <c r="M117" s="18" t="str">
        <f>数据库!E115</f>
        <v>40188308</v>
      </c>
      <c r="N117" s="29" t="s">
        <v>695</v>
      </c>
      <c r="O117" s="32" t="s">
        <v>694</v>
      </c>
      <c r="P117" s="29" t="s">
        <v>693</v>
      </c>
      <c r="Q117" s="29"/>
      <c r="R117" s="29" t="s">
        <v>692</v>
      </c>
      <c r="S117" s="29" t="s">
        <v>691</v>
      </c>
      <c r="T117" s="29"/>
      <c r="U117" s="18">
        <f>数据库!I115</f>
        <v>0</v>
      </c>
      <c r="V117" s="35" t="s">
        <v>711</v>
      </c>
    </row>
    <row r="118" spans="1:22" ht="22.5">
      <c r="A118" s="32" t="s">
        <v>697</v>
      </c>
      <c r="B118" s="32" t="str">
        <f>数据库!B116&amp;"号楼"</f>
        <v>13C号楼</v>
      </c>
      <c r="C118" s="32" t="str">
        <f>NUMBERSTRING(数据库!C116,3)&amp;"单元"</f>
        <v>二单元</v>
      </c>
      <c r="D118" s="32">
        <f>数据库!D116</f>
        <v>601</v>
      </c>
      <c r="E118" s="32">
        <f t="shared" si="1"/>
        <v>601</v>
      </c>
      <c r="F118" s="32"/>
      <c r="G118" s="32"/>
      <c r="H118" s="33" t="s">
        <v>696</v>
      </c>
      <c r="I118" s="29"/>
      <c r="J118" s="29"/>
      <c r="K118" s="29"/>
      <c r="L118" s="29"/>
      <c r="M118" s="18" t="str">
        <f>数据库!E116</f>
        <v>40181923</v>
      </c>
      <c r="N118" s="29" t="s">
        <v>695</v>
      </c>
      <c r="O118" s="32" t="s">
        <v>694</v>
      </c>
      <c r="P118" s="29" t="s">
        <v>693</v>
      </c>
      <c r="Q118" s="29"/>
      <c r="R118" s="29" t="s">
        <v>692</v>
      </c>
      <c r="S118" s="29" t="s">
        <v>691</v>
      </c>
      <c r="T118" s="29"/>
      <c r="U118" s="18">
        <f>数据库!I116</f>
        <v>0</v>
      </c>
      <c r="V118" s="35" t="s">
        <v>711</v>
      </c>
    </row>
    <row r="119" spans="1:22" ht="22.5">
      <c r="A119" s="32" t="s">
        <v>697</v>
      </c>
      <c r="B119" s="32" t="str">
        <f>数据库!B117&amp;"号楼"</f>
        <v>13C号楼</v>
      </c>
      <c r="C119" s="32" t="str">
        <f>NUMBERSTRING(数据库!C117,3)&amp;"单元"</f>
        <v>二单元</v>
      </c>
      <c r="D119" s="32">
        <f>数据库!D117</f>
        <v>602</v>
      </c>
      <c r="E119" s="32">
        <f t="shared" si="1"/>
        <v>602</v>
      </c>
      <c r="F119" s="32"/>
      <c r="G119" s="32"/>
      <c r="H119" s="33" t="s">
        <v>696</v>
      </c>
      <c r="I119" s="29"/>
      <c r="J119" s="29"/>
      <c r="K119" s="29"/>
      <c r="L119" s="29"/>
      <c r="M119" s="18" t="str">
        <f>数据库!E117</f>
        <v>40188167</v>
      </c>
      <c r="N119" s="29" t="s">
        <v>695</v>
      </c>
      <c r="O119" s="32" t="s">
        <v>694</v>
      </c>
      <c r="P119" s="29" t="s">
        <v>693</v>
      </c>
      <c r="Q119" s="29"/>
      <c r="R119" s="29" t="s">
        <v>692</v>
      </c>
      <c r="S119" s="29" t="s">
        <v>691</v>
      </c>
      <c r="T119" s="29"/>
      <c r="U119" s="18">
        <f>数据库!I117</f>
        <v>0</v>
      </c>
      <c r="V119" s="35" t="s">
        <v>711</v>
      </c>
    </row>
    <row r="120" spans="1:22" ht="22.5">
      <c r="A120" s="32" t="s">
        <v>697</v>
      </c>
      <c r="B120" s="32" t="str">
        <f>数据库!B118&amp;"号楼"</f>
        <v>13C号楼</v>
      </c>
      <c r="C120" s="32" t="str">
        <f>NUMBERSTRING(数据库!C118,3)&amp;"单元"</f>
        <v>三单元</v>
      </c>
      <c r="D120" s="32">
        <f>数据库!D118</f>
        <v>101</v>
      </c>
      <c r="E120" s="32">
        <f t="shared" si="1"/>
        <v>101</v>
      </c>
      <c r="F120" s="32"/>
      <c r="G120" s="32"/>
      <c r="H120" s="33" t="s">
        <v>696</v>
      </c>
      <c r="I120" s="29"/>
      <c r="J120" s="29"/>
      <c r="K120" s="29"/>
      <c r="L120" s="29"/>
      <c r="M120" s="18" t="str">
        <f>数据库!E118</f>
        <v>40200053</v>
      </c>
      <c r="N120" s="29" t="s">
        <v>695</v>
      </c>
      <c r="O120" s="32" t="s">
        <v>694</v>
      </c>
      <c r="P120" s="29" t="s">
        <v>693</v>
      </c>
      <c r="Q120" s="29"/>
      <c r="R120" s="29" t="s">
        <v>692</v>
      </c>
      <c r="S120" s="29" t="s">
        <v>691</v>
      </c>
      <c r="T120" s="29"/>
      <c r="U120" s="18">
        <f>数据库!I118</f>
        <v>0</v>
      </c>
      <c r="V120" s="35" t="s">
        <v>711</v>
      </c>
    </row>
    <row r="121" spans="1:22" ht="22.5">
      <c r="A121" s="32" t="s">
        <v>697</v>
      </c>
      <c r="B121" s="32" t="str">
        <f>数据库!B119&amp;"号楼"</f>
        <v>13C号楼</v>
      </c>
      <c r="C121" s="32" t="str">
        <f>NUMBERSTRING(数据库!C119,3)&amp;"单元"</f>
        <v>三单元</v>
      </c>
      <c r="D121" s="32">
        <f>数据库!D119</f>
        <v>102</v>
      </c>
      <c r="E121" s="32">
        <f t="shared" si="1"/>
        <v>102</v>
      </c>
      <c r="F121" s="32"/>
      <c r="G121" s="32"/>
      <c r="H121" s="33" t="s">
        <v>696</v>
      </c>
      <c r="I121" s="29"/>
      <c r="J121" s="29"/>
      <c r="K121" s="29"/>
      <c r="L121" s="29"/>
      <c r="M121" s="18" t="str">
        <f>数据库!E119</f>
        <v>40175354</v>
      </c>
      <c r="N121" s="29" t="s">
        <v>695</v>
      </c>
      <c r="O121" s="32" t="s">
        <v>694</v>
      </c>
      <c r="P121" s="29" t="s">
        <v>693</v>
      </c>
      <c r="Q121" s="29"/>
      <c r="R121" s="29" t="s">
        <v>692</v>
      </c>
      <c r="S121" s="29" t="s">
        <v>691</v>
      </c>
      <c r="T121" s="29"/>
      <c r="U121" s="18">
        <f>数据库!I119</f>
        <v>0</v>
      </c>
      <c r="V121" s="35" t="s">
        <v>711</v>
      </c>
    </row>
    <row r="122" spans="1:22" ht="22.5">
      <c r="A122" s="32" t="s">
        <v>697</v>
      </c>
      <c r="B122" s="32" t="str">
        <f>数据库!B120&amp;"号楼"</f>
        <v>13C号楼</v>
      </c>
      <c r="C122" s="32" t="str">
        <f>NUMBERSTRING(数据库!C120,3)&amp;"单元"</f>
        <v>三单元</v>
      </c>
      <c r="D122" s="32">
        <f>数据库!D120</f>
        <v>601</v>
      </c>
      <c r="E122" s="32">
        <f t="shared" si="1"/>
        <v>601</v>
      </c>
      <c r="F122" s="32"/>
      <c r="G122" s="32"/>
      <c r="H122" s="33" t="s">
        <v>696</v>
      </c>
      <c r="I122" s="29"/>
      <c r="J122" s="29"/>
      <c r="K122" s="29"/>
      <c r="L122" s="29"/>
      <c r="M122" s="18" t="str">
        <f>数据库!E120</f>
        <v>40187789</v>
      </c>
      <c r="N122" s="29" t="s">
        <v>695</v>
      </c>
      <c r="O122" s="32" t="s">
        <v>694</v>
      </c>
      <c r="P122" s="29" t="s">
        <v>693</v>
      </c>
      <c r="Q122" s="29"/>
      <c r="R122" s="29" t="s">
        <v>692</v>
      </c>
      <c r="S122" s="29" t="s">
        <v>691</v>
      </c>
      <c r="T122" s="29"/>
      <c r="U122" s="18">
        <f>数据库!I120</f>
        <v>0</v>
      </c>
      <c r="V122" s="35" t="s">
        <v>711</v>
      </c>
    </row>
    <row r="123" spans="1:22" ht="22.5">
      <c r="A123" s="32" t="s">
        <v>697</v>
      </c>
      <c r="B123" s="32" t="str">
        <f>数据库!B121&amp;"号楼"</f>
        <v>13C号楼</v>
      </c>
      <c r="C123" s="32" t="str">
        <f>NUMBERSTRING(数据库!C121,3)&amp;"单元"</f>
        <v>三单元</v>
      </c>
      <c r="D123" s="32">
        <f>数据库!D121</f>
        <v>602</v>
      </c>
      <c r="E123" s="32">
        <f t="shared" si="1"/>
        <v>602</v>
      </c>
      <c r="F123" s="32"/>
      <c r="G123" s="32"/>
      <c r="H123" s="33" t="s">
        <v>696</v>
      </c>
      <c r="I123" s="29"/>
      <c r="J123" s="29"/>
      <c r="K123" s="29"/>
      <c r="L123" s="29"/>
      <c r="M123" s="18" t="str">
        <f>数据库!E121</f>
        <v>40182079</v>
      </c>
      <c r="N123" s="29" t="s">
        <v>695</v>
      </c>
      <c r="O123" s="32" t="s">
        <v>694</v>
      </c>
      <c r="P123" s="29" t="s">
        <v>693</v>
      </c>
      <c r="Q123" s="29"/>
      <c r="R123" s="29" t="s">
        <v>692</v>
      </c>
      <c r="S123" s="29" t="s">
        <v>691</v>
      </c>
      <c r="T123" s="29"/>
      <c r="U123" s="18">
        <f>数据库!I121</f>
        <v>0</v>
      </c>
      <c r="V123" s="35" t="s">
        <v>711</v>
      </c>
    </row>
    <row r="124" spans="1:22" ht="22.5">
      <c r="A124" s="32" t="s">
        <v>697</v>
      </c>
      <c r="B124" s="32" t="str">
        <f>数据库!B122&amp;"号楼"</f>
        <v>51号楼</v>
      </c>
      <c r="C124" s="32" t="str">
        <f>NUMBERSTRING(数据库!C122,3)&amp;"单元"</f>
        <v>一单元</v>
      </c>
      <c r="D124" s="32">
        <f>数据库!D122</f>
        <v>101</v>
      </c>
      <c r="E124" s="32">
        <f t="shared" si="1"/>
        <v>101</v>
      </c>
      <c r="F124" s="32"/>
      <c r="G124" s="32"/>
      <c r="H124" s="33" t="s">
        <v>696</v>
      </c>
      <c r="I124" s="29"/>
      <c r="J124" s="29"/>
      <c r="K124" s="29"/>
      <c r="L124" s="29"/>
      <c r="M124" s="18" t="str">
        <f>数据库!E122</f>
        <v>40178762</v>
      </c>
      <c r="N124" s="29" t="s">
        <v>695</v>
      </c>
      <c r="O124" s="32" t="s">
        <v>694</v>
      </c>
      <c r="P124" s="29" t="s">
        <v>693</v>
      </c>
      <c r="Q124" s="29"/>
      <c r="R124" s="29" t="s">
        <v>692</v>
      </c>
      <c r="S124" s="29" t="s">
        <v>691</v>
      </c>
      <c r="T124" s="29"/>
      <c r="U124" s="18">
        <f>数据库!I122</f>
        <v>0</v>
      </c>
      <c r="V124" s="35" t="s">
        <v>711</v>
      </c>
    </row>
    <row r="125" spans="1:22" ht="22.5">
      <c r="A125" s="32" t="s">
        <v>697</v>
      </c>
      <c r="B125" s="32" t="str">
        <f>数据库!B123&amp;"号楼"</f>
        <v>51号楼</v>
      </c>
      <c r="C125" s="32" t="str">
        <f>NUMBERSTRING(数据库!C123,3)&amp;"单元"</f>
        <v>一单元</v>
      </c>
      <c r="D125" s="32">
        <f>数据库!D123</f>
        <v>103</v>
      </c>
      <c r="E125" s="32">
        <f t="shared" si="1"/>
        <v>103</v>
      </c>
      <c r="F125" s="32"/>
      <c r="G125" s="32"/>
      <c r="H125" s="33" t="s">
        <v>696</v>
      </c>
      <c r="I125" s="29"/>
      <c r="J125" s="29"/>
      <c r="K125" s="29"/>
      <c r="L125" s="29"/>
      <c r="M125" s="18" t="str">
        <f>数据库!E123</f>
        <v>40121697</v>
      </c>
      <c r="N125" s="29" t="s">
        <v>695</v>
      </c>
      <c r="O125" s="32" t="s">
        <v>694</v>
      </c>
      <c r="P125" s="29" t="s">
        <v>693</v>
      </c>
      <c r="Q125" s="29"/>
      <c r="R125" s="29" t="s">
        <v>692</v>
      </c>
      <c r="S125" s="29" t="s">
        <v>691</v>
      </c>
      <c r="T125" s="29"/>
      <c r="U125" s="18">
        <f>数据库!I123</f>
        <v>0</v>
      </c>
      <c r="V125" s="35" t="s">
        <v>711</v>
      </c>
    </row>
    <row r="126" spans="1:22" ht="22.5">
      <c r="A126" s="32" t="s">
        <v>697</v>
      </c>
      <c r="B126" s="32" t="str">
        <f>数据库!B124&amp;"号楼"</f>
        <v>51号楼</v>
      </c>
      <c r="C126" s="32" t="str">
        <f>NUMBERSTRING(数据库!C124,3)&amp;"单元"</f>
        <v>一单元</v>
      </c>
      <c r="D126" s="32">
        <f>数据库!D124</f>
        <v>102</v>
      </c>
      <c r="E126" s="32">
        <f t="shared" si="1"/>
        <v>102</v>
      </c>
      <c r="F126" s="32"/>
      <c r="G126" s="32"/>
      <c r="H126" s="33" t="s">
        <v>696</v>
      </c>
      <c r="I126" s="29"/>
      <c r="J126" s="29"/>
      <c r="K126" s="29"/>
      <c r="L126" s="29"/>
      <c r="M126" s="18" t="str">
        <f>数据库!E124</f>
        <v>40199750</v>
      </c>
      <c r="N126" s="29" t="s">
        <v>695</v>
      </c>
      <c r="O126" s="32" t="s">
        <v>694</v>
      </c>
      <c r="P126" s="29" t="s">
        <v>693</v>
      </c>
      <c r="Q126" s="29"/>
      <c r="R126" s="29" t="s">
        <v>692</v>
      </c>
      <c r="S126" s="29" t="s">
        <v>691</v>
      </c>
      <c r="T126" s="29"/>
      <c r="U126" s="18">
        <f>数据库!I124</f>
        <v>0</v>
      </c>
      <c r="V126" s="35" t="s">
        <v>711</v>
      </c>
    </row>
    <row r="127" spans="1:22" ht="22.5">
      <c r="A127" s="32" t="s">
        <v>697</v>
      </c>
      <c r="B127" s="32" t="str">
        <f>数据库!B125&amp;"号楼"</f>
        <v>51号楼</v>
      </c>
      <c r="C127" s="32" t="str">
        <f>NUMBERSTRING(数据库!C125,3)&amp;"单元"</f>
        <v>一单元</v>
      </c>
      <c r="D127" s="32">
        <f>数据库!D125</f>
        <v>601</v>
      </c>
      <c r="E127" s="32">
        <f t="shared" si="1"/>
        <v>601</v>
      </c>
      <c r="F127" s="32"/>
      <c r="G127" s="32"/>
      <c r="H127" s="33" t="s">
        <v>696</v>
      </c>
      <c r="I127" s="29"/>
      <c r="J127" s="29"/>
      <c r="K127" s="29"/>
      <c r="L127" s="29"/>
      <c r="M127" s="18" t="str">
        <f>数据库!E125</f>
        <v>40193449</v>
      </c>
      <c r="N127" s="29" t="s">
        <v>695</v>
      </c>
      <c r="O127" s="32" t="s">
        <v>694</v>
      </c>
      <c r="P127" s="29" t="s">
        <v>693</v>
      </c>
      <c r="Q127" s="29"/>
      <c r="R127" s="29" t="s">
        <v>692</v>
      </c>
      <c r="S127" s="29" t="s">
        <v>691</v>
      </c>
      <c r="T127" s="29"/>
      <c r="U127" s="18">
        <f>数据库!I125</f>
        <v>0</v>
      </c>
      <c r="V127" s="35" t="s">
        <v>711</v>
      </c>
    </row>
    <row r="128" spans="1:22" ht="22.5">
      <c r="A128" s="32" t="s">
        <v>697</v>
      </c>
      <c r="B128" s="32" t="str">
        <f>数据库!B126&amp;"号楼"</f>
        <v>51号楼</v>
      </c>
      <c r="C128" s="32" t="str">
        <f>NUMBERSTRING(数据库!C126,3)&amp;"单元"</f>
        <v>一单元</v>
      </c>
      <c r="D128" s="32">
        <f>数据库!D126</f>
        <v>603</v>
      </c>
      <c r="E128" s="32">
        <f t="shared" si="1"/>
        <v>603</v>
      </c>
      <c r="F128" s="32"/>
      <c r="G128" s="32"/>
      <c r="H128" s="33" t="s">
        <v>696</v>
      </c>
      <c r="I128" s="29"/>
      <c r="J128" s="29"/>
      <c r="K128" s="29"/>
      <c r="L128" s="29"/>
      <c r="M128" s="18" t="str">
        <f>数据库!E126</f>
        <v>40133205</v>
      </c>
      <c r="N128" s="29" t="s">
        <v>695</v>
      </c>
      <c r="O128" s="32" t="s">
        <v>694</v>
      </c>
      <c r="P128" s="29" t="s">
        <v>693</v>
      </c>
      <c r="Q128" s="29"/>
      <c r="R128" s="29" t="s">
        <v>692</v>
      </c>
      <c r="S128" s="29" t="s">
        <v>691</v>
      </c>
      <c r="T128" s="29"/>
      <c r="U128" s="18">
        <f>数据库!I126</f>
        <v>0</v>
      </c>
      <c r="V128" s="35" t="s">
        <v>711</v>
      </c>
    </row>
    <row r="129" spans="1:22" ht="22.5">
      <c r="A129" s="32" t="s">
        <v>697</v>
      </c>
      <c r="B129" s="32" t="str">
        <f>数据库!B127&amp;"号楼"</f>
        <v>51号楼</v>
      </c>
      <c r="C129" s="32" t="str">
        <f>NUMBERSTRING(数据库!C127,3)&amp;"单元"</f>
        <v>二单元</v>
      </c>
      <c r="D129" s="32">
        <f>数据库!D127</f>
        <v>101</v>
      </c>
      <c r="E129" s="32">
        <f t="shared" si="1"/>
        <v>101</v>
      </c>
      <c r="F129" s="32"/>
      <c r="G129" s="32"/>
      <c r="H129" s="33" t="s">
        <v>696</v>
      </c>
      <c r="I129" s="29"/>
      <c r="J129" s="29"/>
      <c r="K129" s="29"/>
      <c r="L129" s="29"/>
      <c r="M129" s="18" t="str">
        <f>数据库!E127</f>
        <v>40164382</v>
      </c>
      <c r="N129" s="29" t="s">
        <v>695</v>
      </c>
      <c r="O129" s="32" t="s">
        <v>694</v>
      </c>
      <c r="P129" s="29" t="s">
        <v>693</v>
      </c>
      <c r="Q129" s="29"/>
      <c r="R129" s="29" t="s">
        <v>692</v>
      </c>
      <c r="S129" s="29" t="s">
        <v>691</v>
      </c>
      <c r="T129" s="29"/>
      <c r="U129" s="18">
        <f>数据库!I127</f>
        <v>0</v>
      </c>
      <c r="V129" s="35" t="s">
        <v>711</v>
      </c>
    </row>
    <row r="130" spans="1:22" ht="22.5">
      <c r="A130" s="32" t="s">
        <v>697</v>
      </c>
      <c r="B130" s="32" t="str">
        <f>数据库!B128&amp;"号楼"</f>
        <v>51号楼</v>
      </c>
      <c r="C130" s="32" t="str">
        <f>NUMBERSTRING(数据库!C128,3)&amp;"单元"</f>
        <v>二单元</v>
      </c>
      <c r="D130" s="32">
        <f>数据库!D128</f>
        <v>102</v>
      </c>
      <c r="E130" s="32">
        <f t="shared" si="1"/>
        <v>102</v>
      </c>
      <c r="F130" s="32"/>
      <c r="G130" s="32"/>
      <c r="H130" s="33" t="s">
        <v>696</v>
      </c>
      <c r="I130" s="29"/>
      <c r="J130" s="29"/>
      <c r="K130" s="29"/>
      <c r="L130" s="29"/>
      <c r="M130" s="18" t="str">
        <f>数据库!E128</f>
        <v>40175735</v>
      </c>
      <c r="N130" s="29" t="s">
        <v>695</v>
      </c>
      <c r="O130" s="32" t="s">
        <v>694</v>
      </c>
      <c r="P130" s="29" t="s">
        <v>693</v>
      </c>
      <c r="Q130" s="29"/>
      <c r="R130" s="29" t="s">
        <v>692</v>
      </c>
      <c r="S130" s="29" t="s">
        <v>691</v>
      </c>
      <c r="T130" s="29"/>
      <c r="U130" s="18">
        <f>数据库!I128</f>
        <v>0</v>
      </c>
      <c r="V130" s="35" t="s">
        <v>711</v>
      </c>
    </row>
    <row r="131" spans="1:22" ht="22.5">
      <c r="A131" s="32" t="s">
        <v>697</v>
      </c>
      <c r="B131" s="32" t="str">
        <f>数据库!B129&amp;"号楼"</f>
        <v>51号楼</v>
      </c>
      <c r="C131" s="32" t="str">
        <f>NUMBERSTRING(数据库!C129,3)&amp;"单元"</f>
        <v>二单元</v>
      </c>
      <c r="D131" s="32">
        <f>数据库!D129</f>
        <v>103</v>
      </c>
      <c r="E131" s="32">
        <f t="shared" si="1"/>
        <v>103</v>
      </c>
      <c r="F131" s="32"/>
      <c r="G131" s="32"/>
      <c r="H131" s="33" t="s">
        <v>696</v>
      </c>
      <c r="I131" s="29"/>
      <c r="J131" s="29"/>
      <c r="K131" s="29"/>
      <c r="L131" s="29"/>
      <c r="M131" s="18" t="str">
        <f>数据库!E129</f>
        <v>40122075</v>
      </c>
      <c r="N131" s="29" t="s">
        <v>695</v>
      </c>
      <c r="O131" s="32" t="s">
        <v>694</v>
      </c>
      <c r="P131" s="29" t="s">
        <v>693</v>
      </c>
      <c r="Q131" s="29"/>
      <c r="R131" s="29" t="s">
        <v>692</v>
      </c>
      <c r="S131" s="29" t="s">
        <v>691</v>
      </c>
      <c r="T131" s="29"/>
      <c r="U131" s="18">
        <f>数据库!I129</f>
        <v>0</v>
      </c>
      <c r="V131" s="35" t="s">
        <v>711</v>
      </c>
    </row>
    <row r="132" spans="1:22" ht="22.5">
      <c r="A132" s="32" t="s">
        <v>697</v>
      </c>
      <c r="B132" s="32" t="str">
        <f>数据库!B130&amp;"号楼"</f>
        <v>51号楼</v>
      </c>
      <c r="C132" s="32" t="str">
        <f>NUMBERSTRING(数据库!C130,3)&amp;"单元"</f>
        <v>二单元</v>
      </c>
      <c r="D132" s="32">
        <f>数据库!D130</f>
        <v>601</v>
      </c>
      <c r="E132" s="32">
        <f t="shared" si="1"/>
        <v>601</v>
      </c>
      <c r="F132" s="32"/>
      <c r="G132" s="32"/>
      <c r="H132" s="33" t="s">
        <v>696</v>
      </c>
      <c r="I132" s="29"/>
      <c r="J132" s="29"/>
      <c r="K132" s="29"/>
      <c r="L132" s="29"/>
      <c r="M132" s="18" t="str">
        <f>数据库!E130</f>
        <v>40181899</v>
      </c>
      <c r="N132" s="29" t="s">
        <v>695</v>
      </c>
      <c r="O132" s="32" t="s">
        <v>694</v>
      </c>
      <c r="P132" s="29" t="s">
        <v>693</v>
      </c>
      <c r="Q132" s="29"/>
      <c r="R132" s="29" t="s">
        <v>692</v>
      </c>
      <c r="S132" s="29" t="s">
        <v>691</v>
      </c>
      <c r="T132" s="29"/>
      <c r="U132" s="18">
        <f>数据库!I130</f>
        <v>0</v>
      </c>
      <c r="V132" s="35" t="s">
        <v>711</v>
      </c>
    </row>
    <row r="133" spans="1:22" ht="22.5">
      <c r="A133" s="32" t="s">
        <v>697</v>
      </c>
      <c r="B133" s="32" t="str">
        <f>数据库!B131&amp;"号楼"</f>
        <v>51号楼</v>
      </c>
      <c r="C133" s="32" t="str">
        <f>NUMBERSTRING(数据库!C131,3)&amp;"单元"</f>
        <v>二单元</v>
      </c>
      <c r="D133" s="32">
        <f>数据库!D131</f>
        <v>603</v>
      </c>
      <c r="E133" s="32">
        <f t="shared" ref="E133:E153" si="2">D133</f>
        <v>603</v>
      </c>
      <c r="F133" s="32"/>
      <c r="G133" s="32"/>
      <c r="H133" s="33" t="s">
        <v>696</v>
      </c>
      <c r="I133" s="29"/>
      <c r="J133" s="29"/>
      <c r="K133" s="29"/>
      <c r="L133" s="29"/>
      <c r="M133" s="18" t="str">
        <f>数据库!E131</f>
        <v>40167468</v>
      </c>
      <c r="N133" s="29" t="s">
        <v>695</v>
      </c>
      <c r="O133" s="32" t="s">
        <v>694</v>
      </c>
      <c r="P133" s="29" t="s">
        <v>693</v>
      </c>
      <c r="Q133" s="29"/>
      <c r="R133" s="29" t="s">
        <v>692</v>
      </c>
      <c r="S133" s="29" t="s">
        <v>691</v>
      </c>
      <c r="T133" s="29"/>
      <c r="U133" s="18">
        <f>数据库!I131</f>
        <v>0</v>
      </c>
      <c r="V133" s="35" t="s">
        <v>711</v>
      </c>
    </row>
    <row r="134" spans="1:22" ht="22.5">
      <c r="A134" s="32" t="s">
        <v>697</v>
      </c>
      <c r="B134" s="32" t="str">
        <f>数据库!B132&amp;"号楼"</f>
        <v>52号楼</v>
      </c>
      <c r="C134" s="32" t="str">
        <f>NUMBERSTRING(数据库!C132,3)&amp;"单元"</f>
        <v>一单元</v>
      </c>
      <c r="D134" s="32">
        <f>数据库!D132</f>
        <v>101</v>
      </c>
      <c r="E134" s="32">
        <f t="shared" si="2"/>
        <v>101</v>
      </c>
      <c r="F134" s="32"/>
      <c r="G134" s="32"/>
      <c r="H134" s="33" t="s">
        <v>696</v>
      </c>
      <c r="I134" s="29"/>
      <c r="J134" s="29"/>
      <c r="K134" s="29"/>
      <c r="L134" s="29"/>
      <c r="M134" s="18" t="str">
        <f>数据库!E132</f>
        <v>40161552</v>
      </c>
      <c r="N134" s="29" t="s">
        <v>695</v>
      </c>
      <c r="O134" s="32" t="s">
        <v>694</v>
      </c>
      <c r="P134" s="29" t="s">
        <v>693</v>
      </c>
      <c r="Q134" s="29"/>
      <c r="R134" s="29" t="s">
        <v>692</v>
      </c>
      <c r="S134" s="29" t="s">
        <v>691</v>
      </c>
      <c r="T134" s="29"/>
      <c r="U134" s="18">
        <f>数据库!I132</f>
        <v>0</v>
      </c>
      <c r="V134" s="35" t="s">
        <v>711</v>
      </c>
    </row>
    <row r="135" spans="1:22" ht="22.5">
      <c r="A135" s="32" t="s">
        <v>697</v>
      </c>
      <c r="B135" s="32" t="str">
        <f>数据库!B133&amp;"号楼"</f>
        <v>52号楼</v>
      </c>
      <c r="C135" s="32" t="str">
        <f>NUMBERSTRING(数据库!C133,3)&amp;"单元"</f>
        <v>一单元</v>
      </c>
      <c r="D135" s="32">
        <f>数据库!D133</f>
        <v>102</v>
      </c>
      <c r="E135" s="32">
        <f t="shared" si="2"/>
        <v>102</v>
      </c>
      <c r="F135" s="32"/>
      <c r="G135" s="32"/>
      <c r="H135" s="33" t="s">
        <v>696</v>
      </c>
      <c r="I135" s="29"/>
      <c r="J135" s="29"/>
      <c r="K135" s="29"/>
      <c r="L135" s="29"/>
      <c r="M135" s="18" t="str">
        <f>数据库!E133</f>
        <v>40172070</v>
      </c>
      <c r="N135" s="29" t="s">
        <v>695</v>
      </c>
      <c r="O135" s="32" t="s">
        <v>694</v>
      </c>
      <c r="P135" s="29" t="s">
        <v>693</v>
      </c>
      <c r="Q135" s="29"/>
      <c r="R135" s="29" t="s">
        <v>692</v>
      </c>
      <c r="S135" s="29" t="s">
        <v>691</v>
      </c>
      <c r="T135" s="29"/>
      <c r="U135" s="18">
        <f>数据库!I133</f>
        <v>0</v>
      </c>
      <c r="V135" s="35" t="s">
        <v>711</v>
      </c>
    </row>
    <row r="136" spans="1:22" ht="22.5">
      <c r="A136" s="32" t="s">
        <v>697</v>
      </c>
      <c r="B136" s="32" t="str">
        <f>数据库!B134&amp;"号楼"</f>
        <v>52号楼</v>
      </c>
      <c r="C136" s="32" t="str">
        <f>NUMBERSTRING(数据库!C134,3)&amp;"单元"</f>
        <v>一单元</v>
      </c>
      <c r="D136" s="32">
        <f>数据库!D134</f>
        <v>103</v>
      </c>
      <c r="E136" s="32">
        <f t="shared" si="2"/>
        <v>103</v>
      </c>
      <c r="F136" s="32"/>
      <c r="G136" s="32"/>
      <c r="H136" s="33" t="s">
        <v>696</v>
      </c>
      <c r="I136" s="29"/>
      <c r="J136" s="29"/>
      <c r="K136" s="29"/>
      <c r="L136" s="29"/>
      <c r="M136" s="18" t="str">
        <f>数据库!E134</f>
        <v>40130698</v>
      </c>
      <c r="N136" s="29" t="s">
        <v>695</v>
      </c>
      <c r="O136" s="32" t="s">
        <v>694</v>
      </c>
      <c r="P136" s="29" t="s">
        <v>693</v>
      </c>
      <c r="Q136" s="29"/>
      <c r="R136" s="29" t="s">
        <v>692</v>
      </c>
      <c r="S136" s="29" t="s">
        <v>691</v>
      </c>
      <c r="T136" s="29"/>
      <c r="U136" s="18">
        <f>数据库!I134</f>
        <v>0</v>
      </c>
      <c r="V136" s="35" t="s">
        <v>711</v>
      </c>
    </row>
    <row r="137" spans="1:22" ht="22.5">
      <c r="A137" s="32" t="s">
        <v>697</v>
      </c>
      <c r="B137" s="32" t="str">
        <f>数据库!B135&amp;"号楼"</f>
        <v>52号楼</v>
      </c>
      <c r="C137" s="32" t="str">
        <f>NUMBERSTRING(数据库!C135,3)&amp;"单元"</f>
        <v>一单元</v>
      </c>
      <c r="D137" s="32">
        <f>数据库!D135</f>
        <v>601</v>
      </c>
      <c r="E137" s="32">
        <f t="shared" si="2"/>
        <v>601</v>
      </c>
      <c r="F137" s="32"/>
      <c r="G137" s="32"/>
      <c r="H137" s="33" t="s">
        <v>696</v>
      </c>
      <c r="I137" s="29"/>
      <c r="J137" s="29"/>
      <c r="K137" s="29"/>
      <c r="L137" s="29"/>
      <c r="M137" s="18" t="str">
        <f>数据库!E135</f>
        <v>40179075</v>
      </c>
      <c r="N137" s="29" t="s">
        <v>695</v>
      </c>
      <c r="O137" s="32" t="s">
        <v>694</v>
      </c>
      <c r="P137" s="29" t="s">
        <v>693</v>
      </c>
      <c r="Q137" s="29"/>
      <c r="R137" s="29" t="s">
        <v>692</v>
      </c>
      <c r="S137" s="29" t="s">
        <v>691</v>
      </c>
      <c r="T137" s="29"/>
      <c r="U137" s="18">
        <f>数据库!I135</f>
        <v>0</v>
      </c>
      <c r="V137" s="35" t="s">
        <v>711</v>
      </c>
    </row>
    <row r="138" spans="1:22" ht="22.5">
      <c r="A138" s="32" t="s">
        <v>697</v>
      </c>
      <c r="B138" s="32" t="str">
        <f>数据库!B136&amp;"号楼"</f>
        <v>52号楼</v>
      </c>
      <c r="C138" s="32" t="str">
        <f>NUMBERSTRING(数据库!C136,3)&amp;"单元"</f>
        <v>一单元</v>
      </c>
      <c r="D138" s="32">
        <f>数据库!D136</f>
        <v>603</v>
      </c>
      <c r="E138" s="32">
        <f t="shared" si="2"/>
        <v>603</v>
      </c>
      <c r="F138" s="32"/>
      <c r="G138" s="32"/>
      <c r="H138" s="33" t="s">
        <v>696</v>
      </c>
      <c r="I138" s="29"/>
      <c r="J138" s="29"/>
      <c r="K138" s="29"/>
      <c r="L138" s="29"/>
      <c r="M138" s="18" t="str">
        <f>数据库!E136</f>
        <v>40150738</v>
      </c>
      <c r="N138" s="29" t="s">
        <v>695</v>
      </c>
      <c r="O138" s="32" t="s">
        <v>694</v>
      </c>
      <c r="P138" s="29" t="s">
        <v>693</v>
      </c>
      <c r="Q138" s="29"/>
      <c r="R138" s="29" t="s">
        <v>692</v>
      </c>
      <c r="S138" s="29" t="s">
        <v>691</v>
      </c>
      <c r="T138" s="29"/>
      <c r="U138" s="18">
        <f>数据库!I136</f>
        <v>0</v>
      </c>
      <c r="V138" s="35" t="s">
        <v>711</v>
      </c>
    </row>
    <row r="139" spans="1:22" ht="22.5">
      <c r="A139" s="32" t="s">
        <v>697</v>
      </c>
      <c r="B139" s="32" t="str">
        <f>数据库!B137&amp;"号楼"</f>
        <v>52号楼</v>
      </c>
      <c r="C139" s="32" t="str">
        <f>NUMBERSTRING(数据库!C137,3)&amp;"单元"</f>
        <v>二单元</v>
      </c>
      <c r="D139" s="32">
        <f>数据库!D137</f>
        <v>101</v>
      </c>
      <c r="E139" s="32">
        <f t="shared" si="2"/>
        <v>101</v>
      </c>
      <c r="F139" s="32"/>
      <c r="G139" s="32"/>
      <c r="H139" s="33" t="s">
        <v>696</v>
      </c>
      <c r="I139" s="29"/>
      <c r="J139" s="29"/>
      <c r="K139" s="29"/>
      <c r="L139" s="29"/>
      <c r="M139" s="18" t="str">
        <f>数据库!E137</f>
        <v>40176196</v>
      </c>
      <c r="N139" s="29" t="s">
        <v>695</v>
      </c>
      <c r="O139" s="32" t="s">
        <v>694</v>
      </c>
      <c r="P139" s="29" t="s">
        <v>693</v>
      </c>
      <c r="Q139" s="29"/>
      <c r="R139" s="29" t="s">
        <v>692</v>
      </c>
      <c r="S139" s="29" t="s">
        <v>691</v>
      </c>
      <c r="T139" s="29"/>
      <c r="U139" s="18">
        <f>数据库!I137</f>
        <v>0</v>
      </c>
      <c r="V139" s="35" t="s">
        <v>711</v>
      </c>
    </row>
    <row r="140" spans="1:22" ht="22.5">
      <c r="A140" s="32" t="s">
        <v>697</v>
      </c>
      <c r="B140" s="32" t="str">
        <f>数据库!B138&amp;"号楼"</f>
        <v>52号楼</v>
      </c>
      <c r="C140" s="32" t="str">
        <f>NUMBERSTRING(数据库!C138,3)&amp;"单元"</f>
        <v>二单元</v>
      </c>
      <c r="D140" s="32">
        <f>数据库!D138</f>
        <v>102</v>
      </c>
      <c r="E140" s="32">
        <f t="shared" si="2"/>
        <v>102</v>
      </c>
      <c r="F140" s="32"/>
      <c r="G140" s="32"/>
      <c r="H140" s="33" t="s">
        <v>696</v>
      </c>
      <c r="I140" s="29"/>
      <c r="J140" s="29"/>
      <c r="K140" s="29"/>
      <c r="L140" s="29"/>
      <c r="M140" s="18" t="str">
        <f>数据库!E138</f>
        <v>40193928</v>
      </c>
      <c r="N140" s="29" t="s">
        <v>695</v>
      </c>
      <c r="O140" s="32" t="s">
        <v>694</v>
      </c>
      <c r="P140" s="29" t="s">
        <v>693</v>
      </c>
      <c r="Q140" s="29"/>
      <c r="R140" s="29" t="s">
        <v>692</v>
      </c>
      <c r="S140" s="29" t="s">
        <v>691</v>
      </c>
      <c r="T140" s="29"/>
      <c r="U140" s="18">
        <f>数据库!I138</f>
        <v>0</v>
      </c>
      <c r="V140" s="35" t="s">
        <v>711</v>
      </c>
    </row>
    <row r="141" spans="1:22" ht="22.5">
      <c r="A141" s="32" t="s">
        <v>697</v>
      </c>
      <c r="B141" s="32" t="str">
        <f>数据库!B139&amp;"号楼"</f>
        <v>52号楼</v>
      </c>
      <c r="C141" s="32" t="str">
        <f>NUMBERSTRING(数据库!C139,3)&amp;"单元"</f>
        <v>二单元</v>
      </c>
      <c r="D141" s="32">
        <f>数据库!D139</f>
        <v>103</v>
      </c>
      <c r="E141" s="32">
        <f t="shared" si="2"/>
        <v>103</v>
      </c>
      <c r="F141" s="32"/>
      <c r="G141" s="32"/>
      <c r="H141" s="33" t="s">
        <v>696</v>
      </c>
      <c r="I141" s="29"/>
      <c r="J141" s="29"/>
      <c r="K141" s="29"/>
      <c r="L141" s="29"/>
      <c r="M141" s="18" t="str">
        <f>数据库!E139</f>
        <v>40121960</v>
      </c>
      <c r="N141" s="29" t="s">
        <v>695</v>
      </c>
      <c r="O141" s="32" t="s">
        <v>694</v>
      </c>
      <c r="P141" s="29" t="s">
        <v>693</v>
      </c>
      <c r="Q141" s="29"/>
      <c r="R141" s="29" t="s">
        <v>692</v>
      </c>
      <c r="S141" s="29" t="s">
        <v>691</v>
      </c>
      <c r="T141" s="29"/>
      <c r="U141" s="18">
        <f>数据库!I139</f>
        <v>0</v>
      </c>
      <c r="V141" s="35" t="s">
        <v>711</v>
      </c>
    </row>
    <row r="142" spans="1:22" ht="22.5">
      <c r="A142" s="32" t="s">
        <v>697</v>
      </c>
      <c r="B142" s="32" t="str">
        <f>数据库!B140&amp;"号楼"</f>
        <v>52号楼</v>
      </c>
      <c r="C142" s="32" t="str">
        <f>NUMBERSTRING(数据库!C140,3)&amp;"单元"</f>
        <v>二单元</v>
      </c>
      <c r="D142" s="32">
        <f>数据库!D140</f>
        <v>601</v>
      </c>
      <c r="E142" s="32">
        <f t="shared" si="2"/>
        <v>601</v>
      </c>
      <c r="F142" s="32"/>
      <c r="G142" s="32"/>
      <c r="H142" s="33" t="s">
        <v>696</v>
      </c>
      <c r="I142" s="29"/>
      <c r="J142" s="29"/>
      <c r="K142" s="29"/>
      <c r="L142" s="29"/>
      <c r="M142" s="18" t="str">
        <f>数据库!E140</f>
        <v>40181600</v>
      </c>
      <c r="N142" s="29" t="s">
        <v>695</v>
      </c>
      <c r="O142" s="32" t="s">
        <v>694</v>
      </c>
      <c r="P142" s="29" t="s">
        <v>693</v>
      </c>
      <c r="Q142" s="29"/>
      <c r="R142" s="29" t="s">
        <v>692</v>
      </c>
      <c r="S142" s="29" t="s">
        <v>691</v>
      </c>
      <c r="T142" s="29"/>
      <c r="U142" s="18">
        <f>数据库!I140</f>
        <v>0</v>
      </c>
      <c r="V142" s="35" t="s">
        <v>711</v>
      </c>
    </row>
    <row r="143" spans="1:22" ht="22.5">
      <c r="A143" s="32" t="s">
        <v>697</v>
      </c>
      <c r="B143" s="32" t="str">
        <f>数据库!B141&amp;"号楼"</f>
        <v>52号楼</v>
      </c>
      <c r="C143" s="32" t="str">
        <f>NUMBERSTRING(数据库!C141,3)&amp;"单元"</f>
        <v>二单元</v>
      </c>
      <c r="D143" s="32">
        <f>数据库!D141</f>
        <v>603</v>
      </c>
      <c r="E143" s="32">
        <f t="shared" si="2"/>
        <v>603</v>
      </c>
      <c r="F143" s="32"/>
      <c r="G143" s="32"/>
      <c r="H143" s="33" t="s">
        <v>696</v>
      </c>
      <c r="I143" s="29"/>
      <c r="J143" s="29"/>
      <c r="K143" s="29"/>
      <c r="L143" s="29"/>
      <c r="M143" s="18" t="str">
        <f>数据库!E141</f>
        <v>40206902</v>
      </c>
      <c r="N143" s="29" t="s">
        <v>695</v>
      </c>
      <c r="O143" s="32" t="s">
        <v>694</v>
      </c>
      <c r="P143" s="29" t="s">
        <v>693</v>
      </c>
      <c r="Q143" s="29"/>
      <c r="R143" s="29" t="s">
        <v>692</v>
      </c>
      <c r="S143" s="29" t="s">
        <v>691</v>
      </c>
      <c r="T143" s="29"/>
      <c r="U143" s="18">
        <f>数据库!I141</f>
        <v>0</v>
      </c>
      <c r="V143" s="35" t="s">
        <v>711</v>
      </c>
    </row>
    <row r="144" spans="1:22" ht="22.5">
      <c r="A144" s="32" t="s">
        <v>697</v>
      </c>
      <c r="B144" s="32" t="str">
        <f>数据库!B142&amp;"号楼"</f>
        <v>53号楼</v>
      </c>
      <c r="C144" s="32" t="str">
        <f>NUMBERSTRING(数据库!C142,3)&amp;"单元"</f>
        <v>一单元</v>
      </c>
      <c r="D144" s="32">
        <f>数据库!D142</f>
        <v>101</v>
      </c>
      <c r="E144" s="32">
        <f t="shared" si="2"/>
        <v>101</v>
      </c>
      <c r="F144" s="32"/>
      <c r="G144" s="32"/>
      <c r="H144" s="33" t="s">
        <v>696</v>
      </c>
      <c r="I144" s="29"/>
      <c r="J144" s="29"/>
      <c r="K144" s="29"/>
      <c r="L144" s="29"/>
      <c r="M144" s="18" t="str">
        <f>数据库!E142</f>
        <v>40204295</v>
      </c>
      <c r="N144" s="29" t="s">
        <v>695</v>
      </c>
      <c r="O144" s="32" t="s">
        <v>694</v>
      </c>
      <c r="P144" s="29" t="s">
        <v>693</v>
      </c>
      <c r="Q144" s="29"/>
      <c r="R144" s="29" t="s">
        <v>692</v>
      </c>
      <c r="S144" s="29" t="s">
        <v>691</v>
      </c>
      <c r="T144" s="29"/>
      <c r="U144" s="18">
        <f>数据库!I142</f>
        <v>0</v>
      </c>
      <c r="V144" s="35" t="s">
        <v>711</v>
      </c>
    </row>
    <row r="145" spans="1:22" ht="22.5">
      <c r="A145" s="32" t="s">
        <v>697</v>
      </c>
      <c r="B145" s="32" t="str">
        <f>数据库!B143&amp;"号楼"</f>
        <v>53号楼</v>
      </c>
      <c r="C145" s="32" t="str">
        <f>NUMBERSTRING(数据库!C143,3)&amp;"单元"</f>
        <v>一单元</v>
      </c>
      <c r="D145" s="32">
        <f>数据库!D143</f>
        <v>102</v>
      </c>
      <c r="E145" s="32">
        <f t="shared" si="2"/>
        <v>102</v>
      </c>
      <c r="F145" s="32"/>
      <c r="G145" s="32"/>
      <c r="H145" s="33" t="s">
        <v>696</v>
      </c>
      <c r="I145" s="29"/>
      <c r="J145" s="29"/>
      <c r="K145" s="29"/>
      <c r="L145" s="29"/>
      <c r="M145" s="18" t="str">
        <f>数据库!E143</f>
        <v>40175529</v>
      </c>
      <c r="N145" s="29" t="s">
        <v>695</v>
      </c>
      <c r="O145" s="32" t="s">
        <v>694</v>
      </c>
      <c r="P145" s="29" t="s">
        <v>693</v>
      </c>
      <c r="Q145" s="29"/>
      <c r="R145" s="29" t="s">
        <v>692</v>
      </c>
      <c r="S145" s="29" t="s">
        <v>691</v>
      </c>
      <c r="T145" s="29"/>
      <c r="U145" s="18">
        <f>数据库!I143</f>
        <v>0</v>
      </c>
      <c r="V145" s="35" t="s">
        <v>711</v>
      </c>
    </row>
    <row r="146" spans="1:22" ht="22.5">
      <c r="A146" s="32" t="s">
        <v>697</v>
      </c>
      <c r="B146" s="32" t="str">
        <f>数据库!B144&amp;"号楼"</f>
        <v>53号楼</v>
      </c>
      <c r="C146" s="32" t="str">
        <f>NUMBERSTRING(数据库!C144,3)&amp;"单元"</f>
        <v>一单元</v>
      </c>
      <c r="D146" s="32">
        <f>数据库!D144</f>
        <v>103</v>
      </c>
      <c r="E146" s="32">
        <f t="shared" si="2"/>
        <v>103</v>
      </c>
      <c r="F146" s="32"/>
      <c r="G146" s="32"/>
      <c r="H146" s="33" t="s">
        <v>696</v>
      </c>
      <c r="I146" s="29"/>
      <c r="J146" s="29"/>
      <c r="K146" s="29"/>
      <c r="L146" s="29"/>
      <c r="M146" s="18" t="str">
        <f>数据库!E144</f>
        <v>40192441</v>
      </c>
      <c r="N146" s="29" t="s">
        <v>695</v>
      </c>
      <c r="O146" s="32" t="s">
        <v>694</v>
      </c>
      <c r="P146" s="29" t="s">
        <v>693</v>
      </c>
      <c r="Q146" s="29"/>
      <c r="R146" s="29" t="s">
        <v>692</v>
      </c>
      <c r="S146" s="29" t="s">
        <v>691</v>
      </c>
      <c r="T146" s="29"/>
      <c r="U146" s="18">
        <f>数据库!I144</f>
        <v>0</v>
      </c>
      <c r="V146" s="35" t="s">
        <v>711</v>
      </c>
    </row>
    <row r="147" spans="1:22" ht="22.5">
      <c r="A147" s="32" t="s">
        <v>697</v>
      </c>
      <c r="B147" s="32" t="str">
        <f>数据库!B145&amp;"号楼"</f>
        <v>53号楼</v>
      </c>
      <c r="C147" s="32" t="str">
        <f>NUMBERSTRING(数据库!C145,3)&amp;"单元"</f>
        <v>一单元</v>
      </c>
      <c r="D147" s="32">
        <f>数据库!D145</f>
        <v>601</v>
      </c>
      <c r="E147" s="32">
        <f t="shared" si="2"/>
        <v>601</v>
      </c>
      <c r="F147" s="32"/>
      <c r="G147" s="32"/>
      <c r="H147" s="33" t="s">
        <v>696</v>
      </c>
      <c r="I147" s="29"/>
      <c r="J147" s="29"/>
      <c r="K147" s="29"/>
      <c r="L147" s="29"/>
      <c r="M147" s="18" t="str">
        <f>数据库!E145</f>
        <v>40121143</v>
      </c>
      <c r="N147" s="29" t="s">
        <v>695</v>
      </c>
      <c r="O147" s="32" t="s">
        <v>694</v>
      </c>
      <c r="P147" s="29" t="s">
        <v>693</v>
      </c>
      <c r="Q147" s="29"/>
      <c r="R147" s="29" t="s">
        <v>692</v>
      </c>
      <c r="S147" s="29" t="s">
        <v>691</v>
      </c>
      <c r="T147" s="29"/>
      <c r="U147" s="18">
        <f>数据库!I145</f>
        <v>0</v>
      </c>
      <c r="V147" s="35" t="s">
        <v>711</v>
      </c>
    </row>
    <row r="148" spans="1:22" ht="22.5">
      <c r="A148" s="32" t="s">
        <v>697</v>
      </c>
      <c r="B148" s="32" t="str">
        <f>数据库!B146&amp;"号楼"</f>
        <v>53号楼</v>
      </c>
      <c r="C148" s="32" t="str">
        <f>NUMBERSTRING(数据库!C146,3)&amp;"单元"</f>
        <v>一单元</v>
      </c>
      <c r="D148" s="32">
        <f>数据库!D146</f>
        <v>603</v>
      </c>
      <c r="E148" s="32">
        <f t="shared" si="2"/>
        <v>603</v>
      </c>
      <c r="F148" s="32"/>
      <c r="G148" s="32"/>
      <c r="H148" s="33" t="s">
        <v>696</v>
      </c>
      <c r="I148" s="29"/>
      <c r="J148" s="29"/>
      <c r="K148" s="29"/>
      <c r="L148" s="29"/>
      <c r="M148" s="18" t="str">
        <f>数据库!E146</f>
        <v>40119089</v>
      </c>
      <c r="N148" s="29" t="s">
        <v>695</v>
      </c>
      <c r="O148" s="32" t="s">
        <v>694</v>
      </c>
      <c r="P148" s="29" t="s">
        <v>693</v>
      </c>
      <c r="Q148" s="29"/>
      <c r="R148" s="29" t="s">
        <v>692</v>
      </c>
      <c r="S148" s="29" t="s">
        <v>691</v>
      </c>
      <c r="T148" s="29"/>
      <c r="U148" s="18">
        <f>数据库!I146</f>
        <v>0</v>
      </c>
      <c r="V148" s="35" t="s">
        <v>711</v>
      </c>
    </row>
    <row r="149" spans="1:22" ht="22.5">
      <c r="A149" s="32" t="s">
        <v>697</v>
      </c>
      <c r="B149" s="32" t="str">
        <f>数据库!B147&amp;"号楼"</f>
        <v>53号楼</v>
      </c>
      <c r="C149" s="32" t="str">
        <f>NUMBERSTRING(数据库!C147,3)&amp;"单元"</f>
        <v>二单元</v>
      </c>
      <c r="D149" s="32">
        <f>数据库!D147</f>
        <v>101</v>
      </c>
      <c r="E149" s="32">
        <f t="shared" si="2"/>
        <v>101</v>
      </c>
      <c r="F149" s="32"/>
      <c r="G149" s="32"/>
      <c r="H149" s="33" t="s">
        <v>696</v>
      </c>
      <c r="I149" s="29"/>
      <c r="J149" s="29"/>
      <c r="K149" s="29"/>
      <c r="L149" s="29"/>
      <c r="M149" s="18" t="str">
        <f>数据库!E147</f>
        <v>40119352</v>
      </c>
      <c r="N149" s="29" t="s">
        <v>695</v>
      </c>
      <c r="O149" s="32" t="s">
        <v>694</v>
      </c>
      <c r="P149" s="29" t="s">
        <v>693</v>
      </c>
      <c r="Q149" s="29"/>
      <c r="R149" s="29" t="s">
        <v>692</v>
      </c>
      <c r="S149" s="29" t="s">
        <v>691</v>
      </c>
      <c r="T149" s="29"/>
      <c r="U149" s="18">
        <f>数据库!I147</f>
        <v>0</v>
      </c>
      <c r="V149" s="35" t="s">
        <v>711</v>
      </c>
    </row>
    <row r="150" spans="1:22" ht="22.5">
      <c r="A150" s="32" t="s">
        <v>697</v>
      </c>
      <c r="B150" s="32" t="str">
        <f>数据库!B148&amp;"号楼"</f>
        <v>53号楼</v>
      </c>
      <c r="C150" s="32" t="str">
        <f>NUMBERSTRING(数据库!C148,3)&amp;"单元"</f>
        <v>二单元</v>
      </c>
      <c r="D150" s="32">
        <f>数据库!D148</f>
        <v>102</v>
      </c>
      <c r="E150" s="32">
        <f t="shared" si="2"/>
        <v>102</v>
      </c>
      <c r="F150" s="32"/>
      <c r="G150" s="32"/>
      <c r="H150" s="33" t="s">
        <v>696</v>
      </c>
      <c r="I150" s="29"/>
      <c r="J150" s="29"/>
      <c r="K150" s="29"/>
      <c r="L150" s="29"/>
      <c r="M150" s="18" t="str">
        <f>数据库!E148</f>
        <v>40199651</v>
      </c>
      <c r="N150" s="29" t="s">
        <v>695</v>
      </c>
      <c r="O150" s="32" t="s">
        <v>694</v>
      </c>
      <c r="P150" s="29" t="s">
        <v>693</v>
      </c>
      <c r="Q150" s="29"/>
      <c r="R150" s="29" t="s">
        <v>692</v>
      </c>
      <c r="S150" s="29" t="s">
        <v>691</v>
      </c>
      <c r="T150" s="29"/>
      <c r="U150" s="18">
        <f>数据库!I148</f>
        <v>0</v>
      </c>
      <c r="V150" s="35" t="s">
        <v>711</v>
      </c>
    </row>
    <row r="151" spans="1:22" ht="22.5">
      <c r="A151" s="32" t="s">
        <v>697</v>
      </c>
      <c r="B151" s="32" t="str">
        <f>数据库!B149&amp;"号楼"</f>
        <v>53号楼</v>
      </c>
      <c r="C151" s="32" t="str">
        <f>NUMBERSTRING(数据库!C149,3)&amp;"单元"</f>
        <v>二单元</v>
      </c>
      <c r="D151" s="32">
        <f>数据库!D149</f>
        <v>103</v>
      </c>
      <c r="E151" s="32">
        <f t="shared" si="2"/>
        <v>103</v>
      </c>
      <c r="F151" s="32"/>
      <c r="G151" s="32"/>
      <c r="H151" s="33" t="s">
        <v>696</v>
      </c>
      <c r="I151" s="29"/>
      <c r="J151" s="29"/>
      <c r="K151" s="29"/>
      <c r="L151" s="29"/>
      <c r="M151" s="18" t="str">
        <f>数据库!E149</f>
        <v>40181758</v>
      </c>
      <c r="N151" s="29" t="s">
        <v>695</v>
      </c>
      <c r="O151" s="32" t="s">
        <v>694</v>
      </c>
      <c r="P151" s="29" t="s">
        <v>693</v>
      </c>
      <c r="Q151" s="29"/>
      <c r="R151" s="29" t="s">
        <v>692</v>
      </c>
      <c r="S151" s="29" t="s">
        <v>691</v>
      </c>
      <c r="T151" s="29"/>
      <c r="U151" s="18">
        <f>数据库!I149</f>
        <v>0</v>
      </c>
      <c r="V151" s="35" t="s">
        <v>711</v>
      </c>
    </row>
    <row r="152" spans="1:22" ht="22.5">
      <c r="A152" s="32" t="s">
        <v>697</v>
      </c>
      <c r="B152" s="32" t="str">
        <f>数据库!B150&amp;"号楼"</f>
        <v>53号楼</v>
      </c>
      <c r="C152" s="32" t="str">
        <f>NUMBERSTRING(数据库!C150,3)&amp;"单元"</f>
        <v>二单元</v>
      </c>
      <c r="D152" s="32">
        <f>数据库!D150</f>
        <v>601</v>
      </c>
      <c r="E152" s="32">
        <f t="shared" si="2"/>
        <v>601</v>
      </c>
      <c r="F152" s="32"/>
      <c r="G152" s="32"/>
      <c r="H152" s="33" t="s">
        <v>696</v>
      </c>
      <c r="I152" s="29"/>
      <c r="J152" s="29"/>
      <c r="K152" s="29"/>
      <c r="L152" s="29"/>
      <c r="M152" s="18" t="str">
        <f>数据库!E150</f>
        <v>40200277</v>
      </c>
      <c r="N152" s="29" t="s">
        <v>695</v>
      </c>
      <c r="O152" s="32" t="s">
        <v>694</v>
      </c>
      <c r="P152" s="29" t="s">
        <v>693</v>
      </c>
      <c r="Q152" s="29"/>
      <c r="R152" s="29" t="s">
        <v>692</v>
      </c>
      <c r="S152" s="29" t="s">
        <v>691</v>
      </c>
      <c r="T152" s="29"/>
      <c r="U152" s="18">
        <f>数据库!I150</f>
        <v>0</v>
      </c>
      <c r="V152" s="35" t="s">
        <v>711</v>
      </c>
    </row>
    <row r="153" spans="1:22" ht="22.5">
      <c r="A153" s="32" t="s">
        <v>697</v>
      </c>
      <c r="B153" s="32" t="str">
        <f>数据库!B151&amp;"号楼"</f>
        <v>53号楼</v>
      </c>
      <c r="C153" s="32" t="str">
        <f>NUMBERSTRING(数据库!C151,3)&amp;"单元"</f>
        <v>二单元</v>
      </c>
      <c r="D153" s="32">
        <f>数据库!D151</f>
        <v>603</v>
      </c>
      <c r="E153" s="32">
        <f t="shared" si="2"/>
        <v>603</v>
      </c>
      <c r="F153" s="32"/>
      <c r="G153" s="32"/>
      <c r="H153" s="33" t="s">
        <v>696</v>
      </c>
      <c r="I153" s="29"/>
      <c r="J153" s="29"/>
      <c r="K153" s="29"/>
      <c r="L153" s="29"/>
      <c r="M153" s="18" t="str">
        <f>数据库!E151</f>
        <v>40181808</v>
      </c>
      <c r="N153" s="29" t="s">
        <v>695</v>
      </c>
      <c r="O153" s="32" t="s">
        <v>694</v>
      </c>
      <c r="P153" s="29" t="s">
        <v>693</v>
      </c>
      <c r="Q153" s="29"/>
      <c r="R153" s="29" t="s">
        <v>692</v>
      </c>
      <c r="S153" s="29" t="s">
        <v>691</v>
      </c>
      <c r="T153" s="29"/>
      <c r="U153" s="18">
        <f>数据库!I151</f>
        <v>0</v>
      </c>
      <c r="V153" s="35" t="s">
        <v>711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F6A15-7314-4998-9B53-286CAA98DF1C}">
  <dimension ref="A1:AH151"/>
  <sheetViews>
    <sheetView tabSelected="1" zoomScale="85" zoomScaleNormal="85" workbookViewId="0">
      <selection activeCell="D16" sqref="D16"/>
    </sheetView>
  </sheetViews>
  <sheetFormatPr defaultColWidth="21" defaultRowHeight="13.5" outlineLevelCol="1"/>
  <cols>
    <col min="1" max="1" width="21" style="1" customWidth="1"/>
    <col min="2" max="6" width="21" customWidth="1"/>
    <col min="8" max="12" width="21" hidden="1" customWidth="1" outlineLevel="1"/>
    <col min="13" max="13" width="21" collapsed="1"/>
    <col min="14" max="16" width="21" hidden="1" customWidth="1" outlineLevel="1"/>
    <col min="17" max="17" width="21" style="1" collapsed="1"/>
    <col min="18" max="18" width="21" style="1" hidden="1" customWidth="1" outlineLevel="1"/>
    <col min="19" max="26" width="21" hidden="1" customWidth="1" outlineLevel="1"/>
    <col min="27" max="27" width="21" style="1" customWidth="1" collapsed="1"/>
    <col min="28" max="33" width="21" hidden="1" customWidth="1" outlineLevel="1"/>
    <col min="34" max="34" width="21" collapsed="1"/>
  </cols>
  <sheetData>
    <row r="1" spans="1:33">
      <c r="A1" s="16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7" t="s">
        <v>8</v>
      </c>
      <c r="J1" s="3" t="s">
        <v>9</v>
      </c>
      <c r="K1" s="3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3" t="s">
        <v>15</v>
      </c>
      <c r="Q1" s="2" t="s">
        <v>16</v>
      </c>
      <c r="R1" s="8" t="s">
        <v>17</v>
      </c>
      <c r="S1" s="8" t="s">
        <v>18</v>
      </c>
      <c r="T1" s="8" t="s">
        <v>19</v>
      </c>
      <c r="U1" s="3" t="s">
        <v>20</v>
      </c>
      <c r="V1" s="2" t="s">
        <v>21</v>
      </c>
      <c r="W1" s="2" t="s">
        <v>22</v>
      </c>
      <c r="X1" s="3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3" t="s">
        <v>28</v>
      </c>
      <c r="AD1" s="3" t="s">
        <v>29</v>
      </c>
      <c r="AE1" s="2" t="s">
        <v>30</v>
      </c>
      <c r="AF1" s="2" t="s">
        <v>31</v>
      </c>
      <c r="AG1" s="2" t="s">
        <v>32</v>
      </c>
    </row>
    <row r="2" spans="1:33" ht="17.25" customHeight="1">
      <c r="A2" s="4" t="str">
        <f>TEXT(ROW(A1),"000")</f>
        <v>001</v>
      </c>
      <c r="B2" s="5" t="s">
        <v>33</v>
      </c>
      <c r="C2" s="6" t="str">
        <f>数据库!B2&amp;"号楼"</f>
        <v>1号楼</v>
      </c>
      <c r="D2" s="15" t="str">
        <f>NUMBERSTRING(数据库!C2,3)&amp;"单元"</f>
        <v>一单元</v>
      </c>
      <c r="E2" s="6">
        <f>数据库!D2</f>
        <v>101</v>
      </c>
      <c r="F2" s="4"/>
      <c r="G2" s="6">
        <f>E2</f>
        <v>101</v>
      </c>
      <c r="H2" s="4"/>
      <c r="I2" s="9"/>
      <c r="J2" s="4"/>
      <c r="K2" s="4"/>
      <c r="L2" s="10"/>
      <c r="M2" s="10" t="str">
        <f>IFERROR(IF(数据库!F2=0,"低压区",IF(数据库!F2=1,"中压区","高压区")),"Error")</f>
        <v>低压区</v>
      </c>
      <c r="N2" s="10"/>
      <c r="O2" s="4"/>
      <c r="P2" s="4"/>
      <c r="Q2" s="18" t="str">
        <f>数据库!E2</f>
        <v>40187177</v>
      </c>
      <c r="R2" s="12"/>
      <c r="S2" s="4"/>
      <c r="T2" s="10"/>
      <c r="U2" s="4"/>
      <c r="V2" s="4"/>
      <c r="W2" s="13"/>
      <c r="X2" s="13"/>
      <c r="Y2" s="14"/>
      <c r="Z2" s="14"/>
      <c r="AA2" s="18">
        <f>数据库!I2</f>
        <v>0</v>
      </c>
      <c r="AB2" s="14"/>
      <c r="AC2" s="14"/>
      <c r="AD2" s="14"/>
      <c r="AE2" s="4"/>
      <c r="AF2" s="4"/>
      <c r="AG2" s="4"/>
    </row>
    <row r="3" spans="1:33" ht="15">
      <c r="A3" s="4" t="str">
        <f t="shared" ref="A3:A66" si="0">TEXT(ROW(A2),"000")</f>
        <v>002</v>
      </c>
      <c r="B3" s="5" t="s">
        <v>33</v>
      </c>
      <c r="C3" s="6" t="str">
        <f>数据库!B3&amp;"号楼"</f>
        <v>1号楼</v>
      </c>
      <c r="D3" s="15" t="str">
        <f>NUMBERSTRING(数据库!C3,3)&amp;"单元"</f>
        <v>一单元</v>
      </c>
      <c r="E3" s="6">
        <f>数据库!D3</f>
        <v>104</v>
      </c>
      <c r="F3" s="4"/>
      <c r="G3" s="6">
        <f t="shared" ref="G3:G66" si="1">E3</f>
        <v>104</v>
      </c>
      <c r="H3" s="4"/>
      <c r="I3" s="9"/>
      <c r="J3" s="4"/>
      <c r="K3" s="4"/>
      <c r="L3" s="10"/>
      <c r="M3" s="10" t="str">
        <f>IFERROR(IF(数据库!F3=0,"低压区",IF(数据库!F3=1,"中压区","高压区")),"Error")</f>
        <v>低压区</v>
      </c>
      <c r="N3" s="10"/>
      <c r="O3" s="4"/>
      <c r="P3" s="4"/>
      <c r="Q3" s="18" t="str">
        <f>数据库!E3</f>
        <v>40131811</v>
      </c>
      <c r="AA3" s="18">
        <f>数据库!I3</f>
        <v>0</v>
      </c>
    </row>
    <row r="4" spans="1:33" ht="15">
      <c r="A4" s="4" t="str">
        <f t="shared" si="0"/>
        <v>003</v>
      </c>
      <c r="B4" s="5" t="s">
        <v>33</v>
      </c>
      <c r="C4" s="6" t="str">
        <f>数据库!B4&amp;"号楼"</f>
        <v>1号楼</v>
      </c>
      <c r="D4" s="15" t="str">
        <f>NUMBERSTRING(数据库!C4,3)&amp;"单元"</f>
        <v>一单元</v>
      </c>
      <c r="E4" s="6">
        <f>数据库!D4</f>
        <v>601</v>
      </c>
      <c r="F4" s="4"/>
      <c r="G4" s="6">
        <f t="shared" si="1"/>
        <v>601</v>
      </c>
      <c r="H4" s="4"/>
      <c r="I4" s="9"/>
      <c r="J4" s="4"/>
      <c r="K4" s="4"/>
      <c r="L4" s="10"/>
      <c r="M4" s="10" t="str">
        <f>IFERROR(IF(数据库!F4=0,"低压区",IF(数据库!F4=1,"中压区","高压区")),"Error")</f>
        <v>低压区</v>
      </c>
      <c r="N4" s="10"/>
      <c r="O4" s="4"/>
      <c r="P4" s="4"/>
      <c r="Q4" s="18" t="str">
        <f>数据库!E4</f>
        <v>40169100</v>
      </c>
      <c r="AA4" s="18">
        <f>数据库!I4</f>
        <v>0</v>
      </c>
    </row>
    <row r="5" spans="1:33" ht="15">
      <c r="A5" s="4" t="str">
        <f t="shared" si="0"/>
        <v>004</v>
      </c>
      <c r="B5" s="5" t="s">
        <v>33</v>
      </c>
      <c r="C5" s="6" t="str">
        <f>数据库!B5&amp;"号楼"</f>
        <v>1号楼</v>
      </c>
      <c r="D5" s="15" t="str">
        <f>NUMBERSTRING(数据库!C5,3)&amp;"单元"</f>
        <v>一单元</v>
      </c>
      <c r="E5" s="6">
        <f>数据库!D5</f>
        <v>604</v>
      </c>
      <c r="F5" s="4"/>
      <c r="G5" s="6">
        <f t="shared" si="1"/>
        <v>604</v>
      </c>
      <c r="H5" s="4"/>
      <c r="I5" s="9"/>
      <c r="J5" s="4"/>
      <c r="K5" s="4"/>
      <c r="L5" s="10"/>
      <c r="M5" s="10" t="str">
        <f>IFERROR(IF(数据库!F5=0,"低压区",IF(数据库!F5=1,"中压区","高压区")),"Error")</f>
        <v>低压区</v>
      </c>
      <c r="N5" s="10"/>
      <c r="O5" s="4"/>
      <c r="P5" s="4"/>
      <c r="Q5" s="18" t="str">
        <f>数据库!E5</f>
        <v>40185486</v>
      </c>
      <c r="AA5" s="18">
        <f>数据库!I5</f>
        <v>0</v>
      </c>
    </row>
    <row r="6" spans="1:33" ht="15">
      <c r="A6" s="4" t="str">
        <f t="shared" si="0"/>
        <v>005</v>
      </c>
      <c r="B6" s="5" t="s">
        <v>33</v>
      </c>
      <c r="C6" s="6" t="str">
        <f>数据库!B6&amp;"号楼"</f>
        <v>1号楼</v>
      </c>
      <c r="D6" s="15" t="str">
        <f>NUMBERSTRING(数据库!C6,3)&amp;"单元"</f>
        <v>二单元</v>
      </c>
      <c r="E6" s="6">
        <f>数据库!D6</f>
        <v>101</v>
      </c>
      <c r="F6" s="4"/>
      <c r="G6" s="6">
        <f t="shared" si="1"/>
        <v>101</v>
      </c>
      <c r="H6" s="4"/>
      <c r="I6" s="9"/>
      <c r="J6" s="4"/>
      <c r="K6" s="4"/>
      <c r="L6" s="10"/>
      <c r="M6" s="10" t="str">
        <f>IFERROR(IF(数据库!F6=0,"低压区",IF(数据库!F6=1,"中压区","高压区")),"Error")</f>
        <v>低压区</v>
      </c>
      <c r="N6" s="10"/>
      <c r="O6" s="4"/>
      <c r="P6" s="4"/>
      <c r="Q6" s="18" t="str">
        <f>数据库!E6</f>
        <v>40206787</v>
      </c>
      <c r="AA6" s="18">
        <f>数据库!I6</f>
        <v>0</v>
      </c>
    </row>
    <row r="7" spans="1:33" ht="15">
      <c r="A7" s="4" t="str">
        <f t="shared" si="0"/>
        <v>006</v>
      </c>
      <c r="B7" s="5" t="s">
        <v>33</v>
      </c>
      <c r="C7" s="6" t="str">
        <f>数据库!B7&amp;"号楼"</f>
        <v>1号楼</v>
      </c>
      <c r="D7" s="15" t="str">
        <f>NUMBERSTRING(数据库!C7,3)&amp;"单元"</f>
        <v>二单元</v>
      </c>
      <c r="E7" s="6">
        <f>数据库!D7</f>
        <v>104</v>
      </c>
      <c r="F7" s="4"/>
      <c r="G7" s="6">
        <f t="shared" si="1"/>
        <v>104</v>
      </c>
      <c r="H7" s="4"/>
      <c r="I7" s="9"/>
      <c r="J7" s="4"/>
      <c r="K7" s="4"/>
      <c r="L7" s="10"/>
      <c r="M7" s="10" t="str">
        <f>IFERROR(IF(数据库!F7=0,"低压区",IF(数据库!F7=1,"中压区","高压区")),"Error")</f>
        <v>低压区</v>
      </c>
      <c r="N7" s="10"/>
      <c r="O7" s="4"/>
      <c r="P7" s="4"/>
      <c r="Q7" s="18" t="str">
        <f>数据库!E7</f>
        <v>40133957</v>
      </c>
      <c r="AA7" s="18">
        <f>数据库!I7</f>
        <v>0</v>
      </c>
    </row>
    <row r="8" spans="1:33" ht="15">
      <c r="A8" s="4" t="str">
        <f t="shared" si="0"/>
        <v>007</v>
      </c>
      <c r="B8" s="5" t="s">
        <v>33</v>
      </c>
      <c r="C8" s="6" t="str">
        <f>数据库!B8&amp;"号楼"</f>
        <v>1号楼</v>
      </c>
      <c r="D8" s="15" t="str">
        <f>NUMBERSTRING(数据库!C8,3)&amp;"单元"</f>
        <v>二单元</v>
      </c>
      <c r="E8" s="6">
        <f>数据库!D8</f>
        <v>601</v>
      </c>
      <c r="F8" s="4"/>
      <c r="G8" s="6">
        <f t="shared" si="1"/>
        <v>601</v>
      </c>
      <c r="H8" s="4"/>
      <c r="I8" s="9"/>
      <c r="J8" s="4"/>
      <c r="K8" s="4"/>
      <c r="L8" s="10"/>
      <c r="M8" s="10" t="str">
        <f>IFERROR(IF(数据库!F8=0,"低压区",IF(数据库!F8=1,"中压区","高压区")),"Error")</f>
        <v>低压区</v>
      </c>
      <c r="N8" s="10"/>
      <c r="O8" s="4"/>
      <c r="P8" s="4"/>
      <c r="Q8" s="18" t="str">
        <f>数据库!E8</f>
        <v>40118966</v>
      </c>
      <c r="AA8" s="18">
        <f>数据库!I8</f>
        <v>0</v>
      </c>
    </row>
    <row r="9" spans="1:33" ht="15">
      <c r="A9" s="4" t="str">
        <f t="shared" si="0"/>
        <v>008</v>
      </c>
      <c r="B9" s="5" t="s">
        <v>33</v>
      </c>
      <c r="C9" s="6" t="str">
        <f>数据库!B9&amp;"号楼"</f>
        <v>1号楼</v>
      </c>
      <c r="D9" s="15" t="str">
        <f>NUMBERSTRING(数据库!C9,3)&amp;"单元"</f>
        <v>二单元</v>
      </c>
      <c r="E9" s="6">
        <f>数据库!D9</f>
        <v>604</v>
      </c>
      <c r="F9" s="4"/>
      <c r="G9" s="6">
        <f t="shared" si="1"/>
        <v>604</v>
      </c>
      <c r="H9" s="4"/>
      <c r="I9" s="9"/>
      <c r="J9" s="4"/>
      <c r="K9" s="4"/>
      <c r="L9" s="10"/>
      <c r="M9" s="10" t="str">
        <f>IFERROR(IF(数据库!F9=0,"低压区",IF(数据库!F9=1,"中压区","高压区")),"Error")</f>
        <v>低压区</v>
      </c>
      <c r="N9" s="10"/>
      <c r="O9" s="4"/>
      <c r="P9" s="4"/>
      <c r="Q9" s="18" t="str">
        <f>数据库!E9</f>
        <v>40118685</v>
      </c>
      <c r="AA9" s="18">
        <f>数据库!I9</f>
        <v>0</v>
      </c>
    </row>
    <row r="10" spans="1:33" ht="15">
      <c r="A10" s="4" t="str">
        <f t="shared" si="0"/>
        <v>009</v>
      </c>
      <c r="B10" s="5" t="s">
        <v>33</v>
      </c>
      <c r="C10" s="6" t="str">
        <f>数据库!B10&amp;"号楼"</f>
        <v>1号楼</v>
      </c>
      <c r="D10" s="15" t="str">
        <f>NUMBERSTRING(数据库!C10,3)&amp;"单元"</f>
        <v>三单元</v>
      </c>
      <c r="E10" s="6">
        <f>数据库!D10</f>
        <v>101</v>
      </c>
      <c r="F10" s="4"/>
      <c r="G10" s="6">
        <f t="shared" si="1"/>
        <v>101</v>
      </c>
      <c r="H10" s="4"/>
      <c r="I10" s="9"/>
      <c r="J10" s="4"/>
      <c r="K10" s="4"/>
      <c r="L10" s="10"/>
      <c r="M10" s="10" t="str">
        <f>IFERROR(IF(数据库!F10=0,"低压区",IF(数据库!F10=1,"中压区","高压区")),"Error")</f>
        <v>低压区</v>
      </c>
      <c r="N10" s="10"/>
      <c r="O10" s="4"/>
      <c r="P10" s="4"/>
      <c r="Q10" s="18" t="str">
        <f>数据库!E10</f>
        <v>40198380</v>
      </c>
      <c r="AA10" s="18">
        <f>数据库!I10</f>
        <v>0</v>
      </c>
    </row>
    <row r="11" spans="1:33" ht="15">
      <c r="A11" s="4" t="str">
        <f t="shared" si="0"/>
        <v>010</v>
      </c>
      <c r="B11" s="5" t="s">
        <v>33</v>
      </c>
      <c r="C11" s="6" t="str">
        <f>数据库!B11&amp;"号楼"</f>
        <v>1号楼</v>
      </c>
      <c r="D11" s="15" t="str">
        <f>NUMBERSTRING(数据库!C11,3)&amp;"单元"</f>
        <v>三单元</v>
      </c>
      <c r="E11" s="6">
        <f>数据库!D11</f>
        <v>104</v>
      </c>
      <c r="F11" s="4"/>
      <c r="G11" s="6">
        <f t="shared" si="1"/>
        <v>104</v>
      </c>
      <c r="H11" s="4"/>
      <c r="I11" s="9"/>
      <c r="J11" s="4"/>
      <c r="K11" s="4"/>
      <c r="L11" s="10"/>
      <c r="M11" s="10" t="str">
        <f>IFERROR(IF(数据库!F11=0,"低压区",IF(数据库!F11=1,"中压区","高压区")),"Error")</f>
        <v>低压区</v>
      </c>
      <c r="N11" s="10"/>
      <c r="O11" s="4"/>
      <c r="P11" s="4"/>
      <c r="Q11" s="18" t="str">
        <f>数据库!E11</f>
        <v>40177038</v>
      </c>
      <c r="AA11" s="18">
        <f>数据库!I11</f>
        <v>0</v>
      </c>
    </row>
    <row r="12" spans="1:33" ht="15">
      <c r="A12" s="4" t="str">
        <f t="shared" si="0"/>
        <v>011</v>
      </c>
      <c r="B12" s="5" t="s">
        <v>33</v>
      </c>
      <c r="C12" s="6" t="str">
        <f>数据库!B12&amp;"号楼"</f>
        <v>1号楼</v>
      </c>
      <c r="D12" s="15" t="str">
        <f>NUMBERSTRING(数据库!C12,3)&amp;"单元"</f>
        <v>三单元</v>
      </c>
      <c r="E12" s="6">
        <f>数据库!D12</f>
        <v>601</v>
      </c>
      <c r="F12" s="4"/>
      <c r="G12" s="6">
        <f t="shared" si="1"/>
        <v>601</v>
      </c>
      <c r="H12" s="4"/>
      <c r="I12" s="9"/>
      <c r="J12" s="4"/>
      <c r="K12" s="4"/>
      <c r="L12" s="10"/>
      <c r="M12" s="10" t="str">
        <f>IFERROR(IF(数据库!F12=0,"低压区",IF(数据库!F12=1,"中压区","高压区")),"Error")</f>
        <v>低压区</v>
      </c>
      <c r="N12" s="10"/>
      <c r="O12" s="4"/>
      <c r="P12" s="4"/>
      <c r="Q12" s="18" t="str">
        <f>数据库!E12</f>
        <v>40205771</v>
      </c>
      <c r="AA12" s="18">
        <f>数据库!I12</f>
        <v>0</v>
      </c>
    </row>
    <row r="13" spans="1:33" ht="15">
      <c r="A13" s="4" t="str">
        <f t="shared" si="0"/>
        <v>012</v>
      </c>
      <c r="B13" s="5" t="s">
        <v>33</v>
      </c>
      <c r="C13" s="6" t="str">
        <f>数据库!B13&amp;"号楼"</f>
        <v>1号楼</v>
      </c>
      <c r="D13" s="15" t="str">
        <f>NUMBERSTRING(数据库!C13,3)&amp;"单元"</f>
        <v>三单元</v>
      </c>
      <c r="E13" s="6">
        <f>数据库!D13</f>
        <v>604</v>
      </c>
      <c r="F13" s="4"/>
      <c r="G13" s="6">
        <f t="shared" si="1"/>
        <v>604</v>
      </c>
      <c r="H13" s="4"/>
      <c r="I13" s="9"/>
      <c r="J13" s="4"/>
      <c r="K13" s="4"/>
      <c r="L13" s="10"/>
      <c r="M13" s="10" t="str">
        <f>IFERROR(IF(数据库!F13=0,"低压区",IF(数据库!F13=1,"中压区","高压区")),"Error")</f>
        <v>低压区</v>
      </c>
      <c r="N13" s="10"/>
      <c r="O13" s="4"/>
      <c r="P13" s="4"/>
      <c r="Q13" s="18" t="str">
        <f>数据库!E13</f>
        <v>40174175</v>
      </c>
      <c r="AA13" s="18">
        <f>数据库!I13</f>
        <v>0</v>
      </c>
    </row>
    <row r="14" spans="1:33" ht="15">
      <c r="A14" s="4" t="str">
        <f t="shared" si="0"/>
        <v>013</v>
      </c>
      <c r="B14" s="5" t="s">
        <v>33</v>
      </c>
      <c r="C14" s="6" t="str">
        <f>数据库!B14&amp;"号楼"</f>
        <v>2号楼</v>
      </c>
      <c r="D14" s="15" t="str">
        <f>NUMBERSTRING(数据库!C14,3)&amp;"单元"</f>
        <v>一单元</v>
      </c>
      <c r="E14" s="6">
        <f>数据库!D14</f>
        <v>201</v>
      </c>
      <c r="F14" s="4"/>
      <c r="G14" s="6">
        <f t="shared" si="1"/>
        <v>201</v>
      </c>
      <c r="H14" s="4"/>
      <c r="I14" s="9"/>
      <c r="J14" s="4"/>
      <c r="K14" s="4"/>
      <c r="L14" s="10"/>
      <c r="M14" s="10" t="str">
        <f>IFERROR(IF(数据库!F14=0,"低压区",IF(数据库!F14=1,"中压区","高压区")),"Error")</f>
        <v>低压区</v>
      </c>
      <c r="N14" s="10"/>
      <c r="O14" s="4"/>
      <c r="P14" s="4"/>
      <c r="Q14" s="18" t="str">
        <f>数据库!E14</f>
        <v>40168490</v>
      </c>
      <c r="AA14" s="18">
        <f>数据库!I14</f>
        <v>0</v>
      </c>
    </row>
    <row r="15" spans="1:33" ht="15">
      <c r="A15" s="4" t="str">
        <f t="shared" si="0"/>
        <v>014</v>
      </c>
      <c r="B15" s="5" t="s">
        <v>33</v>
      </c>
      <c r="C15" s="6" t="str">
        <f>数据库!B15&amp;"号楼"</f>
        <v>2号楼</v>
      </c>
      <c r="D15" s="15" t="str">
        <f>NUMBERSTRING(数据库!C15,3)&amp;"单元"</f>
        <v>一单元</v>
      </c>
      <c r="E15" s="6">
        <f>数据库!D15</f>
        <v>204</v>
      </c>
      <c r="F15" s="4"/>
      <c r="G15" s="6">
        <f t="shared" si="1"/>
        <v>204</v>
      </c>
      <c r="H15" s="4"/>
      <c r="I15" s="9"/>
      <c r="J15" s="4"/>
      <c r="K15" s="4"/>
      <c r="L15" s="10"/>
      <c r="M15" s="10" t="str">
        <f>IFERROR(IF(数据库!F15=0,"低压区",IF(数据库!F15=1,"中压区","高压区")),"Error")</f>
        <v>低压区</v>
      </c>
      <c r="N15" s="10"/>
      <c r="O15" s="4"/>
      <c r="P15" s="4"/>
      <c r="Q15" s="18" t="str">
        <f>数据库!E15</f>
        <v>40132660</v>
      </c>
      <c r="AA15" s="18">
        <f>数据库!I15</f>
        <v>0</v>
      </c>
    </row>
    <row r="16" spans="1:33" ht="15">
      <c r="A16" s="4" t="str">
        <f t="shared" si="0"/>
        <v>015</v>
      </c>
      <c r="B16" s="5" t="s">
        <v>33</v>
      </c>
      <c r="C16" s="6" t="str">
        <f>数据库!B16&amp;"号楼"</f>
        <v>2号楼</v>
      </c>
      <c r="D16" s="15" t="str">
        <f>NUMBERSTRING(数据库!C16,3)&amp;"单元"</f>
        <v>一单元</v>
      </c>
      <c r="E16" s="6">
        <f>数据库!D16</f>
        <v>501</v>
      </c>
      <c r="F16" s="4"/>
      <c r="G16" s="6">
        <f t="shared" si="1"/>
        <v>501</v>
      </c>
      <c r="H16" s="4"/>
      <c r="I16" s="9"/>
      <c r="J16" s="4"/>
      <c r="K16" s="4"/>
      <c r="L16" s="10"/>
      <c r="M16" s="10" t="str">
        <f>IFERROR(IF(数据库!F16=0,"低压区",IF(数据库!F16=1,"中压区","高压区")),"Error")</f>
        <v>低压区</v>
      </c>
      <c r="N16" s="10"/>
      <c r="O16" s="4"/>
      <c r="P16" s="4"/>
      <c r="Q16" s="18" t="str">
        <f>数据库!E16</f>
        <v>40165199</v>
      </c>
      <c r="AA16" s="18">
        <f>数据库!I16</f>
        <v>0</v>
      </c>
    </row>
    <row r="17" spans="1:27" ht="15">
      <c r="A17" s="4" t="str">
        <f t="shared" si="0"/>
        <v>016</v>
      </c>
      <c r="B17" s="5" t="s">
        <v>33</v>
      </c>
      <c r="C17" s="6" t="str">
        <f>数据库!B17&amp;"号楼"</f>
        <v>2号楼</v>
      </c>
      <c r="D17" s="15" t="str">
        <f>NUMBERSTRING(数据库!C17,3)&amp;"单元"</f>
        <v>一单元</v>
      </c>
      <c r="E17" s="6">
        <f>数据库!D17</f>
        <v>504</v>
      </c>
      <c r="F17" s="4"/>
      <c r="G17" s="6">
        <f t="shared" si="1"/>
        <v>504</v>
      </c>
      <c r="H17" s="4"/>
      <c r="I17" s="9"/>
      <c r="J17" s="4"/>
      <c r="K17" s="4"/>
      <c r="L17" s="10"/>
      <c r="M17" s="10" t="str">
        <f>IFERROR(IF(数据库!F17=0,"低压区",IF(数据库!F17=1,"中压区","高压区")),"Error")</f>
        <v>低压区</v>
      </c>
      <c r="N17" s="10"/>
      <c r="O17" s="4"/>
      <c r="P17" s="4"/>
      <c r="Q17" s="18" t="str">
        <f>数据库!E17</f>
        <v>40179000</v>
      </c>
      <c r="AA17" s="18">
        <f>数据库!I17</f>
        <v>0</v>
      </c>
    </row>
    <row r="18" spans="1:27" ht="15">
      <c r="A18" s="4" t="str">
        <f t="shared" si="0"/>
        <v>017</v>
      </c>
      <c r="B18" s="5" t="s">
        <v>33</v>
      </c>
      <c r="C18" s="6" t="str">
        <f>数据库!B18&amp;"号楼"</f>
        <v>2号楼</v>
      </c>
      <c r="D18" s="15" t="str">
        <f>NUMBERSTRING(数据库!C18,3)&amp;"单元"</f>
        <v>二单元</v>
      </c>
      <c r="E18" s="6">
        <f>数据库!D18</f>
        <v>201</v>
      </c>
      <c r="F18" s="4"/>
      <c r="G18" s="6">
        <f t="shared" si="1"/>
        <v>201</v>
      </c>
      <c r="H18" s="4"/>
      <c r="I18" s="9"/>
      <c r="J18" s="4"/>
      <c r="K18" s="4"/>
      <c r="L18" s="10"/>
      <c r="M18" s="10" t="str">
        <f>IFERROR(IF(数据库!F18=0,"低压区",IF(数据库!F18=1,"中压区","高压区")),"Error")</f>
        <v>低压区</v>
      </c>
      <c r="N18" s="10"/>
      <c r="O18" s="4"/>
      <c r="P18" s="4"/>
      <c r="Q18" s="18" t="str">
        <f>数据库!E18</f>
        <v>40161701</v>
      </c>
      <c r="AA18" s="18">
        <f>数据库!I18</f>
        <v>0</v>
      </c>
    </row>
    <row r="19" spans="1:27" ht="15">
      <c r="A19" s="4" t="str">
        <f t="shared" si="0"/>
        <v>018</v>
      </c>
      <c r="B19" s="5" t="s">
        <v>33</v>
      </c>
      <c r="C19" s="6" t="str">
        <f>数据库!B19&amp;"号楼"</f>
        <v>2号楼</v>
      </c>
      <c r="D19" s="15" t="str">
        <f>NUMBERSTRING(数据库!C19,3)&amp;"单元"</f>
        <v>二单元</v>
      </c>
      <c r="E19" s="6">
        <f>数据库!D19</f>
        <v>204</v>
      </c>
      <c r="F19" s="4"/>
      <c r="G19" s="6">
        <f t="shared" si="1"/>
        <v>204</v>
      </c>
      <c r="H19" s="4"/>
      <c r="I19" s="9"/>
      <c r="J19" s="4"/>
      <c r="K19" s="4"/>
      <c r="L19" s="10"/>
      <c r="M19" s="10" t="str">
        <f>IFERROR(IF(数据库!F19=0,"低压区",IF(数据库!F19=1,"中压区","高压区")),"Error")</f>
        <v>低压区</v>
      </c>
      <c r="N19" s="10"/>
      <c r="O19" s="4"/>
      <c r="P19" s="4"/>
      <c r="Q19" s="18" t="str">
        <f>数据库!E19</f>
        <v>40193290</v>
      </c>
      <c r="AA19" s="18">
        <f>数据库!I19</f>
        <v>0</v>
      </c>
    </row>
    <row r="20" spans="1:27" ht="15">
      <c r="A20" s="4" t="str">
        <f t="shared" si="0"/>
        <v>019</v>
      </c>
      <c r="B20" s="5" t="s">
        <v>33</v>
      </c>
      <c r="C20" s="6" t="str">
        <f>数据库!B20&amp;"号楼"</f>
        <v>2号楼</v>
      </c>
      <c r="D20" s="15" t="str">
        <f>NUMBERSTRING(数据库!C20,3)&amp;"单元"</f>
        <v>二单元</v>
      </c>
      <c r="E20" s="6">
        <f>数据库!D20</f>
        <v>501</v>
      </c>
      <c r="F20" s="4"/>
      <c r="G20" s="6">
        <f t="shared" si="1"/>
        <v>501</v>
      </c>
      <c r="H20" s="4"/>
      <c r="I20" s="9"/>
      <c r="J20" s="4"/>
      <c r="K20" s="4"/>
      <c r="L20" s="10"/>
      <c r="M20" s="10" t="str">
        <f>IFERROR(IF(数据库!F20=0,"低压区",IF(数据库!F20=1,"中压区","高压区")),"Error")</f>
        <v>低压区</v>
      </c>
      <c r="N20" s="10"/>
      <c r="O20" s="4"/>
      <c r="P20" s="4"/>
      <c r="Q20" s="18" t="str">
        <f>数据库!E20</f>
        <v>40175842</v>
      </c>
      <c r="AA20" s="18">
        <f>数据库!I20</f>
        <v>0</v>
      </c>
    </row>
    <row r="21" spans="1:27" ht="15">
      <c r="A21" s="4" t="str">
        <f t="shared" si="0"/>
        <v>020</v>
      </c>
      <c r="B21" s="5" t="s">
        <v>33</v>
      </c>
      <c r="C21" s="6" t="str">
        <f>数据库!B21&amp;"号楼"</f>
        <v>2号楼</v>
      </c>
      <c r="D21" s="15" t="str">
        <f>NUMBERSTRING(数据库!C21,3)&amp;"单元"</f>
        <v>二单元</v>
      </c>
      <c r="E21" s="6">
        <f>数据库!D21</f>
        <v>504</v>
      </c>
      <c r="F21" s="4"/>
      <c r="G21" s="6">
        <f t="shared" si="1"/>
        <v>504</v>
      </c>
      <c r="H21" s="4"/>
      <c r="I21" s="9"/>
      <c r="J21" s="4"/>
      <c r="K21" s="4"/>
      <c r="L21" s="10"/>
      <c r="M21" s="10" t="str">
        <f>IFERROR(IF(数据库!F21=0,"低压区",IF(数据库!F21=1,"中压区","高压区")),"Error")</f>
        <v>低压区</v>
      </c>
      <c r="N21" s="10"/>
      <c r="O21" s="4"/>
      <c r="P21" s="4"/>
      <c r="Q21" s="18" t="str">
        <f>数据库!E21</f>
        <v>40122117</v>
      </c>
      <c r="AA21" s="18">
        <f>数据库!I21</f>
        <v>0</v>
      </c>
    </row>
    <row r="22" spans="1:27" ht="15">
      <c r="A22" s="4" t="str">
        <f t="shared" si="0"/>
        <v>021</v>
      </c>
      <c r="B22" s="5" t="s">
        <v>33</v>
      </c>
      <c r="C22" s="6" t="str">
        <f>数据库!B22&amp;"号楼"</f>
        <v>3号楼</v>
      </c>
      <c r="D22" s="15" t="str">
        <f>NUMBERSTRING(数据库!C22,3)&amp;"单元"</f>
        <v>一单元</v>
      </c>
      <c r="E22" s="6">
        <f>数据库!D22</f>
        <v>201</v>
      </c>
      <c r="F22" s="4"/>
      <c r="G22" s="6">
        <f t="shared" si="1"/>
        <v>201</v>
      </c>
      <c r="H22" s="4"/>
      <c r="I22" s="9"/>
      <c r="J22" s="4"/>
      <c r="K22" s="4"/>
      <c r="L22" s="10"/>
      <c r="M22" s="10" t="str">
        <f>IFERROR(IF(数据库!F22=0,"低压区",IF(数据库!F22=1,"中压区","高压区")),"Error")</f>
        <v>低压区</v>
      </c>
      <c r="N22" s="10"/>
      <c r="O22" s="4"/>
      <c r="P22" s="4"/>
      <c r="Q22" s="18" t="str">
        <f>数据库!E22</f>
        <v>40198117</v>
      </c>
      <c r="AA22" s="18">
        <f>数据库!I22</f>
        <v>0</v>
      </c>
    </row>
    <row r="23" spans="1:27" ht="15">
      <c r="A23" s="4" t="str">
        <f t="shared" si="0"/>
        <v>022</v>
      </c>
      <c r="B23" s="5" t="s">
        <v>33</v>
      </c>
      <c r="C23" s="6" t="str">
        <f>数据库!B23&amp;"号楼"</f>
        <v>3号楼</v>
      </c>
      <c r="D23" s="15" t="str">
        <f>NUMBERSTRING(数据库!C23,3)&amp;"单元"</f>
        <v>一单元</v>
      </c>
      <c r="E23" s="6">
        <f>数据库!D23</f>
        <v>204</v>
      </c>
      <c r="F23" s="4"/>
      <c r="G23" s="6">
        <f t="shared" si="1"/>
        <v>204</v>
      </c>
      <c r="H23" s="4"/>
      <c r="I23" s="9"/>
      <c r="J23" s="4"/>
      <c r="K23" s="4"/>
      <c r="L23" s="10"/>
      <c r="M23" s="10" t="str">
        <f>IFERROR(IF(数据库!F23=0,"低压区",IF(数据库!F23=1,"中压区","高压区")),"Error")</f>
        <v>低压区</v>
      </c>
      <c r="N23" s="10"/>
      <c r="O23" s="4"/>
      <c r="P23" s="4"/>
      <c r="Q23" s="18" t="str">
        <f>数据库!E23</f>
        <v>40158137</v>
      </c>
      <c r="AA23" s="18">
        <f>数据库!I23</f>
        <v>0</v>
      </c>
    </row>
    <row r="24" spans="1:27" ht="15">
      <c r="A24" s="4" t="str">
        <f t="shared" si="0"/>
        <v>023</v>
      </c>
      <c r="B24" s="5" t="s">
        <v>33</v>
      </c>
      <c r="C24" s="6" t="str">
        <f>数据库!B24&amp;"号楼"</f>
        <v>3号楼</v>
      </c>
      <c r="D24" s="15" t="str">
        <f>NUMBERSTRING(数据库!C24,3)&amp;"单元"</f>
        <v>一单元</v>
      </c>
      <c r="E24" s="6">
        <f>数据库!D24</f>
        <v>501</v>
      </c>
      <c r="F24" s="4"/>
      <c r="G24" s="6">
        <f t="shared" si="1"/>
        <v>501</v>
      </c>
      <c r="H24" s="4"/>
      <c r="I24" s="9"/>
      <c r="J24" s="4"/>
      <c r="K24" s="4"/>
      <c r="L24" s="10"/>
      <c r="M24" s="10" t="str">
        <f>IFERROR(IF(数据库!F24=0,"低压区",IF(数据库!F24=1,"中压区","高压区")),"Error")</f>
        <v>低压区</v>
      </c>
      <c r="N24" s="10"/>
      <c r="O24" s="4"/>
      <c r="P24" s="4"/>
      <c r="Q24" s="18" t="str">
        <f>数据库!E24</f>
        <v>40122430</v>
      </c>
      <c r="AA24" s="18">
        <f>数据库!I24</f>
        <v>0</v>
      </c>
    </row>
    <row r="25" spans="1:27" ht="15">
      <c r="A25" s="4" t="str">
        <f t="shared" si="0"/>
        <v>024</v>
      </c>
      <c r="B25" s="5" t="s">
        <v>33</v>
      </c>
      <c r="C25" s="6" t="str">
        <f>数据库!B25&amp;"号楼"</f>
        <v>3号楼</v>
      </c>
      <c r="D25" s="15" t="str">
        <f>NUMBERSTRING(数据库!C25,3)&amp;"单元"</f>
        <v>一单元</v>
      </c>
      <c r="E25" s="6">
        <f>数据库!D25</f>
        <v>504</v>
      </c>
      <c r="F25" s="4"/>
      <c r="G25" s="6">
        <f t="shared" si="1"/>
        <v>504</v>
      </c>
      <c r="H25" s="4"/>
      <c r="I25" s="9"/>
      <c r="J25" s="4"/>
      <c r="K25" s="4"/>
      <c r="L25" s="10"/>
      <c r="M25" s="10" t="str">
        <f>IFERROR(IF(数据库!F25=0,"低压区",IF(数据库!F25=1,"中压区","高压区")),"Error")</f>
        <v>低压区</v>
      </c>
      <c r="N25" s="10"/>
      <c r="O25" s="4"/>
      <c r="P25" s="4"/>
      <c r="Q25" s="18" t="str">
        <f>数据库!E25</f>
        <v>40159770</v>
      </c>
      <c r="AA25" s="18">
        <f>数据库!I25</f>
        <v>0</v>
      </c>
    </row>
    <row r="26" spans="1:27" ht="15">
      <c r="A26" s="4" t="str">
        <f t="shared" si="0"/>
        <v>025</v>
      </c>
      <c r="B26" s="5" t="s">
        <v>33</v>
      </c>
      <c r="C26" s="6" t="str">
        <f>数据库!B26&amp;"号楼"</f>
        <v>3号楼</v>
      </c>
      <c r="D26" s="15" t="str">
        <f>NUMBERSTRING(数据库!C26,3)&amp;"单元"</f>
        <v>二单元</v>
      </c>
      <c r="E26" s="6">
        <f>数据库!D26</f>
        <v>201</v>
      </c>
      <c r="F26" s="4"/>
      <c r="G26" s="6">
        <f t="shared" si="1"/>
        <v>201</v>
      </c>
      <c r="H26" s="4"/>
      <c r="I26" s="9"/>
      <c r="J26" s="4"/>
      <c r="K26" s="4"/>
      <c r="L26" s="10"/>
      <c r="M26" s="10" t="str">
        <f>IFERROR(IF(数据库!F26=0,"低压区",IF(数据库!F26=1,"中压区","高压区")),"Error")</f>
        <v>低压区</v>
      </c>
      <c r="N26" s="10"/>
      <c r="O26" s="4"/>
      <c r="P26" s="4"/>
      <c r="Q26" s="18" t="str">
        <f>数据库!E26</f>
        <v>40139913</v>
      </c>
      <c r="AA26" s="18">
        <f>数据库!I26</f>
        <v>0</v>
      </c>
    </row>
    <row r="27" spans="1:27" ht="15">
      <c r="A27" s="4" t="str">
        <f t="shared" si="0"/>
        <v>026</v>
      </c>
      <c r="B27" s="5" t="s">
        <v>33</v>
      </c>
      <c r="C27" s="6" t="str">
        <f>数据库!B27&amp;"号楼"</f>
        <v>3号楼</v>
      </c>
      <c r="D27" s="15" t="str">
        <f>NUMBERSTRING(数据库!C27,3)&amp;"单元"</f>
        <v>二单元</v>
      </c>
      <c r="E27" s="6">
        <f>数据库!D27</f>
        <v>204</v>
      </c>
      <c r="F27" s="4"/>
      <c r="G27" s="6">
        <f t="shared" si="1"/>
        <v>204</v>
      </c>
      <c r="H27" s="4"/>
      <c r="I27" s="9"/>
      <c r="J27" s="4"/>
      <c r="K27" s="4"/>
      <c r="L27" s="10"/>
      <c r="M27" s="10" t="str">
        <f>IFERROR(IF(数据库!F27=0,"低压区",IF(数据库!F27=1,"中压区","高压区")),"Error")</f>
        <v>低压区</v>
      </c>
      <c r="N27" s="10"/>
      <c r="O27" s="4"/>
      <c r="P27" s="4"/>
      <c r="Q27" s="18" t="str">
        <f>数据库!E27</f>
        <v>40159335</v>
      </c>
      <c r="AA27" s="18">
        <f>数据库!I27</f>
        <v>0</v>
      </c>
    </row>
    <row r="28" spans="1:27" ht="15">
      <c r="A28" s="4" t="str">
        <f t="shared" si="0"/>
        <v>027</v>
      </c>
      <c r="B28" s="5" t="s">
        <v>33</v>
      </c>
      <c r="C28" s="6" t="str">
        <f>数据库!B28&amp;"号楼"</f>
        <v>3号楼</v>
      </c>
      <c r="D28" s="15" t="str">
        <f>NUMBERSTRING(数据库!C28,3)&amp;"单元"</f>
        <v>二单元</v>
      </c>
      <c r="E28" s="6">
        <f>数据库!D28</f>
        <v>501</v>
      </c>
      <c r="F28" s="4"/>
      <c r="G28" s="6">
        <f t="shared" si="1"/>
        <v>501</v>
      </c>
      <c r="H28" s="4"/>
      <c r="I28" s="9"/>
      <c r="J28" s="4"/>
      <c r="K28" s="4"/>
      <c r="L28" s="10"/>
      <c r="M28" s="10" t="str">
        <f>IFERROR(IF(数据库!F28=0,"低压区",IF(数据库!F28=1,"中压区","高压区")),"Error")</f>
        <v>低压区</v>
      </c>
      <c r="N28" s="10"/>
      <c r="O28" s="4"/>
      <c r="P28" s="4"/>
      <c r="Q28" s="18" t="str">
        <f>数据库!E28</f>
        <v>40195758</v>
      </c>
      <c r="AA28" s="18">
        <f>数据库!I28</f>
        <v>0</v>
      </c>
    </row>
    <row r="29" spans="1:27" ht="15">
      <c r="A29" s="4" t="str">
        <f t="shared" si="0"/>
        <v>028</v>
      </c>
      <c r="B29" s="5" t="s">
        <v>33</v>
      </c>
      <c r="C29" s="6" t="str">
        <f>数据库!B29&amp;"号楼"</f>
        <v>3号楼</v>
      </c>
      <c r="D29" s="15" t="str">
        <f>NUMBERSTRING(数据库!C29,3)&amp;"单元"</f>
        <v>二单元</v>
      </c>
      <c r="E29" s="6">
        <f>数据库!D29</f>
        <v>504</v>
      </c>
      <c r="F29" s="4"/>
      <c r="G29" s="6">
        <f t="shared" si="1"/>
        <v>504</v>
      </c>
      <c r="H29" s="4"/>
      <c r="I29" s="9"/>
      <c r="J29" s="4"/>
      <c r="K29" s="4"/>
      <c r="L29" s="10"/>
      <c r="M29" s="10" t="str">
        <f>IFERROR(IF(数据库!F29=0,"低压区",IF(数据库!F29=1,"中压区","高压区")),"Error")</f>
        <v>低压区</v>
      </c>
      <c r="N29" s="10"/>
      <c r="O29" s="4"/>
      <c r="P29" s="4"/>
      <c r="Q29" s="18" t="str">
        <f>数据库!E29</f>
        <v>40190841</v>
      </c>
      <c r="AA29" s="18">
        <f>数据库!I29</f>
        <v>0</v>
      </c>
    </row>
    <row r="30" spans="1:27" ht="15">
      <c r="A30" s="4" t="str">
        <f t="shared" si="0"/>
        <v>029</v>
      </c>
      <c r="B30" s="5" t="s">
        <v>33</v>
      </c>
      <c r="C30" s="6" t="str">
        <f>数据库!B30&amp;"号楼"</f>
        <v>5号楼</v>
      </c>
      <c r="D30" s="15" t="str">
        <f>NUMBERSTRING(数据库!C30,3)&amp;"单元"</f>
        <v>一单元</v>
      </c>
      <c r="E30" s="6">
        <f>数据库!D30</f>
        <v>101</v>
      </c>
      <c r="F30" s="4"/>
      <c r="G30" s="6">
        <f t="shared" si="1"/>
        <v>101</v>
      </c>
      <c r="H30" s="4"/>
      <c r="I30" s="9"/>
      <c r="J30" s="4"/>
      <c r="K30" s="4"/>
      <c r="L30" s="10"/>
      <c r="M30" s="10" t="str">
        <f>IFERROR(IF(数据库!F30=0,"低压区",IF(数据库!F30=1,"中压区","高压区")),"Error")</f>
        <v>低压区</v>
      </c>
      <c r="N30" s="10"/>
      <c r="O30" s="4"/>
      <c r="P30" s="4"/>
      <c r="Q30" s="18" t="str">
        <f>数据库!E30</f>
        <v>40158863</v>
      </c>
      <c r="AA30" s="18">
        <f>数据库!I30</f>
        <v>0</v>
      </c>
    </row>
    <row r="31" spans="1:27" ht="15">
      <c r="A31" s="4" t="str">
        <f t="shared" si="0"/>
        <v>030</v>
      </c>
      <c r="B31" s="5" t="s">
        <v>33</v>
      </c>
      <c r="C31" s="6" t="str">
        <f>数据库!B31&amp;"号楼"</f>
        <v>5号楼</v>
      </c>
      <c r="D31" s="15" t="str">
        <f>NUMBERSTRING(数据库!C31,3)&amp;"单元"</f>
        <v>一单元</v>
      </c>
      <c r="E31" s="6">
        <f>数据库!D31</f>
        <v>104</v>
      </c>
      <c r="F31" s="4"/>
      <c r="G31" s="6">
        <f t="shared" si="1"/>
        <v>104</v>
      </c>
      <c r="H31" s="4"/>
      <c r="I31" s="9"/>
      <c r="J31" s="4"/>
      <c r="K31" s="4"/>
      <c r="L31" s="10"/>
      <c r="M31" s="10" t="str">
        <f>IFERROR(IF(数据库!F31=0,"低压区",IF(数据库!F31=1,"中压区","高压区")),"Error")</f>
        <v>低压区</v>
      </c>
      <c r="N31" s="10"/>
      <c r="O31" s="4"/>
      <c r="P31" s="4"/>
      <c r="Q31" s="18" t="str">
        <f>数据库!E31</f>
        <v>40152205</v>
      </c>
      <c r="AA31" s="18">
        <f>数据库!I31</f>
        <v>0</v>
      </c>
    </row>
    <row r="32" spans="1:27" ht="15">
      <c r="A32" s="4" t="str">
        <f t="shared" si="0"/>
        <v>031</v>
      </c>
      <c r="B32" s="5" t="s">
        <v>33</v>
      </c>
      <c r="C32" s="6" t="str">
        <f>数据库!B32&amp;"号楼"</f>
        <v>5号楼</v>
      </c>
      <c r="D32" s="15" t="str">
        <f>NUMBERSTRING(数据库!C32,3)&amp;"单元"</f>
        <v>一单元</v>
      </c>
      <c r="E32" s="6">
        <f>数据库!D32</f>
        <v>501</v>
      </c>
      <c r="F32" s="4"/>
      <c r="G32" s="6">
        <f t="shared" si="1"/>
        <v>501</v>
      </c>
      <c r="H32" s="4"/>
      <c r="I32" s="9"/>
      <c r="J32" s="4"/>
      <c r="K32" s="4"/>
      <c r="L32" s="10"/>
      <c r="M32" s="10" t="str">
        <f>IFERROR(IF(数据库!F32=0,"低压区",IF(数据库!F32=1,"中压区","高压区")),"Error")</f>
        <v>低压区</v>
      </c>
      <c r="N32" s="10"/>
      <c r="O32" s="4"/>
      <c r="P32" s="4"/>
      <c r="Q32" s="18" t="str">
        <f>数据库!E32</f>
        <v>40182160</v>
      </c>
      <c r="AA32" s="18">
        <f>数据库!I32</f>
        <v>0</v>
      </c>
    </row>
    <row r="33" spans="1:27" ht="15">
      <c r="A33" s="4" t="str">
        <f t="shared" si="0"/>
        <v>032</v>
      </c>
      <c r="B33" s="5" t="s">
        <v>33</v>
      </c>
      <c r="C33" s="6" t="str">
        <f>数据库!B33&amp;"号楼"</f>
        <v>5号楼</v>
      </c>
      <c r="D33" s="15" t="str">
        <f>NUMBERSTRING(数据库!C33,3)&amp;"单元"</f>
        <v>一单元</v>
      </c>
      <c r="E33" s="6">
        <f>数据库!D33</f>
        <v>504</v>
      </c>
      <c r="F33" s="4"/>
      <c r="G33" s="6">
        <f t="shared" si="1"/>
        <v>504</v>
      </c>
      <c r="H33" s="4"/>
      <c r="I33" s="9"/>
      <c r="J33" s="4"/>
      <c r="K33" s="4"/>
      <c r="L33" s="10"/>
      <c r="M33" s="10" t="str">
        <f>IFERROR(IF(数据库!F33=0,"低压区",IF(数据库!F33=1,"中压区","高压区")),"Error")</f>
        <v>低压区</v>
      </c>
      <c r="N33" s="10"/>
      <c r="O33" s="4"/>
      <c r="P33" s="4"/>
      <c r="Q33" s="18" t="str">
        <f>数据库!E33</f>
        <v>40199446</v>
      </c>
      <c r="AA33" s="18">
        <f>数据库!I33</f>
        <v>0</v>
      </c>
    </row>
    <row r="34" spans="1:27" ht="15">
      <c r="A34" s="4" t="str">
        <f t="shared" si="0"/>
        <v>033</v>
      </c>
      <c r="B34" s="5" t="s">
        <v>33</v>
      </c>
      <c r="C34" s="6" t="str">
        <f>数据库!B34&amp;"号楼"</f>
        <v>5号楼</v>
      </c>
      <c r="D34" s="15" t="str">
        <f>NUMBERSTRING(数据库!C34,3)&amp;"单元"</f>
        <v>二单元</v>
      </c>
      <c r="E34" s="6">
        <f>数据库!D34</f>
        <v>101</v>
      </c>
      <c r="F34" s="4"/>
      <c r="G34" s="6">
        <f t="shared" si="1"/>
        <v>101</v>
      </c>
      <c r="H34" s="4"/>
      <c r="I34" s="9"/>
      <c r="J34" s="4"/>
      <c r="K34" s="4"/>
      <c r="L34" s="10"/>
      <c r="M34" s="10" t="str">
        <f>IFERROR(IF(数据库!F34=0,"低压区",IF(数据库!F34=1,"中压区","高压区")),"Error")</f>
        <v>低压区</v>
      </c>
      <c r="N34" s="10"/>
      <c r="O34" s="4"/>
      <c r="P34" s="4"/>
      <c r="Q34" s="18" t="str">
        <f>数据库!E34</f>
        <v>40176188</v>
      </c>
      <c r="AA34" s="18">
        <f>数据库!I34</f>
        <v>0</v>
      </c>
    </row>
    <row r="35" spans="1:27" ht="15">
      <c r="A35" s="4" t="str">
        <f t="shared" si="0"/>
        <v>034</v>
      </c>
      <c r="B35" s="5" t="s">
        <v>33</v>
      </c>
      <c r="C35" s="6" t="str">
        <f>数据库!B35&amp;"号楼"</f>
        <v>5号楼</v>
      </c>
      <c r="D35" s="15" t="str">
        <f>NUMBERSTRING(数据库!C35,3)&amp;"单元"</f>
        <v>二单元</v>
      </c>
      <c r="E35" s="6">
        <f>数据库!D35</f>
        <v>104</v>
      </c>
      <c r="F35" s="4"/>
      <c r="G35" s="6">
        <f t="shared" si="1"/>
        <v>104</v>
      </c>
      <c r="H35" s="4"/>
      <c r="I35" s="9"/>
      <c r="J35" s="4"/>
      <c r="K35" s="4"/>
      <c r="L35" s="10"/>
      <c r="M35" s="10" t="str">
        <f>IFERROR(IF(数据库!F35=0,"低压区",IF(数据库!F35=1,"中压区","高压区")),"Error")</f>
        <v>低压区</v>
      </c>
      <c r="N35" s="10"/>
      <c r="O35" s="4"/>
      <c r="P35" s="4"/>
      <c r="Q35" s="18" t="str">
        <f>数据库!E35</f>
        <v>40181915</v>
      </c>
      <c r="AA35" s="18">
        <f>数据库!I35</f>
        <v>0</v>
      </c>
    </row>
    <row r="36" spans="1:27" ht="15">
      <c r="A36" s="4" t="str">
        <f t="shared" si="0"/>
        <v>035</v>
      </c>
      <c r="B36" s="5" t="s">
        <v>33</v>
      </c>
      <c r="C36" s="6" t="str">
        <f>数据库!B36&amp;"号楼"</f>
        <v>5号楼</v>
      </c>
      <c r="D36" s="15" t="str">
        <f>NUMBERSTRING(数据库!C36,3)&amp;"单元"</f>
        <v>二单元</v>
      </c>
      <c r="E36" s="6">
        <f>数据库!D36</f>
        <v>501</v>
      </c>
      <c r="F36" s="4"/>
      <c r="G36" s="6">
        <f t="shared" si="1"/>
        <v>501</v>
      </c>
      <c r="H36" s="4"/>
      <c r="I36" s="9"/>
      <c r="J36" s="4"/>
      <c r="K36" s="4"/>
      <c r="L36" s="10"/>
      <c r="M36" s="10" t="str">
        <f>IFERROR(IF(数据库!F36=0,"低压区",IF(数据库!F36=1,"中压区","高压区")),"Error")</f>
        <v>低压区</v>
      </c>
      <c r="N36" s="10"/>
      <c r="O36" s="4"/>
      <c r="P36" s="4"/>
      <c r="Q36" s="18" t="str">
        <f>数据库!E36</f>
        <v>40164267</v>
      </c>
      <c r="AA36" s="18">
        <f>数据库!I36</f>
        <v>0</v>
      </c>
    </row>
    <row r="37" spans="1:27" ht="15">
      <c r="A37" s="4" t="str">
        <f t="shared" si="0"/>
        <v>036</v>
      </c>
      <c r="B37" s="5" t="s">
        <v>33</v>
      </c>
      <c r="C37" s="6" t="str">
        <f>数据库!B37&amp;"号楼"</f>
        <v>5号楼</v>
      </c>
      <c r="D37" s="15" t="str">
        <f>NUMBERSTRING(数据库!C37,3)&amp;"单元"</f>
        <v>二单元</v>
      </c>
      <c r="E37" s="6">
        <f>数据库!D37</f>
        <v>504</v>
      </c>
      <c r="F37" s="4"/>
      <c r="G37" s="6">
        <f t="shared" si="1"/>
        <v>504</v>
      </c>
      <c r="H37" s="4"/>
      <c r="I37" s="9"/>
      <c r="J37" s="4"/>
      <c r="K37" s="4"/>
      <c r="L37" s="10"/>
      <c r="M37" s="10" t="str">
        <f>IFERROR(IF(数据库!F37=0,"低压区",IF(数据库!F37=1,"中压区","高压区")),"Error")</f>
        <v>低压区</v>
      </c>
      <c r="N37" s="10"/>
      <c r="O37" s="4"/>
      <c r="P37" s="4"/>
      <c r="Q37" s="18" t="str">
        <f>数据库!E37</f>
        <v>40206423</v>
      </c>
      <c r="AA37" s="18">
        <f>数据库!I37</f>
        <v>0</v>
      </c>
    </row>
    <row r="38" spans="1:27" ht="15">
      <c r="A38" s="4" t="str">
        <f t="shared" si="0"/>
        <v>037</v>
      </c>
      <c r="B38" s="5" t="s">
        <v>33</v>
      </c>
      <c r="C38" s="6" t="str">
        <f>数据库!B38&amp;"号楼"</f>
        <v>5号楼</v>
      </c>
      <c r="D38" s="15" t="str">
        <f>NUMBERSTRING(数据库!C38,3)&amp;"单元"</f>
        <v>三单元</v>
      </c>
      <c r="E38" s="6">
        <f>数据库!D38</f>
        <v>101</v>
      </c>
      <c r="F38" s="4"/>
      <c r="G38" s="6">
        <f t="shared" si="1"/>
        <v>101</v>
      </c>
      <c r="H38" s="4"/>
      <c r="I38" s="9"/>
      <c r="J38" s="4"/>
      <c r="K38" s="4"/>
      <c r="L38" s="10"/>
      <c r="M38" s="10" t="str">
        <f>IFERROR(IF(数据库!F38=0,"低压区",IF(数据库!F38=1,"中压区","高压区")),"Error")</f>
        <v>低压区</v>
      </c>
      <c r="N38" s="10"/>
      <c r="O38" s="4"/>
      <c r="P38" s="4"/>
      <c r="Q38" s="18" t="str">
        <f>数据库!E38</f>
        <v>40161784</v>
      </c>
      <c r="AA38" s="18">
        <f>数据库!I38</f>
        <v>0</v>
      </c>
    </row>
    <row r="39" spans="1:27" ht="15">
      <c r="A39" s="4" t="str">
        <f t="shared" si="0"/>
        <v>038</v>
      </c>
      <c r="B39" s="5" t="s">
        <v>33</v>
      </c>
      <c r="C39" s="6" t="str">
        <f>数据库!B39&amp;"号楼"</f>
        <v>5号楼</v>
      </c>
      <c r="D39" s="15" t="str">
        <f>NUMBERSTRING(数据库!C39,3)&amp;"单元"</f>
        <v>三单元</v>
      </c>
      <c r="E39" s="6">
        <f>数据库!D39</f>
        <v>104</v>
      </c>
      <c r="F39" s="4"/>
      <c r="G39" s="6">
        <f t="shared" si="1"/>
        <v>104</v>
      </c>
      <c r="H39" s="4"/>
      <c r="I39" s="9"/>
      <c r="J39" s="4"/>
      <c r="K39" s="4"/>
      <c r="L39" s="10"/>
      <c r="M39" s="10" t="str">
        <f>IFERROR(IF(数据库!F39=0,"低压区",IF(数据库!F39=1,"中压区","高压区")),"Error")</f>
        <v>低压区</v>
      </c>
      <c r="N39" s="10"/>
      <c r="O39" s="4"/>
      <c r="P39" s="4"/>
      <c r="Q39" s="18" t="str">
        <f>数据库!E39</f>
        <v>40122000</v>
      </c>
      <c r="AA39" s="18">
        <f>数据库!I39</f>
        <v>0</v>
      </c>
    </row>
    <row r="40" spans="1:27" ht="15">
      <c r="A40" s="4" t="str">
        <f t="shared" si="0"/>
        <v>039</v>
      </c>
      <c r="B40" s="5" t="s">
        <v>33</v>
      </c>
      <c r="C40" s="6" t="str">
        <f>数据库!B40&amp;"号楼"</f>
        <v>5号楼</v>
      </c>
      <c r="D40" s="15" t="str">
        <f>NUMBERSTRING(数据库!C40,3)&amp;"单元"</f>
        <v>三单元</v>
      </c>
      <c r="E40" s="6">
        <f>数据库!D40</f>
        <v>501</v>
      </c>
      <c r="F40" s="4"/>
      <c r="G40" s="6">
        <f t="shared" si="1"/>
        <v>501</v>
      </c>
      <c r="H40" s="4"/>
      <c r="I40" s="9"/>
      <c r="J40" s="4"/>
      <c r="K40" s="4"/>
      <c r="L40" s="10"/>
      <c r="M40" s="10" t="str">
        <f>IFERROR(IF(数据库!F40=0,"低压区",IF(数据库!F40=1,"中压区","高压区")),"Error")</f>
        <v>低压区</v>
      </c>
      <c r="N40" s="10"/>
      <c r="O40" s="4"/>
      <c r="P40" s="4"/>
      <c r="Q40" s="18" t="str">
        <f>数据库!E40</f>
        <v>40135670</v>
      </c>
      <c r="AA40" s="18">
        <f>数据库!I40</f>
        <v>0</v>
      </c>
    </row>
    <row r="41" spans="1:27" ht="15">
      <c r="A41" s="4" t="str">
        <f t="shared" si="0"/>
        <v>040</v>
      </c>
      <c r="B41" s="5" t="s">
        <v>33</v>
      </c>
      <c r="C41" s="6" t="str">
        <f>数据库!B41&amp;"号楼"</f>
        <v>5号楼</v>
      </c>
      <c r="D41" s="15" t="str">
        <f>NUMBERSTRING(数据库!C41,3)&amp;"单元"</f>
        <v>三单元</v>
      </c>
      <c r="E41" s="6">
        <f>数据库!D41</f>
        <v>504</v>
      </c>
      <c r="F41" s="4"/>
      <c r="G41" s="6">
        <f t="shared" si="1"/>
        <v>504</v>
      </c>
      <c r="H41" s="4"/>
      <c r="I41" s="9"/>
      <c r="J41" s="4"/>
      <c r="K41" s="4"/>
      <c r="L41" s="10"/>
      <c r="M41" s="10" t="str">
        <f>IFERROR(IF(数据库!F41=0,"低压区",IF(数据库!F41=1,"中压区","高压区")),"Error")</f>
        <v>低压区</v>
      </c>
      <c r="N41" s="10"/>
      <c r="O41" s="4"/>
      <c r="P41" s="4"/>
      <c r="Q41" s="18" t="str">
        <f>数据库!E41</f>
        <v>40187102</v>
      </c>
      <c r="AA41" s="18">
        <f>数据库!I41</f>
        <v>0</v>
      </c>
    </row>
    <row r="42" spans="1:27" ht="15">
      <c r="A42" s="4" t="str">
        <f t="shared" si="0"/>
        <v>041</v>
      </c>
      <c r="B42" s="5" t="s">
        <v>33</v>
      </c>
      <c r="C42" s="6" t="str">
        <f>数据库!B42&amp;"号楼"</f>
        <v>6号楼</v>
      </c>
      <c r="D42" s="15" t="str">
        <f>NUMBERSTRING(数据库!C42,3)&amp;"单元"</f>
        <v>一单元</v>
      </c>
      <c r="E42" s="6">
        <f>数据库!D42</f>
        <v>101</v>
      </c>
      <c r="F42" s="4"/>
      <c r="G42" s="6">
        <f t="shared" si="1"/>
        <v>101</v>
      </c>
      <c r="H42" s="4"/>
      <c r="I42" s="9"/>
      <c r="J42" s="4"/>
      <c r="K42" s="4"/>
      <c r="L42" s="10"/>
      <c r="M42" s="10" t="str">
        <f>IFERROR(IF(数据库!F42=0,"低压区",IF(数据库!F42=1,"中压区","高压区")),"Error")</f>
        <v>低压区</v>
      </c>
      <c r="N42" s="10"/>
      <c r="O42" s="4"/>
      <c r="P42" s="4"/>
      <c r="Q42" s="18" t="str">
        <f>数据库!E42</f>
        <v>40158368</v>
      </c>
      <c r="AA42" s="18">
        <f>数据库!I42</f>
        <v>0</v>
      </c>
    </row>
    <row r="43" spans="1:27" ht="15">
      <c r="A43" s="4" t="str">
        <f t="shared" si="0"/>
        <v>042</v>
      </c>
      <c r="B43" s="5" t="s">
        <v>33</v>
      </c>
      <c r="C43" s="6" t="str">
        <f>数据库!B43&amp;"号楼"</f>
        <v>6号楼</v>
      </c>
      <c r="D43" s="15" t="str">
        <f>NUMBERSTRING(数据库!C43,3)&amp;"单元"</f>
        <v>一单元</v>
      </c>
      <c r="E43" s="6">
        <f>数据库!D43</f>
        <v>104</v>
      </c>
      <c r="F43" s="4"/>
      <c r="G43" s="6">
        <f t="shared" si="1"/>
        <v>104</v>
      </c>
      <c r="H43" s="4"/>
      <c r="I43" s="9"/>
      <c r="J43" s="4"/>
      <c r="K43" s="4"/>
      <c r="L43" s="10"/>
      <c r="M43" s="10" t="str">
        <f>IFERROR(IF(数据库!F43=0,"低压区",IF(数据库!F43=1,"中压区","高压区")),"Error")</f>
        <v>低压区</v>
      </c>
      <c r="N43" s="10"/>
      <c r="O43" s="4"/>
      <c r="P43" s="4"/>
      <c r="Q43" s="18" t="str">
        <f>数据库!E43</f>
        <v>40176782</v>
      </c>
      <c r="AA43" s="18">
        <f>数据库!I43</f>
        <v>0</v>
      </c>
    </row>
    <row r="44" spans="1:27" ht="15">
      <c r="A44" s="4" t="str">
        <f t="shared" si="0"/>
        <v>043</v>
      </c>
      <c r="B44" s="5" t="s">
        <v>33</v>
      </c>
      <c r="C44" s="6" t="str">
        <f>数据库!B44&amp;"号楼"</f>
        <v>6号楼</v>
      </c>
      <c r="D44" s="15" t="str">
        <f>NUMBERSTRING(数据库!C44,3)&amp;"单元"</f>
        <v>一单元</v>
      </c>
      <c r="E44" s="6">
        <f>数据库!D44</f>
        <v>501</v>
      </c>
      <c r="F44" s="4"/>
      <c r="G44" s="6">
        <f t="shared" si="1"/>
        <v>501</v>
      </c>
      <c r="H44" s="4"/>
      <c r="I44" s="9"/>
      <c r="J44" s="4"/>
      <c r="K44" s="4"/>
      <c r="L44" s="10"/>
      <c r="M44" s="10" t="str">
        <f>IFERROR(IF(数据库!F44=0,"低压区",IF(数据库!F44=1,"中压区","高压区")),"Error")</f>
        <v>低压区</v>
      </c>
      <c r="N44" s="10"/>
      <c r="O44" s="4"/>
      <c r="P44" s="4"/>
      <c r="Q44" s="18" t="str">
        <f>数据库!E44</f>
        <v>40167666</v>
      </c>
      <c r="AA44" s="18">
        <f>数据库!I44</f>
        <v>0</v>
      </c>
    </row>
    <row r="45" spans="1:27" ht="15">
      <c r="A45" s="4" t="str">
        <f t="shared" si="0"/>
        <v>044</v>
      </c>
      <c r="B45" s="5" t="s">
        <v>33</v>
      </c>
      <c r="C45" s="6" t="str">
        <f>数据库!B45&amp;"号楼"</f>
        <v>6号楼</v>
      </c>
      <c r="D45" s="15" t="str">
        <f>NUMBERSTRING(数据库!C45,3)&amp;"单元"</f>
        <v>一单元</v>
      </c>
      <c r="E45" s="6">
        <f>数据库!D45</f>
        <v>504</v>
      </c>
      <c r="F45" s="4"/>
      <c r="G45" s="6">
        <f t="shared" si="1"/>
        <v>504</v>
      </c>
      <c r="H45" s="4"/>
      <c r="I45" s="9"/>
      <c r="J45" s="4"/>
      <c r="K45" s="4"/>
      <c r="L45" s="10"/>
      <c r="M45" s="10" t="str">
        <f>IFERROR(IF(数据库!F45=0,"低压区",IF(数据库!F45=1,"中压区","高压区")),"Error")</f>
        <v>低压区</v>
      </c>
      <c r="N45" s="10"/>
      <c r="O45" s="4"/>
      <c r="P45" s="4"/>
      <c r="Q45" s="18" t="str">
        <f>数据库!E45</f>
        <v>40192904</v>
      </c>
      <c r="AA45" s="18">
        <f>数据库!I45</f>
        <v>0</v>
      </c>
    </row>
    <row r="46" spans="1:27" ht="15">
      <c r="A46" s="4" t="str">
        <f t="shared" si="0"/>
        <v>045</v>
      </c>
      <c r="B46" s="5" t="s">
        <v>33</v>
      </c>
      <c r="C46" s="6" t="str">
        <f>数据库!B46&amp;"号楼"</f>
        <v>6号楼</v>
      </c>
      <c r="D46" s="15" t="str">
        <f>NUMBERSTRING(数据库!C46,3)&amp;"单元"</f>
        <v>二单元</v>
      </c>
      <c r="E46" s="6">
        <f>数据库!D46</f>
        <v>101</v>
      </c>
      <c r="F46" s="4"/>
      <c r="G46" s="6">
        <f t="shared" si="1"/>
        <v>101</v>
      </c>
      <c r="H46" s="4"/>
      <c r="I46" s="9"/>
      <c r="J46" s="4"/>
      <c r="K46" s="4"/>
      <c r="L46" s="10"/>
      <c r="M46" s="10" t="str">
        <f>IFERROR(IF(数据库!F46=0,"低压区",IF(数据库!F46=1,"中压区","高压区")),"Error")</f>
        <v>低压区</v>
      </c>
      <c r="N46" s="10"/>
      <c r="O46" s="4"/>
      <c r="P46" s="4"/>
      <c r="Q46" s="18" t="str">
        <f>数据库!E46</f>
        <v>40178747</v>
      </c>
      <c r="AA46" s="18">
        <f>数据库!I46</f>
        <v>0</v>
      </c>
    </row>
    <row r="47" spans="1:27" ht="15">
      <c r="A47" s="4" t="str">
        <f t="shared" si="0"/>
        <v>046</v>
      </c>
      <c r="B47" s="5" t="s">
        <v>33</v>
      </c>
      <c r="C47" s="6" t="str">
        <f>数据库!B47&amp;"号楼"</f>
        <v>6号楼</v>
      </c>
      <c r="D47" s="15" t="str">
        <f>NUMBERSTRING(数据库!C47,3)&amp;"单元"</f>
        <v>二单元</v>
      </c>
      <c r="E47" s="6">
        <f>数据库!D47</f>
        <v>104</v>
      </c>
      <c r="F47" s="4"/>
      <c r="G47" s="6">
        <f t="shared" si="1"/>
        <v>104</v>
      </c>
      <c r="H47" s="4"/>
      <c r="I47" s="9"/>
      <c r="J47" s="4"/>
      <c r="K47" s="4"/>
      <c r="L47" s="10"/>
      <c r="M47" s="10" t="str">
        <f>IFERROR(IF(数据库!F47=0,"低压区",IF(数据库!F47=1,"中压区","高压区")),"Error")</f>
        <v>低压区</v>
      </c>
      <c r="N47" s="10"/>
      <c r="O47" s="4"/>
      <c r="P47" s="4"/>
      <c r="Q47" s="18" t="str">
        <f>数据库!E47</f>
        <v>40168201</v>
      </c>
      <c r="AA47" s="18">
        <f>数据库!I47</f>
        <v>0</v>
      </c>
    </row>
    <row r="48" spans="1:27" ht="15">
      <c r="A48" s="4" t="str">
        <f t="shared" si="0"/>
        <v>047</v>
      </c>
      <c r="B48" s="5" t="s">
        <v>33</v>
      </c>
      <c r="C48" s="6" t="str">
        <f>数据库!B48&amp;"号楼"</f>
        <v>6号楼</v>
      </c>
      <c r="D48" s="15" t="str">
        <f>NUMBERSTRING(数据库!C48,3)&amp;"单元"</f>
        <v>二单元</v>
      </c>
      <c r="E48" s="6">
        <f>数据库!D48</f>
        <v>501</v>
      </c>
      <c r="F48" s="4"/>
      <c r="G48" s="6">
        <f t="shared" si="1"/>
        <v>501</v>
      </c>
      <c r="H48" s="4"/>
      <c r="I48" s="9"/>
      <c r="J48" s="4"/>
      <c r="K48" s="4"/>
      <c r="L48" s="10"/>
      <c r="M48" s="10" t="str">
        <f>IFERROR(IF(数据库!F48=0,"低压区",IF(数据库!F48=1,"中压区","高压区")),"Error")</f>
        <v>低压区</v>
      </c>
      <c r="N48" s="10"/>
      <c r="O48" s="4"/>
      <c r="P48" s="4"/>
      <c r="Q48" s="18" t="str">
        <f>数据库!E48</f>
        <v>40121713</v>
      </c>
      <c r="AA48" s="18">
        <f>数据库!I48</f>
        <v>0</v>
      </c>
    </row>
    <row r="49" spans="1:27" ht="15">
      <c r="A49" s="4" t="str">
        <f t="shared" si="0"/>
        <v>048</v>
      </c>
      <c r="B49" s="5" t="s">
        <v>33</v>
      </c>
      <c r="C49" s="6" t="str">
        <f>数据库!B49&amp;"号楼"</f>
        <v>6号楼</v>
      </c>
      <c r="D49" s="15" t="str">
        <f>NUMBERSTRING(数据库!C49,3)&amp;"单元"</f>
        <v>二单元</v>
      </c>
      <c r="E49" s="6">
        <f>数据库!D49</f>
        <v>504</v>
      </c>
      <c r="F49" s="4"/>
      <c r="G49" s="6">
        <f t="shared" si="1"/>
        <v>504</v>
      </c>
      <c r="H49" s="4"/>
      <c r="I49" s="9"/>
      <c r="J49" s="4"/>
      <c r="K49" s="4"/>
      <c r="L49" s="10"/>
      <c r="M49" s="10" t="str">
        <f>IFERROR(IF(数据库!F49=0,"低压区",IF(数据库!F49=1,"中压区","高压区")),"Error")</f>
        <v>低压区</v>
      </c>
      <c r="N49" s="10"/>
      <c r="O49" s="4"/>
      <c r="P49" s="4"/>
      <c r="Q49" s="18" t="str">
        <f>数据库!E49</f>
        <v>40111086</v>
      </c>
      <c r="AA49" s="18">
        <f>数据库!I49</f>
        <v>0</v>
      </c>
    </row>
    <row r="50" spans="1:27" ht="15">
      <c r="A50" s="4" t="str">
        <f t="shared" si="0"/>
        <v>049</v>
      </c>
      <c r="B50" s="5" t="s">
        <v>33</v>
      </c>
      <c r="C50" s="6" t="str">
        <f>数据库!B50&amp;"号楼"</f>
        <v>7号楼</v>
      </c>
      <c r="D50" s="15" t="str">
        <f>NUMBERSTRING(数据库!C50,3)&amp;"单元"</f>
        <v>一单元</v>
      </c>
      <c r="E50" s="6">
        <f>数据库!D50</f>
        <v>101</v>
      </c>
      <c r="F50" s="4"/>
      <c r="G50" s="6">
        <f t="shared" si="1"/>
        <v>101</v>
      </c>
      <c r="H50" s="4"/>
      <c r="I50" s="9"/>
      <c r="J50" s="4"/>
      <c r="K50" s="4"/>
      <c r="L50" s="10"/>
      <c r="M50" s="10" t="str">
        <f>IFERROR(IF(数据库!F50=0,"低压区",IF(数据库!F50=1,"中压区","高压区")),"Error")</f>
        <v>低压区</v>
      </c>
      <c r="N50" s="10"/>
      <c r="O50" s="4"/>
      <c r="P50" s="4"/>
      <c r="Q50" s="18" t="str">
        <f>数据库!E50</f>
        <v>40205748</v>
      </c>
      <c r="AA50" s="18">
        <f>数据库!I50</f>
        <v>0</v>
      </c>
    </row>
    <row r="51" spans="1:27" ht="15">
      <c r="A51" s="4" t="str">
        <f t="shared" si="0"/>
        <v>050</v>
      </c>
      <c r="B51" s="5" t="s">
        <v>33</v>
      </c>
      <c r="C51" s="6" t="str">
        <f>数据库!B51&amp;"号楼"</f>
        <v>7号楼</v>
      </c>
      <c r="D51" s="15" t="str">
        <f>NUMBERSTRING(数据库!C51,3)&amp;"单元"</f>
        <v>一单元</v>
      </c>
      <c r="E51" s="6">
        <f>数据库!D51</f>
        <v>104</v>
      </c>
      <c r="F51" s="4"/>
      <c r="G51" s="6">
        <f t="shared" si="1"/>
        <v>104</v>
      </c>
      <c r="H51" s="4"/>
      <c r="I51" s="9"/>
      <c r="J51" s="4"/>
      <c r="K51" s="4"/>
      <c r="L51" s="10"/>
      <c r="M51" s="10" t="str">
        <f>IFERROR(IF(数据库!F51=0,"低压区",IF(数据库!F51=1,"中压区","高压区")),"Error")</f>
        <v>低压区</v>
      </c>
      <c r="N51" s="10"/>
      <c r="O51" s="4"/>
      <c r="P51" s="4"/>
      <c r="Q51" s="18" t="str">
        <f>数据库!E51</f>
        <v>40128536</v>
      </c>
      <c r="AA51" s="18">
        <f>数据库!I51</f>
        <v>0</v>
      </c>
    </row>
    <row r="52" spans="1:27" ht="15">
      <c r="A52" s="4" t="str">
        <f t="shared" si="0"/>
        <v>051</v>
      </c>
      <c r="B52" s="5" t="s">
        <v>33</v>
      </c>
      <c r="C52" s="6" t="str">
        <f>数据库!B52&amp;"号楼"</f>
        <v>7号楼</v>
      </c>
      <c r="D52" s="15" t="str">
        <f>NUMBERSTRING(数据库!C52,3)&amp;"单元"</f>
        <v>一单元</v>
      </c>
      <c r="E52" s="6">
        <f>数据库!D52</f>
        <v>601</v>
      </c>
      <c r="F52" s="4"/>
      <c r="G52" s="6">
        <f t="shared" si="1"/>
        <v>601</v>
      </c>
      <c r="H52" s="4"/>
      <c r="I52" s="9"/>
      <c r="J52" s="4"/>
      <c r="K52" s="4"/>
      <c r="L52" s="10"/>
      <c r="M52" s="10" t="str">
        <f>IFERROR(IF(数据库!F52=0,"低压区",IF(数据库!F52=1,"中压区","高压区")),"Error")</f>
        <v>低压区</v>
      </c>
      <c r="N52" s="10"/>
      <c r="O52" s="4"/>
      <c r="P52" s="4"/>
      <c r="Q52" s="18" t="str">
        <f>数据库!E52</f>
        <v>40133290</v>
      </c>
      <c r="AA52" s="18">
        <f>数据库!I52</f>
        <v>0</v>
      </c>
    </row>
    <row r="53" spans="1:27" ht="15">
      <c r="A53" s="4" t="str">
        <f t="shared" si="0"/>
        <v>052</v>
      </c>
      <c r="B53" s="5" t="s">
        <v>33</v>
      </c>
      <c r="C53" s="6" t="str">
        <f>数据库!B53&amp;"号楼"</f>
        <v>7号楼</v>
      </c>
      <c r="D53" s="15" t="str">
        <f>NUMBERSTRING(数据库!C53,3)&amp;"单元"</f>
        <v>一单元</v>
      </c>
      <c r="E53" s="6">
        <f>数据库!D53</f>
        <v>604</v>
      </c>
      <c r="F53" s="4"/>
      <c r="G53" s="6">
        <f t="shared" si="1"/>
        <v>604</v>
      </c>
      <c r="H53" s="4"/>
      <c r="I53" s="9"/>
      <c r="J53" s="4"/>
      <c r="K53" s="4"/>
      <c r="L53" s="10"/>
      <c r="M53" s="10" t="str">
        <f>IFERROR(IF(数据库!F53=0,"低压区",IF(数据库!F53=1,"中压区","高压区")),"Error")</f>
        <v>低压区</v>
      </c>
      <c r="N53" s="10"/>
      <c r="O53" s="4"/>
      <c r="P53" s="4"/>
      <c r="Q53" s="18" t="str">
        <f>数据库!E53</f>
        <v>40153666</v>
      </c>
      <c r="AA53" s="18">
        <f>数据库!I53</f>
        <v>0</v>
      </c>
    </row>
    <row r="54" spans="1:27" ht="15">
      <c r="A54" s="4" t="str">
        <f t="shared" si="0"/>
        <v>053</v>
      </c>
      <c r="B54" s="5" t="s">
        <v>33</v>
      </c>
      <c r="C54" s="6" t="str">
        <f>数据库!B54&amp;"号楼"</f>
        <v>7号楼</v>
      </c>
      <c r="D54" s="15" t="str">
        <f>NUMBERSTRING(数据库!C54,3)&amp;"单元"</f>
        <v>二单元</v>
      </c>
      <c r="E54" s="6">
        <f>数据库!D54</f>
        <v>101</v>
      </c>
      <c r="F54" s="4"/>
      <c r="G54" s="6">
        <f t="shared" si="1"/>
        <v>101</v>
      </c>
      <c r="H54" s="4"/>
      <c r="I54" s="9"/>
      <c r="J54" s="4"/>
      <c r="K54" s="4"/>
      <c r="L54" s="10"/>
      <c r="M54" s="10" t="str">
        <f>IFERROR(IF(数据库!F54=0,"低压区",IF(数据库!F54=1,"中压区","高压区")),"Error")</f>
        <v>低压区</v>
      </c>
      <c r="N54" s="10"/>
      <c r="O54" s="4"/>
      <c r="P54" s="4"/>
      <c r="Q54" s="18" t="str">
        <f>数据库!E54</f>
        <v>40192284</v>
      </c>
      <c r="AA54" s="18">
        <f>数据库!I54</f>
        <v>0</v>
      </c>
    </row>
    <row r="55" spans="1:27" ht="15">
      <c r="A55" s="4" t="str">
        <f t="shared" si="0"/>
        <v>054</v>
      </c>
      <c r="B55" s="5" t="s">
        <v>33</v>
      </c>
      <c r="C55" s="6" t="str">
        <f>数据库!B55&amp;"号楼"</f>
        <v>7号楼</v>
      </c>
      <c r="D55" s="15" t="str">
        <f>NUMBERSTRING(数据库!C55,3)&amp;"单元"</f>
        <v>二单元</v>
      </c>
      <c r="E55" s="6">
        <f>数据库!D55</f>
        <v>104</v>
      </c>
      <c r="F55" s="4"/>
      <c r="G55" s="6">
        <f t="shared" si="1"/>
        <v>104</v>
      </c>
      <c r="H55" s="4"/>
      <c r="I55" s="9"/>
      <c r="J55" s="4"/>
      <c r="K55" s="4"/>
      <c r="L55" s="10"/>
      <c r="M55" s="10" t="str">
        <f>IFERROR(IF(数据库!F55=0,"低压区",IF(数据库!F55=1,"中压区","高压区")),"Error")</f>
        <v>低压区</v>
      </c>
      <c r="N55" s="10"/>
      <c r="O55" s="4"/>
      <c r="P55" s="4"/>
      <c r="Q55" s="18" t="str">
        <f>数据库!E55</f>
        <v>40132843</v>
      </c>
      <c r="AA55" s="18">
        <f>数据库!I55</f>
        <v>0</v>
      </c>
    </row>
    <row r="56" spans="1:27" ht="15">
      <c r="A56" s="4" t="str">
        <f t="shared" si="0"/>
        <v>055</v>
      </c>
      <c r="B56" s="5" t="s">
        <v>33</v>
      </c>
      <c r="C56" s="6" t="str">
        <f>数据库!B56&amp;"号楼"</f>
        <v>7号楼</v>
      </c>
      <c r="D56" s="15" t="str">
        <f>NUMBERSTRING(数据库!C56,3)&amp;"单元"</f>
        <v>二单元</v>
      </c>
      <c r="E56" s="6">
        <f>数据库!D56</f>
        <v>601</v>
      </c>
      <c r="F56" s="4"/>
      <c r="G56" s="6">
        <f t="shared" si="1"/>
        <v>601</v>
      </c>
      <c r="H56" s="4"/>
      <c r="I56" s="9"/>
      <c r="J56" s="4"/>
      <c r="K56" s="4"/>
      <c r="L56" s="10"/>
      <c r="M56" s="10" t="str">
        <f>IFERROR(IF(数据库!F56=0,"低压区",IF(数据库!F56=1,"中压区","高压区")),"Error")</f>
        <v>低压区</v>
      </c>
      <c r="N56" s="10"/>
      <c r="O56" s="4"/>
      <c r="P56" s="4"/>
      <c r="Q56" s="18" t="str">
        <f>数据库!E56</f>
        <v>40121853</v>
      </c>
      <c r="AA56" s="18">
        <f>数据库!I56</f>
        <v>0</v>
      </c>
    </row>
    <row r="57" spans="1:27" ht="15">
      <c r="A57" s="4" t="str">
        <f t="shared" si="0"/>
        <v>056</v>
      </c>
      <c r="B57" s="5" t="s">
        <v>33</v>
      </c>
      <c r="C57" s="6" t="str">
        <f>数据库!B57&amp;"号楼"</f>
        <v>7号楼</v>
      </c>
      <c r="D57" s="15" t="str">
        <f>NUMBERSTRING(数据库!C57,3)&amp;"单元"</f>
        <v>二单元</v>
      </c>
      <c r="E57" s="6">
        <f>数据库!D57</f>
        <v>604</v>
      </c>
      <c r="F57" s="4"/>
      <c r="G57" s="6">
        <f t="shared" si="1"/>
        <v>604</v>
      </c>
      <c r="H57" s="4"/>
      <c r="I57" s="9"/>
      <c r="J57" s="4"/>
      <c r="K57" s="4"/>
      <c r="L57" s="10"/>
      <c r="M57" s="10" t="str">
        <f>IFERROR(IF(数据库!F57=0,"低压区",IF(数据库!F57=1,"中压区","高压区")),"Error")</f>
        <v>低压区</v>
      </c>
      <c r="N57" s="10"/>
      <c r="O57" s="4"/>
      <c r="P57" s="4"/>
      <c r="Q57" s="18" t="str">
        <f>数据库!E57</f>
        <v>40185585</v>
      </c>
      <c r="AA57" s="18">
        <f>数据库!I57</f>
        <v>0</v>
      </c>
    </row>
    <row r="58" spans="1:27" ht="15">
      <c r="A58" s="4" t="str">
        <f t="shared" si="0"/>
        <v>057</v>
      </c>
      <c r="B58" s="5" t="s">
        <v>33</v>
      </c>
      <c r="C58" s="6" t="str">
        <f>数据库!B58&amp;"号楼"</f>
        <v>9号楼</v>
      </c>
      <c r="D58" s="15" t="str">
        <f>NUMBERSTRING(数据库!C58,3)&amp;"单元"</f>
        <v>一单元</v>
      </c>
      <c r="E58" s="6">
        <f>数据库!D58</f>
        <v>101</v>
      </c>
      <c r="F58" s="4"/>
      <c r="G58" s="6">
        <f t="shared" si="1"/>
        <v>101</v>
      </c>
      <c r="H58" s="4"/>
      <c r="I58" s="9"/>
      <c r="J58" s="4"/>
      <c r="K58" s="4"/>
      <c r="L58" s="10"/>
      <c r="M58" s="10" t="str">
        <f>IFERROR(IF(数据库!F58=0,"低压区",IF(数据库!F58=1,"中压区","高压区")),"Error")</f>
        <v>低压区</v>
      </c>
      <c r="N58" s="10"/>
      <c r="O58" s="4"/>
      <c r="P58" s="4"/>
      <c r="Q58" s="18" t="str">
        <f>数据库!E58</f>
        <v>40178684</v>
      </c>
      <c r="AA58" s="18">
        <f>数据库!I58</f>
        <v>0</v>
      </c>
    </row>
    <row r="59" spans="1:27" ht="15">
      <c r="A59" s="4" t="str">
        <f t="shared" si="0"/>
        <v>058</v>
      </c>
      <c r="B59" s="5" t="s">
        <v>33</v>
      </c>
      <c r="C59" s="6" t="str">
        <f>数据库!B59&amp;"号楼"</f>
        <v>9号楼</v>
      </c>
      <c r="D59" s="15" t="str">
        <f>NUMBERSTRING(数据库!C59,3)&amp;"单元"</f>
        <v>一单元</v>
      </c>
      <c r="E59" s="6">
        <f>数据库!D59</f>
        <v>104</v>
      </c>
      <c r="F59" s="4"/>
      <c r="G59" s="6">
        <f t="shared" si="1"/>
        <v>104</v>
      </c>
      <c r="H59" s="4"/>
      <c r="I59" s="9"/>
      <c r="J59" s="4"/>
      <c r="K59" s="4"/>
      <c r="L59" s="10"/>
      <c r="M59" s="10" t="str">
        <f>IFERROR(IF(数据库!F59=0,"低压区",IF(数据库!F59=1,"中压区","高压区")),"Error")</f>
        <v>低压区</v>
      </c>
      <c r="N59" s="10"/>
      <c r="O59" s="4"/>
      <c r="P59" s="4"/>
      <c r="Q59" s="18" t="str">
        <f>数据库!E59</f>
        <v>40192516</v>
      </c>
      <c r="AA59" s="18">
        <f>数据库!I59</f>
        <v>0</v>
      </c>
    </row>
    <row r="60" spans="1:27" ht="15">
      <c r="A60" s="4" t="str">
        <f t="shared" si="0"/>
        <v>059</v>
      </c>
      <c r="B60" s="5" t="s">
        <v>33</v>
      </c>
      <c r="C60" s="6" t="str">
        <f>数据库!B60&amp;"号楼"</f>
        <v>9号楼</v>
      </c>
      <c r="D60" s="15" t="str">
        <f>NUMBERSTRING(数据库!C60,3)&amp;"单元"</f>
        <v>一单元</v>
      </c>
      <c r="E60" s="6">
        <f>数据库!D60</f>
        <v>501</v>
      </c>
      <c r="F60" s="4"/>
      <c r="G60" s="6">
        <f t="shared" si="1"/>
        <v>501</v>
      </c>
      <c r="H60" s="4"/>
      <c r="I60" s="9"/>
      <c r="J60" s="4"/>
      <c r="K60" s="4"/>
      <c r="L60" s="10"/>
      <c r="M60" s="10" t="str">
        <f>IFERROR(IF(数据库!F60=0,"低压区",IF(数据库!F60=1,"中压区","高压区")),"Error")</f>
        <v>低压区</v>
      </c>
      <c r="N60" s="10"/>
      <c r="O60" s="4"/>
      <c r="P60" s="4"/>
      <c r="Q60" s="18" t="str">
        <f>数据库!E60</f>
        <v>40118826</v>
      </c>
      <c r="AA60" s="18">
        <f>数据库!I60</f>
        <v>0</v>
      </c>
    </row>
    <row r="61" spans="1:27" ht="15">
      <c r="A61" s="4" t="str">
        <f t="shared" si="0"/>
        <v>060</v>
      </c>
      <c r="B61" s="5" t="s">
        <v>33</v>
      </c>
      <c r="C61" s="6" t="str">
        <f>数据库!B61&amp;"号楼"</f>
        <v>9号楼</v>
      </c>
      <c r="D61" s="15" t="str">
        <f>NUMBERSTRING(数据库!C61,3)&amp;"单元"</f>
        <v>一单元</v>
      </c>
      <c r="E61" s="6">
        <f>数据库!D61</f>
        <v>504</v>
      </c>
      <c r="F61" s="4"/>
      <c r="G61" s="6">
        <f t="shared" si="1"/>
        <v>504</v>
      </c>
      <c r="H61" s="4"/>
      <c r="I61" s="9"/>
      <c r="J61" s="4"/>
      <c r="K61" s="4"/>
      <c r="L61" s="10"/>
      <c r="M61" s="10" t="str">
        <f>IFERROR(IF(数据库!F61=0,"低压区",IF(数据库!F61=1,"中压区","高压区")),"Error")</f>
        <v>低压区</v>
      </c>
      <c r="N61" s="10"/>
      <c r="O61" s="4"/>
      <c r="P61" s="4"/>
      <c r="Q61" s="18" t="str">
        <f>数据库!E61</f>
        <v>40137396</v>
      </c>
      <c r="AA61" s="18">
        <f>数据库!I61</f>
        <v>0</v>
      </c>
    </row>
    <row r="62" spans="1:27" ht="15">
      <c r="A62" s="4" t="str">
        <f t="shared" si="0"/>
        <v>061</v>
      </c>
      <c r="B62" s="5" t="s">
        <v>33</v>
      </c>
      <c r="C62" s="6" t="str">
        <f>数据库!B62&amp;"号楼"</f>
        <v>9号楼</v>
      </c>
      <c r="D62" s="15" t="str">
        <f>NUMBERSTRING(数据库!C62,3)&amp;"单元"</f>
        <v>二单元</v>
      </c>
      <c r="E62" s="6">
        <f>数据库!D62</f>
        <v>101</v>
      </c>
      <c r="F62" s="4"/>
      <c r="G62" s="6">
        <f t="shared" si="1"/>
        <v>101</v>
      </c>
      <c r="H62" s="4"/>
      <c r="I62" s="9"/>
      <c r="J62" s="4"/>
      <c r="K62" s="4"/>
      <c r="L62" s="10"/>
      <c r="M62" s="10" t="str">
        <f>IFERROR(IF(数据库!F62=0,"低压区",IF(数据库!F62=1,"中压区","高压区")),"Error")</f>
        <v>低压区</v>
      </c>
      <c r="N62" s="10"/>
      <c r="O62" s="4"/>
      <c r="P62" s="4"/>
      <c r="Q62" s="18" t="str">
        <f>数据库!E62</f>
        <v>40190767</v>
      </c>
      <c r="AA62" s="18">
        <f>数据库!I62</f>
        <v>0</v>
      </c>
    </row>
    <row r="63" spans="1:27" ht="15">
      <c r="A63" s="4" t="str">
        <f t="shared" si="0"/>
        <v>062</v>
      </c>
      <c r="B63" s="5" t="s">
        <v>33</v>
      </c>
      <c r="C63" s="6" t="str">
        <f>数据库!B63&amp;"号楼"</f>
        <v>9号楼</v>
      </c>
      <c r="D63" s="15" t="str">
        <f>NUMBERSTRING(数据库!C63,3)&amp;"单元"</f>
        <v>二单元</v>
      </c>
      <c r="E63" s="6">
        <f>数据库!D63</f>
        <v>104</v>
      </c>
      <c r="F63" s="4"/>
      <c r="G63" s="6">
        <f t="shared" si="1"/>
        <v>104</v>
      </c>
      <c r="H63" s="4"/>
      <c r="I63" s="9"/>
      <c r="J63" s="4"/>
      <c r="K63" s="4"/>
      <c r="L63" s="10"/>
      <c r="M63" s="10" t="str">
        <f>IFERROR(IF(数据库!F63=0,"低压区",IF(数据库!F63=1,"中压区","高压区")),"Error")</f>
        <v>低压区</v>
      </c>
      <c r="N63" s="10"/>
      <c r="O63" s="4"/>
      <c r="P63" s="4"/>
      <c r="Q63" s="18" t="str">
        <f>数据库!E63</f>
        <v>40159754</v>
      </c>
      <c r="AA63" s="18">
        <f>数据库!I63</f>
        <v>0</v>
      </c>
    </row>
    <row r="64" spans="1:27" ht="15">
      <c r="A64" s="4" t="str">
        <f t="shared" si="0"/>
        <v>063</v>
      </c>
      <c r="B64" s="5" t="s">
        <v>33</v>
      </c>
      <c r="C64" s="6" t="str">
        <f>数据库!B64&amp;"号楼"</f>
        <v>9号楼</v>
      </c>
      <c r="D64" s="15" t="str">
        <f>NUMBERSTRING(数据库!C64,3)&amp;"单元"</f>
        <v>二单元</v>
      </c>
      <c r="E64" s="6">
        <f>数据库!D64</f>
        <v>501</v>
      </c>
      <c r="F64" s="4"/>
      <c r="G64" s="6">
        <f t="shared" si="1"/>
        <v>501</v>
      </c>
      <c r="H64" s="4"/>
      <c r="I64" s="9"/>
      <c r="J64" s="4"/>
      <c r="K64" s="4"/>
      <c r="L64" s="10"/>
      <c r="M64" s="10" t="str">
        <f>IFERROR(IF(数据库!F64=0,"低压区",IF(数据库!F64=1,"中压区","高压区")),"Error")</f>
        <v>低压区</v>
      </c>
      <c r="N64" s="10"/>
      <c r="O64" s="4"/>
      <c r="P64" s="4"/>
      <c r="Q64" s="18" t="str">
        <f>数据库!E64</f>
        <v>40133411</v>
      </c>
      <c r="AA64" s="18">
        <f>数据库!I64</f>
        <v>0</v>
      </c>
    </row>
    <row r="65" spans="1:27" ht="15">
      <c r="A65" s="4" t="str">
        <f t="shared" si="0"/>
        <v>064</v>
      </c>
      <c r="B65" s="5" t="s">
        <v>33</v>
      </c>
      <c r="C65" s="6" t="str">
        <f>数据库!B65&amp;"号楼"</f>
        <v>9号楼</v>
      </c>
      <c r="D65" s="15" t="str">
        <f>NUMBERSTRING(数据库!C65,3)&amp;"单元"</f>
        <v>二单元</v>
      </c>
      <c r="E65" s="6">
        <f>数据库!D65</f>
        <v>504</v>
      </c>
      <c r="F65" s="4"/>
      <c r="G65" s="6">
        <f t="shared" si="1"/>
        <v>504</v>
      </c>
      <c r="H65" s="4"/>
      <c r="I65" s="9"/>
      <c r="J65" s="4"/>
      <c r="K65" s="4"/>
      <c r="L65" s="10"/>
      <c r="M65" s="10" t="str">
        <f>IFERROR(IF(数据库!F65=0,"低压区",IF(数据库!F65=1,"中压区","高压区")),"Error")</f>
        <v>低压区</v>
      </c>
      <c r="N65" s="10"/>
      <c r="O65" s="4"/>
      <c r="P65" s="4"/>
      <c r="Q65" s="18" t="str">
        <f>数据库!E65</f>
        <v>40175107</v>
      </c>
      <c r="AA65" s="18">
        <f>数据库!I65</f>
        <v>0</v>
      </c>
    </row>
    <row r="66" spans="1:27" ht="15">
      <c r="A66" s="4" t="str">
        <f t="shared" si="0"/>
        <v>065</v>
      </c>
      <c r="B66" s="5" t="s">
        <v>33</v>
      </c>
      <c r="C66" s="6" t="str">
        <f>数据库!B66&amp;"号楼"</f>
        <v>9号楼</v>
      </c>
      <c r="D66" s="15" t="str">
        <f>NUMBERSTRING(数据库!C66,3)&amp;"单元"</f>
        <v>三单元</v>
      </c>
      <c r="E66" s="6">
        <f>数据库!D66</f>
        <v>101</v>
      </c>
      <c r="F66" s="4"/>
      <c r="G66" s="6">
        <f t="shared" si="1"/>
        <v>101</v>
      </c>
      <c r="H66" s="4"/>
      <c r="I66" s="9"/>
      <c r="J66" s="4"/>
      <c r="K66" s="4"/>
      <c r="L66" s="10"/>
      <c r="M66" s="10" t="str">
        <f>IFERROR(IF(数据库!F66=0,"低压区",IF(数据库!F66=1,"中压区","高压区")),"Error")</f>
        <v>低压区</v>
      </c>
      <c r="N66" s="10"/>
      <c r="O66" s="4"/>
      <c r="P66" s="4"/>
      <c r="Q66" s="18" t="str">
        <f>数据库!E66</f>
        <v>40128379</v>
      </c>
      <c r="AA66" s="18">
        <f>数据库!I66</f>
        <v>0</v>
      </c>
    </row>
    <row r="67" spans="1:27" ht="15">
      <c r="A67" s="4" t="str">
        <f t="shared" ref="A67:A130" si="2">TEXT(ROW(A66),"000")</f>
        <v>066</v>
      </c>
      <c r="B67" s="5" t="s">
        <v>33</v>
      </c>
      <c r="C67" s="6" t="str">
        <f>数据库!B67&amp;"号楼"</f>
        <v>9号楼</v>
      </c>
      <c r="D67" s="15" t="str">
        <f>NUMBERSTRING(数据库!C67,3)&amp;"单元"</f>
        <v>三单元</v>
      </c>
      <c r="E67" s="6">
        <f>数据库!D67</f>
        <v>104</v>
      </c>
      <c r="F67" s="4"/>
      <c r="G67" s="6">
        <f t="shared" ref="G67:G130" si="3">E67</f>
        <v>104</v>
      </c>
      <c r="H67" s="4"/>
      <c r="I67" s="9"/>
      <c r="J67" s="4"/>
      <c r="K67" s="4"/>
      <c r="L67" s="10"/>
      <c r="M67" s="10" t="str">
        <f>IFERROR(IF(数据库!F67=0,"低压区",IF(数据库!F67=1,"中压区","高压区")),"Error")</f>
        <v>低压区</v>
      </c>
      <c r="N67" s="10"/>
      <c r="O67" s="4"/>
      <c r="P67" s="4"/>
      <c r="Q67" s="18" t="str">
        <f>数据库!E67</f>
        <v>40190734</v>
      </c>
      <c r="AA67" s="18">
        <f>数据库!I67</f>
        <v>0</v>
      </c>
    </row>
    <row r="68" spans="1:27" ht="15">
      <c r="A68" s="4" t="str">
        <f t="shared" si="2"/>
        <v>067</v>
      </c>
      <c r="B68" s="5" t="s">
        <v>33</v>
      </c>
      <c r="C68" s="6" t="str">
        <f>数据库!B68&amp;"号楼"</f>
        <v>9号楼</v>
      </c>
      <c r="D68" s="15" t="str">
        <f>NUMBERSTRING(数据库!C68,3)&amp;"单元"</f>
        <v>三单元</v>
      </c>
      <c r="E68" s="6">
        <f>数据库!D68</f>
        <v>501</v>
      </c>
      <c r="F68" s="4"/>
      <c r="G68" s="6">
        <f t="shared" si="3"/>
        <v>501</v>
      </c>
      <c r="H68" s="4"/>
      <c r="I68" s="9"/>
      <c r="J68" s="4"/>
      <c r="K68" s="4"/>
      <c r="L68" s="10"/>
      <c r="M68" s="10" t="str">
        <f>IFERROR(IF(数据库!F68=0,"低压区",IF(数据库!F68=1,"中压区","高压区")),"Error")</f>
        <v>低压区</v>
      </c>
      <c r="N68" s="10"/>
      <c r="O68" s="4"/>
      <c r="P68" s="4"/>
      <c r="Q68" s="18" t="str">
        <f>数据库!E68</f>
        <v>40121952</v>
      </c>
      <c r="AA68" s="18">
        <f>数据库!I68</f>
        <v>0</v>
      </c>
    </row>
    <row r="69" spans="1:27" ht="15">
      <c r="A69" s="4" t="str">
        <f t="shared" si="2"/>
        <v>068</v>
      </c>
      <c r="B69" s="5" t="s">
        <v>33</v>
      </c>
      <c r="C69" s="6" t="str">
        <f>数据库!B69&amp;"号楼"</f>
        <v>9号楼</v>
      </c>
      <c r="D69" s="15" t="str">
        <f>NUMBERSTRING(数据库!C69,3)&amp;"单元"</f>
        <v>三单元</v>
      </c>
      <c r="E69" s="6">
        <f>数据库!D69</f>
        <v>504</v>
      </c>
      <c r="F69" s="4"/>
      <c r="G69" s="6">
        <f t="shared" si="3"/>
        <v>504</v>
      </c>
      <c r="H69" s="4"/>
      <c r="I69" s="9"/>
      <c r="J69" s="4"/>
      <c r="K69" s="4"/>
      <c r="L69" s="10"/>
      <c r="M69" s="10" t="str">
        <f>IFERROR(IF(数据库!F69=0,"低压区",IF(数据库!F69=1,"中压区","高压区")),"Error")</f>
        <v>低压区</v>
      </c>
      <c r="N69" s="10"/>
      <c r="O69" s="4"/>
      <c r="P69" s="4"/>
      <c r="Q69" s="18" t="str">
        <f>数据库!E69</f>
        <v>40199354</v>
      </c>
      <c r="AA69" s="18">
        <f>数据库!I69</f>
        <v>0</v>
      </c>
    </row>
    <row r="70" spans="1:27" ht="15">
      <c r="A70" s="4" t="str">
        <f t="shared" si="2"/>
        <v>069</v>
      </c>
      <c r="B70" s="5" t="s">
        <v>33</v>
      </c>
      <c r="C70" s="6" t="str">
        <f>数据库!B70&amp;"号楼"</f>
        <v>10号楼</v>
      </c>
      <c r="D70" s="15" t="str">
        <f>NUMBERSTRING(数据库!C70,3)&amp;"单元"</f>
        <v>一单元</v>
      </c>
      <c r="E70" s="6">
        <f>数据库!D70</f>
        <v>101</v>
      </c>
      <c r="F70" s="4"/>
      <c r="G70" s="6">
        <f t="shared" si="3"/>
        <v>101</v>
      </c>
      <c r="H70" s="4"/>
      <c r="I70" s="9"/>
      <c r="J70" s="4"/>
      <c r="K70" s="4"/>
      <c r="L70" s="10"/>
      <c r="M70" s="10" t="str">
        <f>IFERROR(IF(数据库!F70=0,"低压区",IF(数据库!F70=1,"中压区","高压区")),"Error")</f>
        <v>低压区</v>
      </c>
      <c r="N70" s="10"/>
      <c r="O70" s="4"/>
      <c r="P70" s="4"/>
      <c r="Q70" s="18" t="str">
        <f>数据库!E70</f>
        <v>40138105</v>
      </c>
      <c r="AA70" s="18">
        <f>数据库!I70</f>
        <v>0</v>
      </c>
    </row>
    <row r="71" spans="1:27" ht="15">
      <c r="A71" s="4" t="str">
        <f t="shared" si="2"/>
        <v>070</v>
      </c>
      <c r="B71" s="5" t="s">
        <v>33</v>
      </c>
      <c r="C71" s="6" t="str">
        <f>数据库!B71&amp;"号楼"</f>
        <v>10号楼</v>
      </c>
      <c r="D71" s="15" t="str">
        <f>NUMBERSTRING(数据库!C71,3)&amp;"单元"</f>
        <v>一单元</v>
      </c>
      <c r="E71" s="6">
        <f>数据库!D71</f>
        <v>104</v>
      </c>
      <c r="F71" s="4"/>
      <c r="G71" s="6">
        <f t="shared" si="3"/>
        <v>104</v>
      </c>
      <c r="H71" s="4"/>
      <c r="I71" s="9"/>
      <c r="J71" s="4"/>
      <c r="K71" s="4"/>
      <c r="L71" s="10"/>
      <c r="M71" s="10" t="str">
        <f>IFERROR(IF(数据库!F71=0,"低压区",IF(数据库!F71=1,"中压区","高压区")),"Error")</f>
        <v>低压区</v>
      </c>
      <c r="N71" s="10"/>
      <c r="O71" s="4"/>
      <c r="P71" s="4"/>
      <c r="Q71" s="18" t="str">
        <f>数据库!E71</f>
        <v>40175834</v>
      </c>
      <c r="AA71" s="18">
        <f>数据库!I71</f>
        <v>0</v>
      </c>
    </row>
    <row r="72" spans="1:27" ht="15">
      <c r="A72" s="4" t="str">
        <f t="shared" si="2"/>
        <v>071</v>
      </c>
      <c r="B72" s="5" t="s">
        <v>33</v>
      </c>
      <c r="C72" s="6" t="str">
        <f>数据库!B72&amp;"号楼"</f>
        <v>10号楼</v>
      </c>
      <c r="D72" s="15" t="str">
        <f>NUMBERSTRING(数据库!C72,3)&amp;"单元"</f>
        <v>一单元</v>
      </c>
      <c r="E72" s="6">
        <f>数据库!D72</f>
        <v>501</v>
      </c>
      <c r="F72" s="4"/>
      <c r="G72" s="6">
        <f t="shared" si="3"/>
        <v>501</v>
      </c>
      <c r="H72" s="4"/>
      <c r="I72" s="9"/>
      <c r="J72" s="4"/>
      <c r="K72" s="4"/>
      <c r="L72" s="10"/>
      <c r="M72" s="10" t="str">
        <f>IFERROR(IF(数据库!F72=0,"低压区",IF(数据库!F72=1,"中压区","高压区")),"Error")</f>
        <v>低压区</v>
      </c>
      <c r="N72" s="10"/>
      <c r="O72" s="4"/>
      <c r="P72" s="4"/>
      <c r="Q72" s="18" t="str">
        <f>数据库!E72</f>
        <v>40167732</v>
      </c>
      <c r="AA72" s="18">
        <f>数据库!I72</f>
        <v>0</v>
      </c>
    </row>
    <row r="73" spans="1:27" ht="15">
      <c r="A73" s="4" t="str">
        <f t="shared" si="2"/>
        <v>072</v>
      </c>
      <c r="B73" s="5" t="s">
        <v>33</v>
      </c>
      <c r="C73" s="6" t="str">
        <f>数据库!B73&amp;"号楼"</f>
        <v>10号楼</v>
      </c>
      <c r="D73" s="15" t="str">
        <f>NUMBERSTRING(数据库!C73,3)&amp;"单元"</f>
        <v>一单元</v>
      </c>
      <c r="E73" s="6">
        <f>数据库!D73</f>
        <v>504</v>
      </c>
      <c r="F73" s="4"/>
      <c r="G73" s="6">
        <f t="shared" si="3"/>
        <v>504</v>
      </c>
      <c r="H73" s="4"/>
      <c r="I73" s="9"/>
      <c r="J73" s="4"/>
      <c r="K73" s="4"/>
      <c r="L73" s="10"/>
      <c r="M73" s="10" t="str">
        <f>IFERROR(IF(数据库!F73=0,"低压区",IF(数据库!F73=1,"中压区","高压区")),"Error")</f>
        <v>低压区</v>
      </c>
      <c r="N73" s="10"/>
      <c r="O73" s="4"/>
      <c r="P73" s="4"/>
      <c r="Q73" s="18" t="str">
        <f>数据库!E73</f>
        <v>40162444</v>
      </c>
      <c r="AA73" s="18">
        <f>数据库!I73</f>
        <v>0</v>
      </c>
    </row>
    <row r="74" spans="1:27" ht="15">
      <c r="A74" s="4" t="str">
        <f t="shared" si="2"/>
        <v>073</v>
      </c>
      <c r="B74" s="5" t="s">
        <v>33</v>
      </c>
      <c r="C74" s="6" t="str">
        <f>数据库!B74&amp;"号楼"</f>
        <v>10号楼</v>
      </c>
      <c r="D74" s="15" t="str">
        <f>NUMBERSTRING(数据库!C74,3)&amp;"单元"</f>
        <v>二单元</v>
      </c>
      <c r="E74" s="6">
        <f>数据库!D74</f>
        <v>101</v>
      </c>
      <c r="F74" s="4"/>
      <c r="G74" s="6">
        <f t="shared" si="3"/>
        <v>101</v>
      </c>
      <c r="H74" s="4"/>
      <c r="I74" s="9"/>
      <c r="J74" s="4"/>
      <c r="K74" s="4"/>
      <c r="L74" s="10"/>
      <c r="M74" s="10" t="str">
        <f>IFERROR(IF(数据库!F74=0,"低压区",IF(数据库!F74=1,"中压区","高压区")),"Error")</f>
        <v>低压区</v>
      </c>
      <c r="N74" s="10"/>
      <c r="O74" s="4"/>
      <c r="P74" s="4"/>
      <c r="Q74" s="18" t="str">
        <f>数据库!E74</f>
        <v>40122273</v>
      </c>
      <c r="AA74" s="18">
        <f>数据库!I74</f>
        <v>0</v>
      </c>
    </row>
    <row r="75" spans="1:27" ht="15">
      <c r="A75" s="4" t="str">
        <f t="shared" si="2"/>
        <v>074</v>
      </c>
      <c r="B75" s="5" t="s">
        <v>33</v>
      </c>
      <c r="C75" s="6" t="str">
        <f>数据库!B75&amp;"号楼"</f>
        <v>10号楼</v>
      </c>
      <c r="D75" s="15" t="str">
        <f>NUMBERSTRING(数据库!C75,3)&amp;"单元"</f>
        <v>二单元</v>
      </c>
      <c r="E75" s="6">
        <f>数据库!D75</f>
        <v>104</v>
      </c>
      <c r="F75" s="4"/>
      <c r="G75" s="6">
        <f t="shared" si="3"/>
        <v>104</v>
      </c>
      <c r="H75" s="4"/>
      <c r="I75" s="9"/>
      <c r="J75" s="4"/>
      <c r="K75" s="4"/>
      <c r="L75" s="10"/>
      <c r="M75" s="10" t="str">
        <f>IFERROR(IF(数据库!F75=0,"低压区",IF(数据库!F75=1,"中压区","高压区")),"Error")</f>
        <v>低压区</v>
      </c>
      <c r="N75" s="10"/>
      <c r="O75" s="4"/>
      <c r="P75" s="4"/>
      <c r="Q75" s="18" t="str">
        <f>数据库!E75</f>
        <v>40189037</v>
      </c>
      <c r="AA75" s="18">
        <f>数据库!I75</f>
        <v>0</v>
      </c>
    </row>
    <row r="76" spans="1:27" ht="15">
      <c r="A76" s="4" t="str">
        <f t="shared" si="2"/>
        <v>075</v>
      </c>
      <c r="B76" s="5" t="s">
        <v>33</v>
      </c>
      <c r="C76" s="6" t="str">
        <f>数据库!B76&amp;"号楼"</f>
        <v>10号楼</v>
      </c>
      <c r="D76" s="15" t="str">
        <f>NUMBERSTRING(数据库!C76,3)&amp;"单元"</f>
        <v>二单元</v>
      </c>
      <c r="E76" s="6">
        <f>数据库!D76</f>
        <v>501</v>
      </c>
      <c r="F76" s="4"/>
      <c r="G76" s="6">
        <f t="shared" si="3"/>
        <v>501</v>
      </c>
      <c r="H76" s="4"/>
      <c r="I76" s="9"/>
      <c r="J76" s="4"/>
      <c r="K76" s="4"/>
      <c r="L76" s="10"/>
      <c r="M76" s="10" t="str">
        <f>IFERROR(IF(数据库!F76=0,"低压区",IF(数据库!F76=1,"中压区","高压区")),"Error")</f>
        <v>低压区</v>
      </c>
      <c r="N76" s="10"/>
      <c r="O76" s="4"/>
      <c r="P76" s="4"/>
      <c r="Q76" s="18" t="str">
        <f>数据库!E76</f>
        <v>40185494</v>
      </c>
      <c r="AA76" s="18">
        <f>数据库!I76</f>
        <v>0</v>
      </c>
    </row>
    <row r="77" spans="1:27" ht="15">
      <c r="A77" s="4" t="str">
        <f t="shared" si="2"/>
        <v>076</v>
      </c>
      <c r="B77" s="5" t="s">
        <v>33</v>
      </c>
      <c r="C77" s="6" t="str">
        <f>数据库!B77&amp;"号楼"</f>
        <v>10号楼</v>
      </c>
      <c r="D77" s="15" t="str">
        <f>NUMBERSTRING(数据库!C77,3)&amp;"单元"</f>
        <v>二单元</v>
      </c>
      <c r="E77" s="6">
        <f>数据库!D77</f>
        <v>504</v>
      </c>
      <c r="F77" s="4"/>
      <c r="G77" s="6">
        <f t="shared" si="3"/>
        <v>504</v>
      </c>
      <c r="H77" s="4"/>
      <c r="I77" s="9"/>
      <c r="J77" s="4"/>
      <c r="K77" s="4"/>
      <c r="L77" s="10"/>
      <c r="M77" s="10" t="str">
        <f>IFERROR(IF(数据库!F77=0,"低压区",IF(数据库!F77=1,"中压区","高压区")),"Error")</f>
        <v>低压区</v>
      </c>
      <c r="N77" s="10"/>
      <c r="O77" s="4"/>
      <c r="P77" s="4"/>
      <c r="Q77" s="18" t="str">
        <f>数据库!E77</f>
        <v>40196897</v>
      </c>
      <c r="AA77" s="18">
        <f>数据库!I77</f>
        <v>0</v>
      </c>
    </row>
    <row r="78" spans="1:27" ht="15">
      <c r="A78" s="4" t="str">
        <f t="shared" si="2"/>
        <v>077</v>
      </c>
      <c r="B78" s="5" t="s">
        <v>33</v>
      </c>
      <c r="C78" s="6" t="str">
        <f>数据库!B78&amp;"号楼"</f>
        <v>11号楼</v>
      </c>
      <c r="D78" s="15" t="str">
        <f>NUMBERSTRING(数据库!C78,3)&amp;"单元"</f>
        <v>一单元</v>
      </c>
      <c r="E78" s="6">
        <f>数据库!D78</f>
        <v>101</v>
      </c>
      <c r="F78" s="4"/>
      <c r="G78" s="6">
        <f t="shared" si="3"/>
        <v>101</v>
      </c>
      <c r="H78" s="4"/>
      <c r="I78" s="9"/>
      <c r="J78" s="4"/>
      <c r="K78" s="4"/>
      <c r="L78" s="10"/>
      <c r="M78" s="10" t="str">
        <f>IFERROR(IF(数据库!F78=0,"低压区",IF(数据库!F78=1,"中压区","高压区")),"Error")</f>
        <v>低压区</v>
      </c>
      <c r="N78" s="10"/>
      <c r="O78" s="4"/>
      <c r="P78" s="4"/>
      <c r="Q78" s="18" t="str">
        <f>数据库!E78</f>
        <v>40163673</v>
      </c>
      <c r="AA78" s="18">
        <f>数据库!I78</f>
        <v>0</v>
      </c>
    </row>
    <row r="79" spans="1:27" ht="15">
      <c r="A79" s="4" t="str">
        <f t="shared" si="2"/>
        <v>078</v>
      </c>
      <c r="B79" s="5" t="s">
        <v>33</v>
      </c>
      <c r="C79" s="6" t="str">
        <f>数据库!B79&amp;"号楼"</f>
        <v>11号楼</v>
      </c>
      <c r="D79" s="15" t="str">
        <f>NUMBERSTRING(数据库!C79,3)&amp;"单元"</f>
        <v>一单元</v>
      </c>
      <c r="E79" s="6">
        <f>数据库!D79</f>
        <v>104</v>
      </c>
      <c r="F79" s="4"/>
      <c r="G79" s="6">
        <f t="shared" si="3"/>
        <v>104</v>
      </c>
      <c r="H79" s="4"/>
      <c r="I79" s="9"/>
      <c r="J79" s="4"/>
      <c r="K79" s="4"/>
      <c r="L79" s="10"/>
      <c r="M79" s="10" t="str">
        <f>IFERROR(IF(数据库!F79=0,"低压区",IF(数据库!F79=1,"中压区","高压区")),"Error")</f>
        <v>低压区</v>
      </c>
      <c r="N79" s="10"/>
      <c r="O79" s="4"/>
      <c r="P79" s="4"/>
      <c r="Q79" s="18" t="str">
        <f>数据库!E79</f>
        <v>40175271</v>
      </c>
      <c r="AA79" s="18">
        <f>数据库!I79</f>
        <v>0</v>
      </c>
    </row>
    <row r="80" spans="1:27" ht="15">
      <c r="A80" s="4" t="str">
        <f t="shared" si="2"/>
        <v>079</v>
      </c>
      <c r="B80" s="5" t="s">
        <v>33</v>
      </c>
      <c r="C80" s="6" t="str">
        <f>数据库!B80&amp;"号楼"</f>
        <v>11号楼</v>
      </c>
      <c r="D80" s="15" t="str">
        <f>NUMBERSTRING(数据库!C80,3)&amp;"单元"</f>
        <v>一单元</v>
      </c>
      <c r="E80" s="6">
        <f>数据库!D80</f>
        <v>601</v>
      </c>
      <c r="F80" s="4"/>
      <c r="G80" s="6">
        <f t="shared" si="3"/>
        <v>601</v>
      </c>
      <c r="H80" s="4"/>
      <c r="I80" s="9"/>
      <c r="J80" s="4"/>
      <c r="K80" s="4"/>
      <c r="L80" s="10"/>
      <c r="M80" s="10" t="str">
        <f>IFERROR(IF(数据库!F80=0,"低压区",IF(数据库!F80=1,"中压区","高压区")),"Error")</f>
        <v>低压区</v>
      </c>
      <c r="N80" s="10"/>
      <c r="O80" s="4"/>
      <c r="P80" s="4"/>
      <c r="Q80" s="18" t="str">
        <f>数据库!E80</f>
        <v>40199727</v>
      </c>
      <c r="AA80" s="18">
        <f>数据库!I80</f>
        <v>0</v>
      </c>
    </row>
    <row r="81" spans="1:27" ht="15">
      <c r="A81" s="4" t="str">
        <f t="shared" si="2"/>
        <v>080</v>
      </c>
      <c r="B81" s="5" t="s">
        <v>33</v>
      </c>
      <c r="C81" s="6" t="str">
        <f>数据库!B81&amp;"号楼"</f>
        <v>11号楼</v>
      </c>
      <c r="D81" s="15" t="str">
        <f>NUMBERSTRING(数据库!C81,3)&amp;"单元"</f>
        <v>一单元</v>
      </c>
      <c r="E81" s="6">
        <f>数据库!D81</f>
        <v>604</v>
      </c>
      <c r="F81" s="4"/>
      <c r="G81" s="6">
        <f t="shared" si="3"/>
        <v>604</v>
      </c>
      <c r="H81" s="4"/>
      <c r="I81" s="9"/>
      <c r="J81" s="4"/>
      <c r="K81" s="4"/>
      <c r="L81" s="10"/>
      <c r="M81" s="10" t="str">
        <f>IFERROR(IF(数据库!F81=0,"低压区",IF(数据库!F81=1,"中压区","高压区")),"Error")</f>
        <v>低压区</v>
      </c>
      <c r="N81" s="10"/>
      <c r="O81" s="4"/>
      <c r="P81" s="4"/>
      <c r="Q81" s="18" t="str">
        <f>数据库!E81</f>
        <v>40158061</v>
      </c>
      <c r="AA81" s="18">
        <f>数据库!I81</f>
        <v>0</v>
      </c>
    </row>
    <row r="82" spans="1:27" ht="15">
      <c r="A82" s="4" t="str">
        <f t="shared" si="2"/>
        <v>081</v>
      </c>
      <c r="B82" s="5" t="s">
        <v>33</v>
      </c>
      <c r="C82" s="6" t="str">
        <f>数据库!B82&amp;"号楼"</f>
        <v>11号楼</v>
      </c>
      <c r="D82" s="15" t="str">
        <f>NUMBERSTRING(数据库!C82,3)&amp;"单元"</f>
        <v>二单元</v>
      </c>
      <c r="E82" s="6">
        <f>数据库!D82</f>
        <v>101</v>
      </c>
      <c r="F82" s="4"/>
      <c r="G82" s="6">
        <f t="shared" si="3"/>
        <v>101</v>
      </c>
      <c r="H82" s="4"/>
      <c r="I82" s="9"/>
      <c r="J82" s="4"/>
      <c r="K82" s="4"/>
      <c r="L82" s="10"/>
      <c r="M82" s="10" t="str">
        <f>IFERROR(IF(数据库!F82=0,"低压区",IF(数据库!F82=1,"中压区","高压区")),"Error")</f>
        <v>低压区</v>
      </c>
      <c r="N82" s="10"/>
      <c r="O82" s="4"/>
      <c r="P82" s="4"/>
      <c r="Q82" s="18" t="str">
        <f>数据库!E82</f>
        <v>40204717</v>
      </c>
      <c r="AA82" s="18">
        <f>数据库!I82</f>
        <v>0</v>
      </c>
    </row>
    <row r="83" spans="1:27" ht="15">
      <c r="A83" s="4" t="str">
        <f t="shared" si="2"/>
        <v>082</v>
      </c>
      <c r="B83" s="5" t="s">
        <v>33</v>
      </c>
      <c r="C83" s="6" t="str">
        <f>数据库!B83&amp;"号楼"</f>
        <v>11号楼</v>
      </c>
      <c r="D83" s="15" t="str">
        <f>NUMBERSTRING(数据库!C83,3)&amp;"单元"</f>
        <v>二单元</v>
      </c>
      <c r="E83" s="6">
        <f>数据库!D83</f>
        <v>104</v>
      </c>
      <c r="F83" s="4"/>
      <c r="G83" s="6">
        <f t="shared" si="3"/>
        <v>104</v>
      </c>
      <c r="H83" s="4"/>
      <c r="I83" s="9"/>
      <c r="J83" s="4"/>
      <c r="K83" s="4"/>
      <c r="L83" s="10"/>
      <c r="M83" s="10" t="str">
        <f>IFERROR(IF(数据库!F83=0,"低压区",IF(数据库!F83=1,"中压区","高压区")),"Error")</f>
        <v>低压区</v>
      </c>
      <c r="N83" s="10"/>
      <c r="O83" s="4"/>
      <c r="P83" s="4"/>
      <c r="Q83" s="18" t="str">
        <f>数据库!E83</f>
        <v>40122323</v>
      </c>
      <c r="AA83" s="18">
        <f>数据库!I83</f>
        <v>0</v>
      </c>
    </row>
    <row r="84" spans="1:27" ht="15">
      <c r="A84" s="4" t="str">
        <f t="shared" si="2"/>
        <v>083</v>
      </c>
      <c r="B84" s="5" t="s">
        <v>33</v>
      </c>
      <c r="C84" s="6" t="str">
        <f>数据库!B84&amp;"号楼"</f>
        <v>11号楼</v>
      </c>
      <c r="D84" s="15" t="str">
        <f>NUMBERSTRING(数据库!C84,3)&amp;"单元"</f>
        <v>二单元</v>
      </c>
      <c r="E84" s="6">
        <f>数据库!D84</f>
        <v>601</v>
      </c>
      <c r="F84" s="4"/>
      <c r="G84" s="6">
        <f t="shared" si="3"/>
        <v>601</v>
      </c>
      <c r="H84" s="4"/>
      <c r="I84" s="9"/>
      <c r="J84" s="4"/>
      <c r="K84" s="4"/>
      <c r="L84" s="10"/>
      <c r="M84" s="10" t="str">
        <f>IFERROR(IF(数据库!F84=0,"低压区",IF(数据库!F84=1,"中压区","高压区")),"Error")</f>
        <v>低压区</v>
      </c>
      <c r="N84" s="10"/>
      <c r="O84" s="4"/>
      <c r="P84" s="4"/>
      <c r="Q84" s="18" t="str">
        <f>数据库!E84</f>
        <v>40175537</v>
      </c>
      <c r="AA84" s="18">
        <f>数据库!I84</f>
        <v>0</v>
      </c>
    </row>
    <row r="85" spans="1:27" ht="15">
      <c r="A85" s="4" t="str">
        <f t="shared" si="2"/>
        <v>084</v>
      </c>
      <c r="B85" s="5" t="s">
        <v>33</v>
      </c>
      <c r="C85" s="6" t="str">
        <f>数据库!B85&amp;"号楼"</f>
        <v>11号楼</v>
      </c>
      <c r="D85" s="15" t="str">
        <f>NUMBERSTRING(数据库!C85,3)&amp;"单元"</f>
        <v>二单元</v>
      </c>
      <c r="E85" s="6">
        <f>数据库!D85</f>
        <v>604</v>
      </c>
      <c r="F85" s="4"/>
      <c r="G85" s="6">
        <f t="shared" si="3"/>
        <v>604</v>
      </c>
      <c r="H85" s="4"/>
      <c r="I85" s="9"/>
      <c r="J85" s="4"/>
      <c r="K85" s="4"/>
      <c r="L85" s="10"/>
      <c r="M85" s="10" t="str">
        <f>IFERROR(IF(数据库!F85=0,"低压区",IF(数据库!F85=1,"中压区","高压区")),"Error")</f>
        <v>低压区</v>
      </c>
      <c r="N85" s="10"/>
      <c r="O85" s="4"/>
      <c r="P85" s="4"/>
      <c r="Q85" s="18" t="str">
        <f>数据库!E85</f>
        <v>40158194</v>
      </c>
      <c r="AA85" s="18">
        <f>数据库!I85</f>
        <v>0</v>
      </c>
    </row>
    <row r="86" spans="1:27" ht="15">
      <c r="A86" s="4" t="str">
        <f t="shared" si="2"/>
        <v>085</v>
      </c>
      <c r="B86" s="5" t="s">
        <v>33</v>
      </c>
      <c r="C86" s="6" t="str">
        <f>数据库!B86&amp;"号楼"</f>
        <v>13A号楼</v>
      </c>
      <c r="D86" s="15" t="str">
        <f>NUMBERSTRING(数据库!C86,3)&amp;"单元"</f>
        <v>一单元</v>
      </c>
      <c r="E86" s="6">
        <f>数据库!D86</f>
        <v>101</v>
      </c>
      <c r="F86" s="4"/>
      <c r="G86" s="6">
        <f t="shared" si="3"/>
        <v>101</v>
      </c>
      <c r="H86" s="4"/>
      <c r="I86" s="9"/>
      <c r="J86" s="4"/>
      <c r="K86" s="4"/>
      <c r="L86" s="10"/>
      <c r="M86" s="10" t="str">
        <f>IFERROR(IF(数据库!F86=0,"低压区",IF(数据库!F86=1,"中压区","高压区")),"Error")</f>
        <v>低压区</v>
      </c>
      <c r="N86" s="10"/>
      <c r="O86" s="4"/>
      <c r="P86" s="4"/>
      <c r="Q86" s="18" t="str">
        <f>数据库!E86</f>
        <v>40158124</v>
      </c>
      <c r="AA86" s="18">
        <f>数据库!I86</f>
        <v>0</v>
      </c>
    </row>
    <row r="87" spans="1:27" ht="15">
      <c r="A87" s="4" t="str">
        <f t="shared" si="2"/>
        <v>086</v>
      </c>
      <c r="B87" s="5" t="s">
        <v>33</v>
      </c>
      <c r="C87" s="6" t="str">
        <f>数据库!B87&amp;"号楼"</f>
        <v>13A号楼</v>
      </c>
      <c r="D87" s="15" t="str">
        <f>NUMBERSTRING(数据库!C87,3)&amp;"单元"</f>
        <v>一单元</v>
      </c>
      <c r="E87" s="6">
        <f>数据库!D87</f>
        <v>102</v>
      </c>
      <c r="F87" s="4"/>
      <c r="G87" s="6">
        <f t="shared" si="3"/>
        <v>102</v>
      </c>
      <c r="H87" s="4"/>
      <c r="I87" s="9"/>
      <c r="J87" s="4"/>
      <c r="K87" s="4"/>
      <c r="L87" s="10"/>
      <c r="M87" s="10" t="str">
        <f>IFERROR(IF(数据库!F87=0,"低压区",IF(数据库!F87=1,"中压区","高压区")),"Error")</f>
        <v>低压区</v>
      </c>
      <c r="N87" s="10"/>
      <c r="O87" s="4"/>
      <c r="P87" s="4"/>
      <c r="Q87" s="18" t="str">
        <f>数据库!E87</f>
        <v>40128353</v>
      </c>
      <c r="AA87" s="18">
        <f>数据库!I87</f>
        <v>0</v>
      </c>
    </row>
    <row r="88" spans="1:27" ht="15">
      <c r="A88" s="4" t="str">
        <f t="shared" si="2"/>
        <v>087</v>
      </c>
      <c r="B88" s="5" t="s">
        <v>33</v>
      </c>
      <c r="C88" s="6" t="str">
        <f>数据库!B88&amp;"号楼"</f>
        <v>13A号楼</v>
      </c>
      <c r="D88" s="15" t="str">
        <f>NUMBERSTRING(数据库!C88,3)&amp;"单元"</f>
        <v>一单元</v>
      </c>
      <c r="E88" s="6">
        <f>数据库!D88</f>
        <v>501</v>
      </c>
      <c r="F88" s="4"/>
      <c r="G88" s="6">
        <f t="shared" si="3"/>
        <v>501</v>
      </c>
      <c r="H88" s="4"/>
      <c r="I88" s="9"/>
      <c r="J88" s="4"/>
      <c r="K88" s="4"/>
      <c r="L88" s="10"/>
      <c r="M88" s="10" t="str">
        <f>IFERROR(IF(数据库!F88=0,"低压区",IF(数据库!F88=1,"中压区","高压区")),"Error")</f>
        <v>低压区</v>
      </c>
      <c r="N88" s="10"/>
      <c r="O88" s="4"/>
      <c r="P88" s="4"/>
      <c r="Q88" s="18" t="str">
        <f>数据库!E88</f>
        <v>40169092</v>
      </c>
      <c r="AA88" s="18">
        <f>数据库!I88</f>
        <v>0</v>
      </c>
    </row>
    <row r="89" spans="1:27" ht="15">
      <c r="A89" s="4" t="str">
        <f t="shared" si="2"/>
        <v>088</v>
      </c>
      <c r="B89" s="5" t="s">
        <v>33</v>
      </c>
      <c r="C89" s="6" t="str">
        <f>数据库!B89&amp;"号楼"</f>
        <v>13A号楼</v>
      </c>
      <c r="D89" s="15" t="str">
        <f>NUMBERSTRING(数据库!C89,3)&amp;"单元"</f>
        <v>一单元</v>
      </c>
      <c r="E89" s="6">
        <f>数据库!D89</f>
        <v>502</v>
      </c>
      <c r="F89" s="4"/>
      <c r="G89" s="6">
        <f t="shared" si="3"/>
        <v>502</v>
      </c>
      <c r="H89" s="4"/>
      <c r="I89" s="9"/>
      <c r="J89" s="4"/>
      <c r="K89" s="4"/>
      <c r="L89" s="10"/>
      <c r="M89" s="10" t="str">
        <f>IFERROR(IF(数据库!F89=0,"低压区",IF(数据库!F89=1,"中压区","高压区")),"Error")</f>
        <v>低压区</v>
      </c>
      <c r="N89" s="10"/>
      <c r="O89" s="4"/>
      <c r="P89" s="4"/>
      <c r="Q89" s="18" t="str">
        <f>数据库!E89</f>
        <v>40118727</v>
      </c>
      <c r="AA89" s="18">
        <f>数据库!I89</f>
        <v>0</v>
      </c>
    </row>
    <row r="90" spans="1:27" ht="15">
      <c r="A90" s="4" t="str">
        <f t="shared" si="2"/>
        <v>089</v>
      </c>
      <c r="B90" s="5" t="s">
        <v>33</v>
      </c>
      <c r="C90" s="6" t="str">
        <f>数据库!B90&amp;"号楼"</f>
        <v>13A号楼</v>
      </c>
      <c r="D90" s="15" t="str">
        <f>NUMBERSTRING(数据库!C90,3)&amp;"单元"</f>
        <v>二单元</v>
      </c>
      <c r="E90" s="6">
        <f>数据库!D90</f>
        <v>101</v>
      </c>
      <c r="F90" s="4"/>
      <c r="G90" s="6">
        <f t="shared" si="3"/>
        <v>101</v>
      </c>
      <c r="H90" s="4"/>
      <c r="I90" s="9"/>
      <c r="J90" s="4"/>
      <c r="K90" s="4"/>
      <c r="L90" s="10"/>
      <c r="M90" s="10" t="str">
        <f>IFERROR(IF(数据库!F90=0,"低压区",IF(数据库!F90=1,"中压区","高压区")),"Error")</f>
        <v>低压区</v>
      </c>
      <c r="N90" s="10"/>
      <c r="O90" s="4"/>
      <c r="P90" s="4"/>
      <c r="Q90" s="18" t="str">
        <f>数据库!E90</f>
        <v>40121994</v>
      </c>
      <c r="AA90" s="18">
        <f>数据库!I90</f>
        <v>0</v>
      </c>
    </row>
    <row r="91" spans="1:27" ht="15">
      <c r="A91" s="4" t="str">
        <f t="shared" si="2"/>
        <v>090</v>
      </c>
      <c r="B91" s="5" t="s">
        <v>33</v>
      </c>
      <c r="C91" s="6" t="str">
        <f>数据库!B91&amp;"号楼"</f>
        <v>13A号楼</v>
      </c>
      <c r="D91" s="15" t="str">
        <f>NUMBERSTRING(数据库!C91,3)&amp;"单元"</f>
        <v>二单元</v>
      </c>
      <c r="E91" s="6">
        <f>数据库!D91</f>
        <v>102</v>
      </c>
      <c r="F91" s="4"/>
      <c r="G91" s="6">
        <f t="shared" si="3"/>
        <v>102</v>
      </c>
      <c r="H91" s="4"/>
      <c r="I91" s="9"/>
      <c r="J91" s="4"/>
      <c r="K91" s="4"/>
      <c r="L91" s="10"/>
      <c r="M91" s="10" t="str">
        <f>IFERROR(IF(数据库!F91=0,"低压区",IF(数据库!F91=1,"中压区","高压区")),"Error")</f>
        <v>低压区</v>
      </c>
      <c r="N91" s="10"/>
      <c r="O91" s="4"/>
      <c r="P91" s="4"/>
      <c r="Q91" s="18" t="str">
        <f>数据库!E91</f>
        <v>40176121</v>
      </c>
      <c r="AA91" s="18">
        <f>数据库!I91</f>
        <v>0</v>
      </c>
    </row>
    <row r="92" spans="1:27" ht="15">
      <c r="A92" s="4" t="str">
        <f t="shared" si="2"/>
        <v>091</v>
      </c>
      <c r="B92" s="5" t="s">
        <v>33</v>
      </c>
      <c r="C92" s="6" t="str">
        <f>数据库!B92&amp;"号楼"</f>
        <v>13A号楼</v>
      </c>
      <c r="D92" s="15" t="str">
        <f>NUMBERSTRING(数据库!C92,3)&amp;"单元"</f>
        <v>二单元</v>
      </c>
      <c r="E92" s="6">
        <f>数据库!D92</f>
        <v>501</v>
      </c>
      <c r="F92" s="4"/>
      <c r="G92" s="6">
        <f t="shared" si="3"/>
        <v>501</v>
      </c>
      <c r="H92" s="4"/>
      <c r="I92" s="9"/>
      <c r="J92" s="4"/>
      <c r="K92" s="4"/>
      <c r="L92" s="10"/>
      <c r="M92" s="10" t="str">
        <f>IFERROR(IF(数据库!F92=0,"低压区",IF(数据库!F92=1,"中压区","高压区")),"Error")</f>
        <v>低压区</v>
      </c>
      <c r="N92" s="10"/>
      <c r="O92" s="4"/>
      <c r="P92" s="4"/>
      <c r="Q92" s="18" t="str">
        <f>数据库!E92</f>
        <v>40188316</v>
      </c>
      <c r="AA92" s="18">
        <f>数据库!I92</f>
        <v>0</v>
      </c>
    </row>
    <row r="93" spans="1:27" ht="15">
      <c r="A93" s="4" t="str">
        <f t="shared" si="2"/>
        <v>092</v>
      </c>
      <c r="B93" s="5" t="s">
        <v>33</v>
      </c>
      <c r="C93" s="6" t="str">
        <f>数据库!B93&amp;"号楼"</f>
        <v>13A号楼</v>
      </c>
      <c r="D93" s="15" t="str">
        <f>NUMBERSTRING(数据库!C93,3)&amp;"单元"</f>
        <v>二单元</v>
      </c>
      <c r="E93" s="6">
        <f>数据库!D93</f>
        <v>502</v>
      </c>
      <c r="F93" s="4"/>
      <c r="G93" s="6">
        <f t="shared" si="3"/>
        <v>502</v>
      </c>
      <c r="H93" s="4"/>
      <c r="I93" s="9"/>
      <c r="J93" s="4"/>
      <c r="K93" s="4"/>
      <c r="L93" s="10"/>
      <c r="M93" s="10" t="str">
        <f>IFERROR(IF(数据库!F93=0,"低压区",IF(数据库!F93=1,"中压区","高压区")),"Error")</f>
        <v>低压区</v>
      </c>
      <c r="N93" s="10"/>
      <c r="O93" s="4"/>
      <c r="P93" s="4"/>
      <c r="Q93" s="18" t="str">
        <f>数据库!E93</f>
        <v>40161727</v>
      </c>
      <c r="AA93" s="18">
        <f>数据库!I93</f>
        <v>0</v>
      </c>
    </row>
    <row r="94" spans="1:27" ht="15">
      <c r="A94" s="4" t="str">
        <f t="shared" si="2"/>
        <v>093</v>
      </c>
      <c r="B94" s="5" t="s">
        <v>33</v>
      </c>
      <c r="C94" s="6" t="str">
        <f>数据库!B94&amp;"号楼"</f>
        <v>13A号楼</v>
      </c>
      <c r="D94" s="15" t="str">
        <f>NUMBERSTRING(数据库!C94,3)&amp;"单元"</f>
        <v>三单元</v>
      </c>
      <c r="E94" s="6">
        <f>数据库!D94</f>
        <v>101</v>
      </c>
      <c r="F94" s="4"/>
      <c r="G94" s="6">
        <f t="shared" si="3"/>
        <v>101</v>
      </c>
      <c r="H94" s="4"/>
      <c r="I94" s="9"/>
      <c r="J94" s="4"/>
      <c r="K94" s="4"/>
      <c r="L94" s="10"/>
      <c r="M94" s="10" t="str">
        <f>IFERROR(IF(数据库!F94=0,"低压区",IF(数据库!F94=1,"中压区","高压区")),"Error")</f>
        <v>低压区</v>
      </c>
      <c r="N94" s="10"/>
      <c r="O94" s="4"/>
      <c r="P94" s="4"/>
      <c r="Q94" s="18" t="str">
        <f>数据库!E94</f>
        <v>40176220</v>
      </c>
      <c r="AA94" s="18">
        <f>数据库!I94</f>
        <v>0</v>
      </c>
    </row>
    <row r="95" spans="1:27" ht="15">
      <c r="A95" s="4" t="str">
        <f t="shared" si="2"/>
        <v>094</v>
      </c>
      <c r="B95" s="5" t="s">
        <v>33</v>
      </c>
      <c r="C95" s="6" t="str">
        <f>数据库!B95&amp;"号楼"</f>
        <v>13A号楼</v>
      </c>
      <c r="D95" s="15" t="str">
        <f>NUMBERSTRING(数据库!C95,3)&amp;"单元"</f>
        <v>三单元</v>
      </c>
      <c r="E95" s="6">
        <f>数据库!D95</f>
        <v>102</v>
      </c>
      <c r="F95" s="4"/>
      <c r="G95" s="6">
        <f t="shared" si="3"/>
        <v>102</v>
      </c>
      <c r="H95" s="4"/>
      <c r="I95" s="9"/>
      <c r="J95" s="4"/>
      <c r="K95" s="4"/>
      <c r="L95" s="10"/>
      <c r="M95" s="10" t="str">
        <f>IFERROR(IF(数据库!F95=0,"低压区",IF(数据库!F95=1,"中压区","高压区")),"Error")</f>
        <v>低压区</v>
      </c>
      <c r="N95" s="10"/>
      <c r="O95" s="4"/>
      <c r="P95" s="4"/>
      <c r="Q95" s="18" t="str">
        <f>数据库!E95</f>
        <v>40207272</v>
      </c>
      <c r="AA95" s="18">
        <f>数据库!I95</f>
        <v>0</v>
      </c>
    </row>
    <row r="96" spans="1:27" ht="15">
      <c r="A96" s="4" t="str">
        <f t="shared" si="2"/>
        <v>095</v>
      </c>
      <c r="B96" s="5" t="s">
        <v>33</v>
      </c>
      <c r="C96" s="6" t="str">
        <f>数据库!B96&amp;"号楼"</f>
        <v>13A号楼</v>
      </c>
      <c r="D96" s="15" t="str">
        <f>NUMBERSTRING(数据库!C96,3)&amp;"单元"</f>
        <v>三单元</v>
      </c>
      <c r="E96" s="6">
        <f>数据库!D96</f>
        <v>501</v>
      </c>
      <c r="F96" s="4"/>
      <c r="G96" s="6">
        <f t="shared" si="3"/>
        <v>501</v>
      </c>
      <c r="H96" s="4"/>
      <c r="I96" s="9"/>
      <c r="J96" s="4"/>
      <c r="K96" s="4"/>
      <c r="L96" s="10"/>
      <c r="M96" s="10" t="str">
        <f>IFERROR(IF(数据库!F96=0,"低压区",IF(数据库!F96=1,"中压区","高压区")),"Error")</f>
        <v>低压区</v>
      </c>
      <c r="N96" s="10"/>
      <c r="O96" s="4"/>
      <c r="P96" s="4"/>
      <c r="Q96" s="18" t="str">
        <f>数据库!E96</f>
        <v>40187920</v>
      </c>
      <c r="AA96" s="18">
        <f>数据库!I96</f>
        <v>0</v>
      </c>
    </row>
    <row r="97" spans="1:27" ht="15">
      <c r="A97" s="4" t="str">
        <f t="shared" si="2"/>
        <v>096</v>
      </c>
      <c r="B97" s="5" t="s">
        <v>33</v>
      </c>
      <c r="C97" s="6" t="str">
        <f>数据库!B97&amp;"号楼"</f>
        <v>13A号楼</v>
      </c>
      <c r="D97" s="15" t="str">
        <f>NUMBERSTRING(数据库!C97,3)&amp;"单元"</f>
        <v>三单元</v>
      </c>
      <c r="E97" s="6">
        <f>数据库!D97</f>
        <v>502</v>
      </c>
      <c r="F97" s="4"/>
      <c r="G97" s="6">
        <f t="shared" si="3"/>
        <v>502</v>
      </c>
      <c r="H97" s="4"/>
      <c r="I97" s="9"/>
      <c r="J97" s="4"/>
      <c r="K97" s="4"/>
      <c r="L97" s="10"/>
      <c r="M97" s="10" t="str">
        <f>IFERROR(IF(数据库!F97=0,"低压区",IF(数据库!F97=1,"中压区","高压区")),"Error")</f>
        <v>低压区</v>
      </c>
      <c r="N97" s="10"/>
      <c r="O97" s="4"/>
      <c r="P97" s="4"/>
      <c r="Q97" s="18" t="str">
        <f>数据库!E97</f>
        <v>40121911</v>
      </c>
      <c r="AA97" s="18">
        <f>数据库!I97</f>
        <v>0</v>
      </c>
    </row>
    <row r="98" spans="1:27" ht="15">
      <c r="A98" s="4" t="str">
        <f t="shared" si="2"/>
        <v>097</v>
      </c>
      <c r="B98" s="5" t="s">
        <v>33</v>
      </c>
      <c r="C98" s="6" t="str">
        <f>数据库!B98&amp;"号楼"</f>
        <v>13B号楼</v>
      </c>
      <c r="D98" s="15" t="str">
        <f>NUMBERSTRING(数据库!C98,3)&amp;"单元"</f>
        <v>一单元</v>
      </c>
      <c r="E98" s="6">
        <f>数据库!D98</f>
        <v>101</v>
      </c>
      <c r="F98" s="4"/>
      <c r="G98" s="6">
        <f t="shared" si="3"/>
        <v>101</v>
      </c>
      <c r="H98" s="4"/>
      <c r="I98" s="9"/>
      <c r="J98" s="4"/>
      <c r="K98" s="4"/>
      <c r="L98" s="10"/>
      <c r="M98" s="10" t="str">
        <f>IFERROR(IF(数据库!F98=0,"低压区",IF(数据库!F98=1,"中压区","高压区")),"Error")</f>
        <v>低压区</v>
      </c>
      <c r="N98" s="10"/>
      <c r="O98" s="4"/>
      <c r="P98" s="4"/>
      <c r="Q98" s="18" t="str">
        <f>数据库!E98</f>
        <v>40160620</v>
      </c>
      <c r="AA98" s="18">
        <f>数据库!I98</f>
        <v>0</v>
      </c>
    </row>
    <row r="99" spans="1:27" ht="15">
      <c r="A99" s="4" t="str">
        <f t="shared" si="2"/>
        <v>098</v>
      </c>
      <c r="B99" s="5" t="s">
        <v>33</v>
      </c>
      <c r="C99" s="6" t="str">
        <f>数据库!B99&amp;"号楼"</f>
        <v>13B号楼</v>
      </c>
      <c r="D99" s="15" t="str">
        <f>NUMBERSTRING(数据库!C99,3)&amp;"单元"</f>
        <v>一单元</v>
      </c>
      <c r="E99" s="6">
        <f>数据库!D99</f>
        <v>102</v>
      </c>
      <c r="F99" s="4"/>
      <c r="G99" s="6">
        <f t="shared" si="3"/>
        <v>102</v>
      </c>
      <c r="H99" s="4"/>
      <c r="I99" s="9"/>
      <c r="J99" s="4"/>
      <c r="K99" s="4"/>
      <c r="L99" s="10"/>
      <c r="M99" s="10" t="str">
        <f>IFERROR(IF(数据库!F99=0,"低压区",IF(数据库!F99=1,"中压区","高压区")),"Error")</f>
        <v>低压区</v>
      </c>
      <c r="N99" s="10"/>
      <c r="O99" s="4"/>
      <c r="P99" s="4"/>
      <c r="Q99" s="18" t="str">
        <f>数据库!E99</f>
        <v>40161370</v>
      </c>
      <c r="AA99" s="18">
        <f>数据库!I99</f>
        <v>0</v>
      </c>
    </row>
    <row r="100" spans="1:27" ht="15">
      <c r="A100" s="4" t="str">
        <f t="shared" si="2"/>
        <v>099</v>
      </c>
      <c r="B100" s="5" t="s">
        <v>33</v>
      </c>
      <c r="C100" s="6" t="str">
        <f>数据库!B100&amp;"号楼"</f>
        <v>13B号楼</v>
      </c>
      <c r="D100" s="15" t="str">
        <f>NUMBERSTRING(数据库!C100,3)&amp;"单元"</f>
        <v>一单元</v>
      </c>
      <c r="E100" s="6">
        <f>数据库!D100</f>
        <v>501</v>
      </c>
      <c r="F100" s="4"/>
      <c r="G100" s="6">
        <f t="shared" si="3"/>
        <v>501</v>
      </c>
      <c r="H100" s="4"/>
      <c r="I100" s="9"/>
      <c r="J100" s="4"/>
      <c r="K100" s="4"/>
      <c r="L100" s="10"/>
      <c r="M100" s="10" t="str">
        <f>IFERROR(IF(数据库!F100=0,"低压区",IF(数据库!F100=1,"中压区","高压区")),"Error")</f>
        <v>低压区</v>
      </c>
      <c r="N100" s="10"/>
      <c r="O100" s="4"/>
      <c r="P100" s="4"/>
      <c r="Q100" s="18" t="str">
        <f>数据库!E100</f>
        <v>40175339</v>
      </c>
      <c r="AA100" s="18">
        <f>数据库!I100</f>
        <v>0</v>
      </c>
    </row>
    <row r="101" spans="1:27" ht="15">
      <c r="A101" s="4" t="str">
        <f t="shared" si="2"/>
        <v>100</v>
      </c>
      <c r="B101" s="5" t="s">
        <v>33</v>
      </c>
      <c r="C101" s="6" t="str">
        <f>数据库!B101&amp;"号楼"</f>
        <v>13B号楼</v>
      </c>
      <c r="D101" s="15" t="str">
        <f>NUMBERSTRING(数据库!C101,3)&amp;"单元"</f>
        <v>一单元</v>
      </c>
      <c r="E101" s="6">
        <f>数据库!D101</f>
        <v>502</v>
      </c>
      <c r="F101" s="4"/>
      <c r="G101" s="6">
        <f t="shared" si="3"/>
        <v>502</v>
      </c>
      <c r="H101" s="4"/>
      <c r="I101" s="9"/>
      <c r="J101" s="4"/>
      <c r="K101" s="4"/>
      <c r="L101" s="10"/>
      <c r="M101" s="10" t="str">
        <f>IFERROR(IF(数据库!F101=0,"低压区",IF(数据库!F101=1,"中压区","高压区")),"Error")</f>
        <v>低压区</v>
      </c>
      <c r="N101" s="10"/>
      <c r="O101" s="4"/>
      <c r="P101" s="4"/>
      <c r="Q101" s="18" t="str">
        <f>数据库!E101</f>
        <v>40118925</v>
      </c>
      <c r="AA101" s="18">
        <f>数据库!I101</f>
        <v>0</v>
      </c>
    </row>
    <row r="102" spans="1:27" ht="15">
      <c r="A102" s="4" t="str">
        <f t="shared" si="2"/>
        <v>101</v>
      </c>
      <c r="B102" s="5" t="s">
        <v>33</v>
      </c>
      <c r="C102" s="6" t="str">
        <f>数据库!B102&amp;"号楼"</f>
        <v>13B号楼</v>
      </c>
      <c r="D102" s="15" t="str">
        <f>NUMBERSTRING(数据库!C102,3)&amp;"单元"</f>
        <v>二单元</v>
      </c>
      <c r="E102" s="6">
        <f>数据库!D102</f>
        <v>101</v>
      </c>
      <c r="F102" s="4"/>
      <c r="G102" s="6">
        <f t="shared" si="3"/>
        <v>101</v>
      </c>
      <c r="H102" s="4"/>
      <c r="I102" s="9"/>
      <c r="J102" s="4"/>
      <c r="K102" s="4"/>
      <c r="L102" s="10"/>
      <c r="M102" s="10" t="str">
        <f>IFERROR(IF(数据库!F102=0,"低压区",IF(数据库!F102=1,"中压区","高压区")),"Error")</f>
        <v>低压区</v>
      </c>
      <c r="N102" s="10"/>
      <c r="O102" s="4"/>
      <c r="P102" s="4"/>
      <c r="Q102" s="18" t="str">
        <f>数据库!E102</f>
        <v>40132629</v>
      </c>
      <c r="AA102" s="18">
        <f>数据库!I102</f>
        <v>0</v>
      </c>
    </row>
    <row r="103" spans="1:27" ht="15">
      <c r="A103" s="4" t="str">
        <f t="shared" si="2"/>
        <v>102</v>
      </c>
      <c r="B103" s="5" t="s">
        <v>33</v>
      </c>
      <c r="C103" s="6" t="str">
        <f>数据库!B103&amp;"号楼"</f>
        <v>13B号楼</v>
      </c>
      <c r="D103" s="15" t="str">
        <f>NUMBERSTRING(数据库!C103,3)&amp;"单元"</f>
        <v>二单元</v>
      </c>
      <c r="E103" s="6">
        <f>数据库!D103</f>
        <v>102</v>
      </c>
      <c r="F103" s="4"/>
      <c r="G103" s="6">
        <f t="shared" si="3"/>
        <v>102</v>
      </c>
      <c r="H103" s="4"/>
      <c r="I103" s="9"/>
      <c r="J103" s="4"/>
      <c r="K103" s="4"/>
      <c r="L103" s="10"/>
      <c r="M103" s="10" t="str">
        <f>IFERROR(IF(数据库!F103=0,"低压区",IF(数据库!F103=1,"中压区","高压区")),"Error")</f>
        <v>低压区</v>
      </c>
      <c r="N103" s="10"/>
      <c r="O103" s="4"/>
      <c r="P103" s="4"/>
      <c r="Q103" s="18" t="str">
        <f>数据库!E103</f>
        <v>40136018</v>
      </c>
      <c r="AA103" s="18">
        <f>数据库!I103</f>
        <v>0</v>
      </c>
    </row>
    <row r="104" spans="1:27" ht="15">
      <c r="A104" s="4" t="str">
        <f t="shared" si="2"/>
        <v>103</v>
      </c>
      <c r="B104" s="5" t="s">
        <v>33</v>
      </c>
      <c r="C104" s="6" t="str">
        <f>数据库!B104&amp;"号楼"</f>
        <v>13B号楼</v>
      </c>
      <c r="D104" s="15" t="str">
        <f>NUMBERSTRING(数据库!C104,3)&amp;"单元"</f>
        <v>二单元</v>
      </c>
      <c r="E104" s="6">
        <f>数据库!D104</f>
        <v>501</v>
      </c>
      <c r="F104" s="4"/>
      <c r="G104" s="6">
        <f t="shared" si="3"/>
        <v>501</v>
      </c>
      <c r="H104" s="4"/>
      <c r="I104" s="9"/>
      <c r="J104" s="4"/>
      <c r="K104" s="4"/>
      <c r="L104" s="10"/>
      <c r="M104" s="10" t="str">
        <f>IFERROR(IF(数据库!F104=0,"低压区",IF(数据库!F104=1,"中压区","高压区")),"Error")</f>
        <v>低压区</v>
      </c>
      <c r="N104" s="10"/>
      <c r="O104" s="4"/>
      <c r="P104" s="4"/>
      <c r="Q104" s="18" t="str">
        <f>数据库!E104</f>
        <v>40176287</v>
      </c>
      <c r="AA104" s="18">
        <f>数据库!I104</f>
        <v>0</v>
      </c>
    </row>
    <row r="105" spans="1:27" ht="15">
      <c r="A105" s="4" t="str">
        <f t="shared" si="2"/>
        <v>104</v>
      </c>
      <c r="B105" s="5" t="s">
        <v>33</v>
      </c>
      <c r="C105" s="6" t="str">
        <f>数据库!B105&amp;"号楼"</f>
        <v>13B号楼</v>
      </c>
      <c r="D105" s="15" t="str">
        <f>NUMBERSTRING(数据库!C105,3)&amp;"单元"</f>
        <v>二单元</v>
      </c>
      <c r="E105" s="6">
        <f>数据库!D105</f>
        <v>502</v>
      </c>
      <c r="F105" s="4"/>
      <c r="G105" s="6">
        <f t="shared" si="3"/>
        <v>502</v>
      </c>
      <c r="H105" s="4"/>
      <c r="I105" s="9"/>
      <c r="J105" s="4"/>
      <c r="K105" s="4"/>
      <c r="L105" s="10"/>
      <c r="M105" s="10" t="str">
        <f>IFERROR(IF(数据库!F105=0,"低压区",IF(数据库!F105=1,"中压区","高压区")),"Error")</f>
        <v>低压区</v>
      </c>
      <c r="N105" s="10"/>
      <c r="O105" s="4"/>
      <c r="P105" s="4"/>
      <c r="Q105" s="18" t="str">
        <f>数据库!E105</f>
        <v>40176808</v>
      </c>
      <c r="AA105" s="18">
        <f>数据库!I105</f>
        <v>0</v>
      </c>
    </row>
    <row r="106" spans="1:27" ht="15">
      <c r="A106" s="4" t="str">
        <f t="shared" si="2"/>
        <v>105</v>
      </c>
      <c r="B106" s="5" t="s">
        <v>33</v>
      </c>
      <c r="C106" s="6" t="str">
        <f>数据库!B106&amp;"号楼"</f>
        <v>13B号楼</v>
      </c>
      <c r="D106" s="15" t="str">
        <f>NUMBERSTRING(数据库!C106,3)&amp;"单元"</f>
        <v>三单元</v>
      </c>
      <c r="E106" s="6">
        <f>数据库!D106</f>
        <v>101</v>
      </c>
      <c r="F106" s="4"/>
      <c r="G106" s="6">
        <f t="shared" si="3"/>
        <v>101</v>
      </c>
      <c r="H106" s="4"/>
      <c r="I106" s="9"/>
      <c r="J106" s="4"/>
      <c r="K106" s="4"/>
      <c r="L106" s="10"/>
      <c r="M106" s="10" t="str">
        <f>IFERROR(IF(数据库!F106=0,"低压区",IF(数据库!F106=1,"中压区","高压区")),"Error")</f>
        <v>低压区</v>
      </c>
      <c r="N106" s="10"/>
      <c r="O106" s="4"/>
      <c r="P106" s="4"/>
      <c r="Q106" s="18" t="str">
        <f>数据库!E106</f>
        <v>40206928</v>
      </c>
      <c r="AA106" s="18">
        <f>数据库!I106</f>
        <v>0</v>
      </c>
    </row>
    <row r="107" spans="1:27" ht="15">
      <c r="A107" s="4" t="str">
        <f t="shared" si="2"/>
        <v>106</v>
      </c>
      <c r="B107" s="5" t="s">
        <v>33</v>
      </c>
      <c r="C107" s="6" t="str">
        <f>数据库!B107&amp;"号楼"</f>
        <v>13B号楼</v>
      </c>
      <c r="D107" s="15" t="str">
        <f>NUMBERSTRING(数据库!C107,3)&amp;"单元"</f>
        <v>三单元</v>
      </c>
      <c r="E107" s="6">
        <f>数据库!D107</f>
        <v>102</v>
      </c>
      <c r="F107" s="4"/>
      <c r="G107" s="6">
        <f t="shared" si="3"/>
        <v>102</v>
      </c>
      <c r="H107" s="4"/>
      <c r="I107" s="9"/>
      <c r="J107" s="4"/>
      <c r="K107" s="4"/>
      <c r="L107" s="10"/>
      <c r="M107" s="10" t="str">
        <f>IFERROR(IF(数据库!F107=0,"低压区",IF(数据库!F107=1,"中压区","高压区")),"Error")</f>
        <v>低压区</v>
      </c>
      <c r="N107" s="10"/>
      <c r="O107" s="4"/>
      <c r="P107" s="4"/>
      <c r="Q107" s="18" t="str">
        <f>数据库!E107</f>
        <v>40159747</v>
      </c>
      <c r="AA107" s="18">
        <f>数据库!I107</f>
        <v>0</v>
      </c>
    </row>
    <row r="108" spans="1:27" ht="15">
      <c r="A108" s="4" t="str">
        <f t="shared" si="2"/>
        <v>107</v>
      </c>
      <c r="B108" s="5" t="s">
        <v>33</v>
      </c>
      <c r="C108" s="6" t="str">
        <f>数据库!B108&amp;"号楼"</f>
        <v>13B号楼</v>
      </c>
      <c r="D108" s="15" t="str">
        <f>NUMBERSTRING(数据库!C108,3)&amp;"单元"</f>
        <v>三单元</v>
      </c>
      <c r="E108" s="6">
        <f>数据库!D108</f>
        <v>501</v>
      </c>
      <c r="F108" s="4"/>
      <c r="G108" s="6">
        <f t="shared" si="3"/>
        <v>501</v>
      </c>
      <c r="H108" s="4"/>
      <c r="I108" s="9"/>
      <c r="J108" s="4"/>
      <c r="K108" s="4"/>
      <c r="L108" s="10"/>
      <c r="M108" s="10" t="str">
        <f>IFERROR(IF(数据库!F108=0,"低压区",IF(数据库!F108=1,"中压区","高压区")),"Error")</f>
        <v>低压区</v>
      </c>
      <c r="N108" s="10"/>
      <c r="O108" s="4"/>
      <c r="P108" s="4"/>
      <c r="Q108" s="18" t="str">
        <f>数据库!E108</f>
        <v>40205664</v>
      </c>
      <c r="AA108" s="18">
        <f>数据库!I108</f>
        <v>0</v>
      </c>
    </row>
    <row r="109" spans="1:27" ht="15">
      <c r="A109" s="4" t="str">
        <f t="shared" si="2"/>
        <v>108</v>
      </c>
      <c r="B109" s="5" t="s">
        <v>33</v>
      </c>
      <c r="C109" s="6" t="str">
        <f>数据库!B109&amp;"号楼"</f>
        <v>13B号楼</v>
      </c>
      <c r="D109" s="15" t="str">
        <f>NUMBERSTRING(数据库!C109,3)&amp;"单元"</f>
        <v>三单元</v>
      </c>
      <c r="E109" s="6">
        <f>数据库!D109</f>
        <v>502</v>
      </c>
      <c r="F109" s="4"/>
      <c r="G109" s="6">
        <f t="shared" si="3"/>
        <v>502</v>
      </c>
      <c r="H109" s="4"/>
      <c r="I109" s="9"/>
      <c r="J109" s="4"/>
      <c r="K109" s="4"/>
      <c r="L109" s="10"/>
      <c r="M109" s="10" t="str">
        <f>IFERROR(IF(数据库!F109=0,"低压区",IF(数据库!F109=1,"中压区","高压区")),"Error")</f>
        <v>低压区</v>
      </c>
      <c r="N109" s="10"/>
      <c r="O109" s="4"/>
      <c r="P109" s="4"/>
      <c r="Q109" s="18" t="str">
        <f>数据库!E109</f>
        <v>40176261</v>
      </c>
      <c r="AA109" s="18">
        <f>数据库!I109</f>
        <v>0</v>
      </c>
    </row>
    <row r="110" spans="1:27" ht="15">
      <c r="A110" s="4" t="str">
        <f t="shared" si="2"/>
        <v>109</v>
      </c>
      <c r="B110" s="5" t="s">
        <v>33</v>
      </c>
      <c r="C110" s="6" t="str">
        <f>数据库!B110&amp;"号楼"</f>
        <v>13C号楼</v>
      </c>
      <c r="D110" s="15" t="str">
        <f>NUMBERSTRING(数据库!C110,3)&amp;"单元"</f>
        <v>一单元</v>
      </c>
      <c r="E110" s="6">
        <f>数据库!D110</f>
        <v>101</v>
      </c>
      <c r="F110" s="4"/>
      <c r="G110" s="6">
        <f t="shared" si="3"/>
        <v>101</v>
      </c>
      <c r="H110" s="4"/>
      <c r="I110" s="9"/>
      <c r="J110" s="4"/>
      <c r="K110" s="4"/>
      <c r="L110" s="10"/>
      <c r="M110" s="10" t="str">
        <f>IFERROR(IF(数据库!F110=0,"低压区",IF(数据库!F110=1,"中压区","高压区")),"Error")</f>
        <v>低压区</v>
      </c>
      <c r="N110" s="10"/>
      <c r="O110" s="4"/>
      <c r="P110" s="4"/>
      <c r="Q110" s="18" t="str">
        <f>数据库!E110</f>
        <v>40139814</v>
      </c>
      <c r="AA110" s="18">
        <f>数据库!I110</f>
        <v>0</v>
      </c>
    </row>
    <row r="111" spans="1:27" ht="15">
      <c r="A111" s="4" t="str">
        <f t="shared" si="2"/>
        <v>110</v>
      </c>
      <c r="B111" s="5" t="s">
        <v>33</v>
      </c>
      <c r="C111" s="6" t="str">
        <f>数据库!B111&amp;"号楼"</f>
        <v>13C号楼</v>
      </c>
      <c r="D111" s="15" t="str">
        <f>NUMBERSTRING(数据库!C111,3)&amp;"单元"</f>
        <v>一单元</v>
      </c>
      <c r="E111" s="6">
        <f>数据库!D111</f>
        <v>102</v>
      </c>
      <c r="F111" s="4"/>
      <c r="G111" s="6">
        <f t="shared" si="3"/>
        <v>102</v>
      </c>
      <c r="H111" s="4"/>
      <c r="I111" s="9"/>
      <c r="J111" s="4"/>
      <c r="K111" s="4"/>
      <c r="L111" s="10"/>
      <c r="M111" s="10" t="str">
        <f>IFERROR(IF(数据库!F111=0,"低压区",IF(数据库!F111=1,"中压区","高压区")),"Error")</f>
        <v>低压区</v>
      </c>
      <c r="N111" s="10"/>
      <c r="O111" s="4"/>
      <c r="P111" s="4"/>
      <c r="Q111" s="18" t="str">
        <f>数据库!E111</f>
        <v>40159861</v>
      </c>
      <c r="AA111" s="18">
        <f>数据库!I111</f>
        <v>0</v>
      </c>
    </row>
    <row r="112" spans="1:27" ht="15">
      <c r="A112" s="4" t="str">
        <f t="shared" si="2"/>
        <v>111</v>
      </c>
      <c r="B112" s="5" t="s">
        <v>33</v>
      </c>
      <c r="C112" s="6" t="str">
        <f>数据库!B112&amp;"号楼"</f>
        <v>13C号楼</v>
      </c>
      <c r="D112" s="15" t="str">
        <f>NUMBERSTRING(数据库!C112,3)&amp;"单元"</f>
        <v>一单元</v>
      </c>
      <c r="E112" s="6">
        <f>数据库!D112</f>
        <v>601</v>
      </c>
      <c r="F112" s="4"/>
      <c r="G112" s="6">
        <f t="shared" si="3"/>
        <v>601</v>
      </c>
      <c r="H112" s="4"/>
      <c r="I112" s="9"/>
      <c r="J112" s="4"/>
      <c r="K112" s="4"/>
      <c r="L112" s="10"/>
      <c r="M112" s="10" t="str">
        <f>IFERROR(IF(数据库!F112=0,"低压区",IF(数据库!F112=1,"中压区","高压区")),"Error")</f>
        <v>低压区</v>
      </c>
      <c r="N112" s="10"/>
      <c r="O112" s="4"/>
      <c r="P112" s="4"/>
      <c r="Q112" s="18" t="str">
        <f>数据库!E112</f>
        <v>40122018</v>
      </c>
      <c r="AA112" s="18">
        <f>数据库!I112</f>
        <v>0</v>
      </c>
    </row>
    <row r="113" spans="1:27" ht="15">
      <c r="A113" s="4" t="str">
        <f t="shared" si="2"/>
        <v>112</v>
      </c>
      <c r="B113" s="5" t="s">
        <v>33</v>
      </c>
      <c r="C113" s="6" t="str">
        <f>数据库!B113&amp;"号楼"</f>
        <v>13C号楼</v>
      </c>
      <c r="D113" s="15" t="str">
        <f>NUMBERSTRING(数据库!C113,3)&amp;"单元"</f>
        <v>一单元</v>
      </c>
      <c r="E113" s="6">
        <f>数据库!D113</f>
        <v>602</v>
      </c>
      <c r="F113" s="4"/>
      <c r="G113" s="6">
        <f t="shared" si="3"/>
        <v>602</v>
      </c>
      <c r="H113" s="4"/>
      <c r="I113" s="9"/>
      <c r="J113" s="4"/>
      <c r="K113" s="4"/>
      <c r="L113" s="10"/>
      <c r="M113" s="10" t="str">
        <f>IFERROR(IF(数据库!F113=0,"低压区",IF(数据库!F113=1,"中压区","高压区")),"Error")</f>
        <v>低压区</v>
      </c>
      <c r="N113" s="10"/>
      <c r="O113" s="4"/>
      <c r="P113" s="4"/>
      <c r="Q113" s="18" t="str">
        <f>数据库!E113</f>
        <v>40128564</v>
      </c>
      <c r="AA113" s="18">
        <f>数据库!I113</f>
        <v>0</v>
      </c>
    </row>
    <row r="114" spans="1:27" ht="15">
      <c r="A114" s="4" t="str">
        <f t="shared" si="2"/>
        <v>113</v>
      </c>
      <c r="B114" s="5" t="s">
        <v>33</v>
      </c>
      <c r="C114" s="6" t="str">
        <f>数据库!B114&amp;"号楼"</f>
        <v>13C号楼</v>
      </c>
      <c r="D114" s="15" t="str">
        <f>NUMBERSTRING(数据库!C114,3)&amp;"单元"</f>
        <v>二单元</v>
      </c>
      <c r="E114" s="6">
        <f>数据库!D114</f>
        <v>101</v>
      </c>
      <c r="F114" s="4"/>
      <c r="G114" s="6">
        <f t="shared" si="3"/>
        <v>101</v>
      </c>
      <c r="H114" s="4"/>
      <c r="I114" s="9"/>
      <c r="J114" s="4"/>
      <c r="K114" s="4"/>
      <c r="L114" s="10"/>
      <c r="M114" s="10" t="str">
        <f>IFERROR(IF(数据库!F114=0,"低压区",IF(数据库!F114=1,"中压区","高压区")),"Error")</f>
        <v>低压区</v>
      </c>
      <c r="N114" s="10"/>
      <c r="O114" s="4"/>
      <c r="P114" s="4"/>
      <c r="Q114" s="18" t="str">
        <f>数据库!E114</f>
        <v>40189132</v>
      </c>
      <c r="AA114" s="18">
        <f>数据库!I114</f>
        <v>0</v>
      </c>
    </row>
    <row r="115" spans="1:27" ht="15">
      <c r="A115" s="4" t="str">
        <f t="shared" si="2"/>
        <v>114</v>
      </c>
      <c r="B115" s="5" t="s">
        <v>33</v>
      </c>
      <c r="C115" s="6" t="str">
        <f>数据库!B115&amp;"号楼"</f>
        <v>13C号楼</v>
      </c>
      <c r="D115" s="15" t="str">
        <f>NUMBERSTRING(数据库!C115,3)&amp;"单元"</f>
        <v>二单元</v>
      </c>
      <c r="E115" s="6">
        <f>数据库!D115</f>
        <v>102</v>
      </c>
      <c r="F115" s="4"/>
      <c r="G115" s="6">
        <f t="shared" si="3"/>
        <v>102</v>
      </c>
      <c r="H115" s="4"/>
      <c r="I115" s="9"/>
      <c r="J115" s="4"/>
      <c r="K115" s="4"/>
      <c r="L115" s="10"/>
      <c r="M115" s="10" t="str">
        <f>IFERROR(IF(数据库!F115=0,"低压区",IF(数据库!F115=1,"中压区","高压区")),"Error")</f>
        <v>低压区</v>
      </c>
      <c r="N115" s="10"/>
      <c r="O115" s="4"/>
      <c r="P115" s="4"/>
      <c r="Q115" s="18" t="str">
        <f>数据库!E115</f>
        <v>40188308</v>
      </c>
      <c r="AA115" s="18">
        <f>数据库!I115</f>
        <v>0</v>
      </c>
    </row>
    <row r="116" spans="1:27" ht="15">
      <c r="A116" s="4" t="str">
        <f t="shared" si="2"/>
        <v>115</v>
      </c>
      <c r="B116" s="5" t="s">
        <v>33</v>
      </c>
      <c r="C116" s="6" t="str">
        <f>数据库!B116&amp;"号楼"</f>
        <v>13C号楼</v>
      </c>
      <c r="D116" s="15" t="str">
        <f>NUMBERSTRING(数据库!C116,3)&amp;"单元"</f>
        <v>二单元</v>
      </c>
      <c r="E116" s="6">
        <f>数据库!D116</f>
        <v>601</v>
      </c>
      <c r="F116" s="4"/>
      <c r="G116" s="6">
        <f t="shared" si="3"/>
        <v>601</v>
      </c>
      <c r="H116" s="4"/>
      <c r="I116" s="9"/>
      <c r="J116" s="4"/>
      <c r="K116" s="4"/>
      <c r="L116" s="10"/>
      <c r="M116" s="10" t="str">
        <f>IFERROR(IF(数据库!F116=0,"低压区",IF(数据库!F116=1,"中压区","高压区")),"Error")</f>
        <v>低压区</v>
      </c>
      <c r="N116" s="10"/>
      <c r="O116" s="4"/>
      <c r="P116" s="4"/>
      <c r="Q116" s="18" t="str">
        <f>数据库!E116</f>
        <v>40181923</v>
      </c>
      <c r="AA116" s="18">
        <f>数据库!I116</f>
        <v>0</v>
      </c>
    </row>
    <row r="117" spans="1:27" ht="15">
      <c r="A117" s="4" t="str">
        <f t="shared" si="2"/>
        <v>116</v>
      </c>
      <c r="B117" s="5" t="s">
        <v>33</v>
      </c>
      <c r="C117" s="6" t="str">
        <f>数据库!B117&amp;"号楼"</f>
        <v>13C号楼</v>
      </c>
      <c r="D117" s="15" t="str">
        <f>NUMBERSTRING(数据库!C117,3)&amp;"单元"</f>
        <v>二单元</v>
      </c>
      <c r="E117" s="6">
        <f>数据库!D117</f>
        <v>602</v>
      </c>
      <c r="F117" s="4"/>
      <c r="G117" s="6">
        <f t="shared" si="3"/>
        <v>602</v>
      </c>
      <c r="H117" s="4"/>
      <c r="I117" s="9"/>
      <c r="J117" s="4"/>
      <c r="K117" s="4"/>
      <c r="L117" s="10"/>
      <c r="M117" s="10" t="str">
        <f>IFERROR(IF(数据库!F117=0,"低压区",IF(数据库!F117=1,"中压区","高压区")),"Error")</f>
        <v>低压区</v>
      </c>
      <c r="N117" s="10"/>
      <c r="O117" s="4"/>
      <c r="P117" s="4"/>
      <c r="Q117" s="18" t="str">
        <f>数据库!E117</f>
        <v>40188167</v>
      </c>
      <c r="AA117" s="18">
        <f>数据库!I117</f>
        <v>0</v>
      </c>
    </row>
    <row r="118" spans="1:27" ht="15">
      <c r="A118" s="4" t="str">
        <f t="shared" si="2"/>
        <v>117</v>
      </c>
      <c r="B118" s="5" t="s">
        <v>33</v>
      </c>
      <c r="C118" s="6" t="str">
        <f>数据库!B118&amp;"号楼"</f>
        <v>13C号楼</v>
      </c>
      <c r="D118" s="15" t="str">
        <f>NUMBERSTRING(数据库!C118,3)&amp;"单元"</f>
        <v>三单元</v>
      </c>
      <c r="E118" s="6">
        <f>数据库!D118</f>
        <v>101</v>
      </c>
      <c r="F118" s="4"/>
      <c r="G118" s="6">
        <f t="shared" si="3"/>
        <v>101</v>
      </c>
      <c r="H118" s="4"/>
      <c r="I118" s="9"/>
      <c r="J118" s="4"/>
      <c r="K118" s="4"/>
      <c r="L118" s="10"/>
      <c r="M118" s="10" t="str">
        <f>IFERROR(IF(数据库!F118=0,"低压区",IF(数据库!F118=1,"中压区","高压区")),"Error")</f>
        <v>低压区</v>
      </c>
      <c r="N118" s="10"/>
      <c r="O118" s="4"/>
      <c r="P118" s="4"/>
      <c r="Q118" s="18" t="str">
        <f>数据库!E118</f>
        <v>40200053</v>
      </c>
      <c r="AA118" s="18">
        <f>数据库!I118</f>
        <v>0</v>
      </c>
    </row>
    <row r="119" spans="1:27" ht="15">
      <c r="A119" s="4" t="str">
        <f t="shared" si="2"/>
        <v>118</v>
      </c>
      <c r="B119" s="5" t="s">
        <v>33</v>
      </c>
      <c r="C119" s="6" t="str">
        <f>数据库!B119&amp;"号楼"</f>
        <v>13C号楼</v>
      </c>
      <c r="D119" s="15" t="str">
        <f>NUMBERSTRING(数据库!C119,3)&amp;"单元"</f>
        <v>三单元</v>
      </c>
      <c r="E119" s="6">
        <f>数据库!D119</f>
        <v>102</v>
      </c>
      <c r="F119" s="4"/>
      <c r="G119" s="6">
        <f t="shared" si="3"/>
        <v>102</v>
      </c>
      <c r="H119" s="4"/>
      <c r="I119" s="9"/>
      <c r="J119" s="4"/>
      <c r="K119" s="4"/>
      <c r="L119" s="10"/>
      <c r="M119" s="10" t="str">
        <f>IFERROR(IF(数据库!F119=0,"低压区",IF(数据库!F119=1,"中压区","高压区")),"Error")</f>
        <v>低压区</v>
      </c>
      <c r="N119" s="10"/>
      <c r="O119" s="4"/>
      <c r="P119" s="4"/>
      <c r="Q119" s="18" t="str">
        <f>数据库!E119</f>
        <v>40175354</v>
      </c>
      <c r="AA119" s="18">
        <f>数据库!I119</f>
        <v>0</v>
      </c>
    </row>
    <row r="120" spans="1:27" ht="15">
      <c r="A120" s="4" t="str">
        <f t="shared" si="2"/>
        <v>119</v>
      </c>
      <c r="B120" s="5" t="s">
        <v>33</v>
      </c>
      <c r="C120" s="6" t="str">
        <f>数据库!B120&amp;"号楼"</f>
        <v>13C号楼</v>
      </c>
      <c r="D120" s="15" t="str">
        <f>NUMBERSTRING(数据库!C120,3)&amp;"单元"</f>
        <v>三单元</v>
      </c>
      <c r="E120" s="6">
        <f>数据库!D120</f>
        <v>601</v>
      </c>
      <c r="F120" s="4"/>
      <c r="G120" s="6">
        <f t="shared" si="3"/>
        <v>601</v>
      </c>
      <c r="H120" s="4"/>
      <c r="I120" s="9"/>
      <c r="J120" s="4"/>
      <c r="K120" s="4"/>
      <c r="L120" s="10"/>
      <c r="M120" s="10" t="str">
        <f>IFERROR(IF(数据库!F120=0,"低压区",IF(数据库!F120=1,"中压区","高压区")),"Error")</f>
        <v>低压区</v>
      </c>
      <c r="N120" s="10"/>
      <c r="O120" s="4"/>
      <c r="P120" s="4"/>
      <c r="Q120" s="18" t="str">
        <f>数据库!E120</f>
        <v>40187789</v>
      </c>
      <c r="AA120" s="18">
        <f>数据库!I120</f>
        <v>0</v>
      </c>
    </row>
    <row r="121" spans="1:27" ht="15">
      <c r="A121" s="4" t="str">
        <f t="shared" si="2"/>
        <v>120</v>
      </c>
      <c r="B121" s="5" t="s">
        <v>33</v>
      </c>
      <c r="C121" s="6" t="str">
        <f>数据库!B121&amp;"号楼"</f>
        <v>13C号楼</v>
      </c>
      <c r="D121" s="15" t="str">
        <f>NUMBERSTRING(数据库!C121,3)&amp;"单元"</f>
        <v>三单元</v>
      </c>
      <c r="E121" s="6">
        <f>数据库!D121</f>
        <v>602</v>
      </c>
      <c r="F121" s="4"/>
      <c r="G121" s="6">
        <f t="shared" si="3"/>
        <v>602</v>
      </c>
      <c r="H121" s="4"/>
      <c r="I121" s="9"/>
      <c r="J121" s="4"/>
      <c r="K121" s="4"/>
      <c r="L121" s="10"/>
      <c r="M121" s="10" t="str">
        <f>IFERROR(IF(数据库!F121=0,"低压区",IF(数据库!F121=1,"中压区","高压区")),"Error")</f>
        <v>低压区</v>
      </c>
      <c r="N121" s="10"/>
      <c r="O121" s="4"/>
      <c r="P121" s="4"/>
      <c r="Q121" s="18" t="str">
        <f>数据库!E121</f>
        <v>40182079</v>
      </c>
      <c r="AA121" s="18">
        <f>数据库!I121</f>
        <v>0</v>
      </c>
    </row>
    <row r="122" spans="1:27" ht="15">
      <c r="A122" s="4" t="str">
        <f t="shared" si="2"/>
        <v>121</v>
      </c>
      <c r="B122" s="5" t="s">
        <v>33</v>
      </c>
      <c r="C122" s="6" t="str">
        <f>数据库!B122&amp;"号楼"</f>
        <v>51号楼</v>
      </c>
      <c r="D122" s="15" t="str">
        <f>NUMBERSTRING(数据库!C122,3)&amp;"单元"</f>
        <v>一单元</v>
      </c>
      <c r="E122" s="6">
        <f>数据库!D122</f>
        <v>101</v>
      </c>
      <c r="F122" s="4"/>
      <c r="G122" s="6">
        <f t="shared" si="3"/>
        <v>101</v>
      </c>
      <c r="H122" s="4"/>
      <c r="I122" s="9"/>
      <c r="J122" s="4"/>
      <c r="K122" s="4"/>
      <c r="L122" s="10"/>
      <c r="M122" s="10" t="str">
        <f>IFERROR(IF(数据库!F122=0,"低压区",IF(数据库!F122=1,"中压区","高压区")),"Error")</f>
        <v>低压区</v>
      </c>
      <c r="N122" s="10"/>
      <c r="O122" s="4"/>
      <c r="P122" s="4"/>
      <c r="Q122" s="18" t="str">
        <f>数据库!E122</f>
        <v>40178762</v>
      </c>
      <c r="AA122" s="18">
        <f>数据库!I122</f>
        <v>0</v>
      </c>
    </row>
    <row r="123" spans="1:27" ht="15">
      <c r="A123" s="4" t="str">
        <f t="shared" si="2"/>
        <v>122</v>
      </c>
      <c r="B123" s="5" t="s">
        <v>33</v>
      </c>
      <c r="C123" s="6" t="str">
        <f>数据库!B123&amp;"号楼"</f>
        <v>51号楼</v>
      </c>
      <c r="D123" s="15" t="str">
        <f>NUMBERSTRING(数据库!C123,3)&amp;"单元"</f>
        <v>一单元</v>
      </c>
      <c r="E123" s="6">
        <f>数据库!D123</f>
        <v>103</v>
      </c>
      <c r="F123" s="4"/>
      <c r="G123" s="6">
        <f t="shared" si="3"/>
        <v>103</v>
      </c>
      <c r="H123" s="4"/>
      <c r="I123" s="9"/>
      <c r="J123" s="4"/>
      <c r="K123" s="4"/>
      <c r="L123" s="10"/>
      <c r="M123" s="10" t="str">
        <f>IFERROR(IF(数据库!F123=0,"低压区",IF(数据库!F123=1,"中压区","高压区")),"Error")</f>
        <v>低压区</v>
      </c>
      <c r="N123" s="10"/>
      <c r="O123" s="4"/>
      <c r="P123" s="4"/>
      <c r="Q123" s="18" t="str">
        <f>数据库!E123</f>
        <v>40121697</v>
      </c>
      <c r="AA123" s="18">
        <f>数据库!I123</f>
        <v>0</v>
      </c>
    </row>
    <row r="124" spans="1:27" ht="15">
      <c r="A124" s="4" t="str">
        <f t="shared" si="2"/>
        <v>123</v>
      </c>
      <c r="B124" s="5" t="s">
        <v>33</v>
      </c>
      <c r="C124" s="6" t="str">
        <f>数据库!B124&amp;"号楼"</f>
        <v>51号楼</v>
      </c>
      <c r="D124" s="15" t="str">
        <f>NUMBERSTRING(数据库!C124,3)&amp;"单元"</f>
        <v>一单元</v>
      </c>
      <c r="E124" s="6">
        <f>数据库!D124</f>
        <v>102</v>
      </c>
      <c r="F124" s="4"/>
      <c r="G124" s="6">
        <f t="shared" si="3"/>
        <v>102</v>
      </c>
      <c r="H124" s="4"/>
      <c r="I124" s="9"/>
      <c r="J124" s="4"/>
      <c r="K124" s="4"/>
      <c r="L124" s="10"/>
      <c r="M124" s="10" t="str">
        <f>IFERROR(IF(数据库!F124=0,"低压区",IF(数据库!F124=1,"中压区","高压区")),"Error")</f>
        <v>低压区</v>
      </c>
      <c r="N124" s="10"/>
      <c r="O124" s="4"/>
      <c r="P124" s="4"/>
      <c r="Q124" s="18" t="str">
        <f>数据库!E124</f>
        <v>40199750</v>
      </c>
      <c r="AA124" s="18">
        <f>数据库!I124</f>
        <v>0</v>
      </c>
    </row>
    <row r="125" spans="1:27" ht="15">
      <c r="A125" s="4" t="str">
        <f t="shared" si="2"/>
        <v>124</v>
      </c>
      <c r="B125" s="5" t="s">
        <v>33</v>
      </c>
      <c r="C125" s="6" t="str">
        <f>数据库!B125&amp;"号楼"</f>
        <v>51号楼</v>
      </c>
      <c r="D125" s="15" t="str">
        <f>NUMBERSTRING(数据库!C125,3)&amp;"单元"</f>
        <v>一单元</v>
      </c>
      <c r="E125" s="6">
        <f>数据库!D125</f>
        <v>601</v>
      </c>
      <c r="F125" s="4"/>
      <c r="G125" s="6">
        <f t="shared" si="3"/>
        <v>601</v>
      </c>
      <c r="H125" s="4"/>
      <c r="I125" s="9"/>
      <c r="J125" s="4"/>
      <c r="K125" s="4"/>
      <c r="L125" s="10"/>
      <c r="M125" s="10" t="str">
        <f>IFERROR(IF(数据库!F125=0,"低压区",IF(数据库!F125=1,"中压区","高压区")),"Error")</f>
        <v>低压区</v>
      </c>
      <c r="N125" s="10"/>
      <c r="O125" s="4"/>
      <c r="P125" s="4"/>
      <c r="Q125" s="18" t="str">
        <f>数据库!E125</f>
        <v>40193449</v>
      </c>
      <c r="AA125" s="18">
        <f>数据库!I125</f>
        <v>0</v>
      </c>
    </row>
    <row r="126" spans="1:27" ht="15">
      <c r="A126" s="4" t="str">
        <f t="shared" si="2"/>
        <v>125</v>
      </c>
      <c r="B126" s="5" t="s">
        <v>33</v>
      </c>
      <c r="C126" s="6" t="str">
        <f>数据库!B126&amp;"号楼"</f>
        <v>51号楼</v>
      </c>
      <c r="D126" s="15" t="str">
        <f>NUMBERSTRING(数据库!C126,3)&amp;"单元"</f>
        <v>一单元</v>
      </c>
      <c r="E126" s="6">
        <f>数据库!D126</f>
        <v>603</v>
      </c>
      <c r="F126" s="4"/>
      <c r="G126" s="6">
        <f t="shared" si="3"/>
        <v>603</v>
      </c>
      <c r="H126" s="4"/>
      <c r="I126" s="9"/>
      <c r="J126" s="4"/>
      <c r="K126" s="4"/>
      <c r="L126" s="10"/>
      <c r="M126" s="10" t="str">
        <f>IFERROR(IF(数据库!F126=0,"低压区",IF(数据库!F126=1,"中压区","高压区")),"Error")</f>
        <v>低压区</v>
      </c>
      <c r="N126" s="10"/>
      <c r="O126" s="4"/>
      <c r="P126" s="4"/>
      <c r="Q126" s="18" t="str">
        <f>数据库!E126</f>
        <v>40133205</v>
      </c>
      <c r="AA126" s="18">
        <f>数据库!I126</f>
        <v>0</v>
      </c>
    </row>
    <row r="127" spans="1:27" ht="15">
      <c r="A127" s="4" t="str">
        <f t="shared" si="2"/>
        <v>126</v>
      </c>
      <c r="B127" s="5" t="s">
        <v>33</v>
      </c>
      <c r="C127" s="6" t="str">
        <f>数据库!B127&amp;"号楼"</f>
        <v>51号楼</v>
      </c>
      <c r="D127" s="15" t="str">
        <f>NUMBERSTRING(数据库!C127,3)&amp;"单元"</f>
        <v>二单元</v>
      </c>
      <c r="E127" s="6">
        <f>数据库!D127</f>
        <v>101</v>
      </c>
      <c r="F127" s="4"/>
      <c r="G127" s="6">
        <f t="shared" si="3"/>
        <v>101</v>
      </c>
      <c r="H127" s="4"/>
      <c r="I127" s="9"/>
      <c r="J127" s="4"/>
      <c r="K127" s="4"/>
      <c r="L127" s="10"/>
      <c r="M127" s="10" t="str">
        <f>IFERROR(IF(数据库!F127=0,"低压区",IF(数据库!F127=1,"中压区","高压区")),"Error")</f>
        <v>低压区</v>
      </c>
      <c r="N127" s="10"/>
      <c r="O127" s="4"/>
      <c r="P127" s="4"/>
      <c r="Q127" s="18" t="str">
        <f>数据库!E127</f>
        <v>40164382</v>
      </c>
      <c r="AA127" s="18">
        <f>数据库!I127</f>
        <v>0</v>
      </c>
    </row>
    <row r="128" spans="1:27" ht="15">
      <c r="A128" s="4" t="str">
        <f t="shared" si="2"/>
        <v>127</v>
      </c>
      <c r="B128" s="5" t="s">
        <v>33</v>
      </c>
      <c r="C128" s="6" t="str">
        <f>数据库!B128&amp;"号楼"</f>
        <v>51号楼</v>
      </c>
      <c r="D128" s="15" t="str">
        <f>NUMBERSTRING(数据库!C128,3)&amp;"单元"</f>
        <v>二单元</v>
      </c>
      <c r="E128" s="6">
        <f>数据库!D128</f>
        <v>102</v>
      </c>
      <c r="F128" s="4"/>
      <c r="G128" s="6">
        <f t="shared" si="3"/>
        <v>102</v>
      </c>
      <c r="H128" s="4"/>
      <c r="I128" s="9"/>
      <c r="J128" s="4"/>
      <c r="K128" s="4"/>
      <c r="L128" s="10"/>
      <c r="M128" s="10" t="str">
        <f>IFERROR(IF(数据库!F128=0,"低压区",IF(数据库!F128=1,"中压区","高压区")),"Error")</f>
        <v>低压区</v>
      </c>
      <c r="N128" s="10"/>
      <c r="O128" s="4"/>
      <c r="P128" s="4"/>
      <c r="Q128" s="18" t="str">
        <f>数据库!E128</f>
        <v>40175735</v>
      </c>
      <c r="AA128" s="18">
        <f>数据库!I128</f>
        <v>0</v>
      </c>
    </row>
    <row r="129" spans="1:27" ht="15">
      <c r="A129" s="4" t="str">
        <f t="shared" si="2"/>
        <v>128</v>
      </c>
      <c r="B129" s="5" t="s">
        <v>33</v>
      </c>
      <c r="C129" s="6" t="str">
        <f>数据库!B129&amp;"号楼"</f>
        <v>51号楼</v>
      </c>
      <c r="D129" s="15" t="str">
        <f>NUMBERSTRING(数据库!C129,3)&amp;"单元"</f>
        <v>二单元</v>
      </c>
      <c r="E129" s="6">
        <f>数据库!D129</f>
        <v>103</v>
      </c>
      <c r="F129" s="4"/>
      <c r="G129" s="6">
        <f t="shared" si="3"/>
        <v>103</v>
      </c>
      <c r="H129" s="4"/>
      <c r="I129" s="9"/>
      <c r="J129" s="4"/>
      <c r="K129" s="4"/>
      <c r="L129" s="10"/>
      <c r="M129" s="10" t="str">
        <f>IFERROR(IF(数据库!F129=0,"低压区",IF(数据库!F129=1,"中压区","高压区")),"Error")</f>
        <v>低压区</v>
      </c>
      <c r="N129" s="10"/>
      <c r="O129" s="4"/>
      <c r="P129" s="4"/>
      <c r="Q129" s="18" t="str">
        <f>数据库!E129</f>
        <v>40122075</v>
      </c>
      <c r="AA129" s="18">
        <f>数据库!I129</f>
        <v>0</v>
      </c>
    </row>
    <row r="130" spans="1:27" ht="15">
      <c r="A130" s="4" t="str">
        <f t="shared" si="2"/>
        <v>129</v>
      </c>
      <c r="B130" s="5" t="s">
        <v>33</v>
      </c>
      <c r="C130" s="6" t="str">
        <f>数据库!B130&amp;"号楼"</f>
        <v>51号楼</v>
      </c>
      <c r="D130" s="15" t="str">
        <f>NUMBERSTRING(数据库!C130,3)&amp;"单元"</f>
        <v>二单元</v>
      </c>
      <c r="E130" s="6">
        <f>数据库!D130</f>
        <v>601</v>
      </c>
      <c r="F130" s="4"/>
      <c r="G130" s="6">
        <f t="shared" si="3"/>
        <v>601</v>
      </c>
      <c r="H130" s="4"/>
      <c r="I130" s="9"/>
      <c r="J130" s="4"/>
      <c r="K130" s="4"/>
      <c r="L130" s="10"/>
      <c r="M130" s="10" t="str">
        <f>IFERROR(IF(数据库!F130=0,"低压区",IF(数据库!F130=1,"中压区","高压区")),"Error")</f>
        <v>低压区</v>
      </c>
      <c r="N130" s="10"/>
      <c r="O130" s="4"/>
      <c r="P130" s="4"/>
      <c r="Q130" s="18" t="str">
        <f>数据库!E130</f>
        <v>40181899</v>
      </c>
      <c r="AA130" s="18">
        <f>数据库!I130</f>
        <v>0</v>
      </c>
    </row>
    <row r="131" spans="1:27" ht="15">
      <c r="A131" s="4" t="str">
        <f t="shared" ref="A131:A151" si="4">TEXT(ROW(A130),"000")</f>
        <v>130</v>
      </c>
      <c r="B131" s="5" t="s">
        <v>33</v>
      </c>
      <c r="C131" s="6" t="str">
        <f>数据库!B131&amp;"号楼"</f>
        <v>51号楼</v>
      </c>
      <c r="D131" s="15" t="str">
        <f>NUMBERSTRING(数据库!C131,3)&amp;"单元"</f>
        <v>二单元</v>
      </c>
      <c r="E131" s="6">
        <f>数据库!D131</f>
        <v>603</v>
      </c>
      <c r="F131" s="4"/>
      <c r="G131" s="6">
        <f t="shared" ref="G131:G151" si="5">E131</f>
        <v>603</v>
      </c>
      <c r="H131" s="4"/>
      <c r="I131" s="9"/>
      <c r="J131" s="4"/>
      <c r="K131" s="4"/>
      <c r="L131" s="10"/>
      <c r="M131" s="10" t="str">
        <f>IFERROR(IF(数据库!F131=0,"低压区",IF(数据库!F131=1,"中压区","高压区")),"Error")</f>
        <v>低压区</v>
      </c>
      <c r="N131" s="10"/>
      <c r="O131" s="4"/>
      <c r="P131" s="4"/>
      <c r="Q131" s="18" t="str">
        <f>数据库!E131</f>
        <v>40167468</v>
      </c>
      <c r="AA131" s="18">
        <f>数据库!I131</f>
        <v>0</v>
      </c>
    </row>
    <row r="132" spans="1:27" ht="15">
      <c r="A132" s="4" t="str">
        <f t="shared" si="4"/>
        <v>131</v>
      </c>
      <c r="B132" s="5" t="s">
        <v>33</v>
      </c>
      <c r="C132" s="6" t="str">
        <f>数据库!B132&amp;"号楼"</f>
        <v>52号楼</v>
      </c>
      <c r="D132" s="15" t="str">
        <f>NUMBERSTRING(数据库!C132,3)&amp;"单元"</f>
        <v>一单元</v>
      </c>
      <c r="E132" s="6">
        <f>数据库!D132</f>
        <v>101</v>
      </c>
      <c r="F132" s="4"/>
      <c r="G132" s="6">
        <f t="shared" si="5"/>
        <v>101</v>
      </c>
      <c r="H132" s="4"/>
      <c r="I132" s="9"/>
      <c r="J132" s="4"/>
      <c r="K132" s="4"/>
      <c r="L132" s="10"/>
      <c r="M132" s="10" t="str">
        <f>IFERROR(IF(数据库!F132=0,"低压区",IF(数据库!F132=1,"中压区","高压区")),"Error")</f>
        <v>低压区</v>
      </c>
      <c r="N132" s="10"/>
      <c r="O132" s="4"/>
      <c r="P132" s="4"/>
      <c r="Q132" s="18" t="str">
        <f>数据库!E132</f>
        <v>40161552</v>
      </c>
      <c r="AA132" s="18">
        <f>数据库!I132</f>
        <v>0</v>
      </c>
    </row>
    <row r="133" spans="1:27" ht="15">
      <c r="A133" s="4" t="str">
        <f t="shared" si="4"/>
        <v>132</v>
      </c>
      <c r="B133" s="5" t="s">
        <v>33</v>
      </c>
      <c r="C133" s="6" t="str">
        <f>数据库!B133&amp;"号楼"</f>
        <v>52号楼</v>
      </c>
      <c r="D133" s="15" t="str">
        <f>NUMBERSTRING(数据库!C133,3)&amp;"单元"</f>
        <v>一单元</v>
      </c>
      <c r="E133" s="6">
        <f>数据库!D133</f>
        <v>102</v>
      </c>
      <c r="F133" s="4"/>
      <c r="G133" s="6">
        <f t="shared" si="5"/>
        <v>102</v>
      </c>
      <c r="H133" s="4"/>
      <c r="I133" s="9"/>
      <c r="J133" s="4"/>
      <c r="K133" s="4"/>
      <c r="L133" s="10"/>
      <c r="M133" s="10" t="str">
        <f>IFERROR(IF(数据库!F133=0,"低压区",IF(数据库!F133=1,"中压区","高压区")),"Error")</f>
        <v>低压区</v>
      </c>
      <c r="N133" s="10"/>
      <c r="O133" s="4"/>
      <c r="P133" s="4"/>
      <c r="Q133" s="18" t="str">
        <f>数据库!E133</f>
        <v>40172070</v>
      </c>
      <c r="AA133" s="18">
        <f>数据库!I133</f>
        <v>0</v>
      </c>
    </row>
    <row r="134" spans="1:27" ht="15">
      <c r="A134" s="4" t="str">
        <f t="shared" si="4"/>
        <v>133</v>
      </c>
      <c r="B134" s="5" t="s">
        <v>33</v>
      </c>
      <c r="C134" s="6" t="str">
        <f>数据库!B134&amp;"号楼"</f>
        <v>52号楼</v>
      </c>
      <c r="D134" s="15" t="str">
        <f>NUMBERSTRING(数据库!C134,3)&amp;"单元"</f>
        <v>一单元</v>
      </c>
      <c r="E134" s="6">
        <f>数据库!D134</f>
        <v>103</v>
      </c>
      <c r="F134" s="4"/>
      <c r="G134" s="6">
        <f t="shared" si="5"/>
        <v>103</v>
      </c>
      <c r="H134" s="4"/>
      <c r="I134" s="9"/>
      <c r="J134" s="4"/>
      <c r="K134" s="4"/>
      <c r="L134" s="10"/>
      <c r="M134" s="10" t="str">
        <f>IFERROR(IF(数据库!F134=0,"低压区",IF(数据库!F134=1,"中压区","高压区")),"Error")</f>
        <v>低压区</v>
      </c>
      <c r="N134" s="10"/>
      <c r="O134" s="4"/>
      <c r="P134" s="4"/>
      <c r="Q134" s="18" t="str">
        <f>数据库!E134</f>
        <v>40130698</v>
      </c>
      <c r="AA134" s="18">
        <f>数据库!I134</f>
        <v>0</v>
      </c>
    </row>
    <row r="135" spans="1:27" ht="15">
      <c r="A135" s="4" t="str">
        <f t="shared" si="4"/>
        <v>134</v>
      </c>
      <c r="B135" s="5" t="s">
        <v>33</v>
      </c>
      <c r="C135" s="6" t="str">
        <f>数据库!B135&amp;"号楼"</f>
        <v>52号楼</v>
      </c>
      <c r="D135" s="15" t="str">
        <f>NUMBERSTRING(数据库!C135,3)&amp;"单元"</f>
        <v>一单元</v>
      </c>
      <c r="E135" s="6">
        <f>数据库!D135</f>
        <v>601</v>
      </c>
      <c r="F135" s="4"/>
      <c r="G135" s="6">
        <f t="shared" si="5"/>
        <v>601</v>
      </c>
      <c r="H135" s="4"/>
      <c r="I135" s="9"/>
      <c r="J135" s="4"/>
      <c r="K135" s="4"/>
      <c r="L135" s="10"/>
      <c r="M135" s="10" t="str">
        <f>IFERROR(IF(数据库!F135=0,"低压区",IF(数据库!F135=1,"中压区","高压区")),"Error")</f>
        <v>低压区</v>
      </c>
      <c r="N135" s="10"/>
      <c r="O135" s="4"/>
      <c r="P135" s="4"/>
      <c r="Q135" s="18" t="str">
        <f>数据库!E135</f>
        <v>40179075</v>
      </c>
      <c r="AA135" s="18">
        <f>数据库!I135</f>
        <v>0</v>
      </c>
    </row>
    <row r="136" spans="1:27" ht="15">
      <c r="A136" s="4" t="str">
        <f t="shared" si="4"/>
        <v>135</v>
      </c>
      <c r="B136" s="5" t="s">
        <v>33</v>
      </c>
      <c r="C136" s="6" t="str">
        <f>数据库!B136&amp;"号楼"</f>
        <v>52号楼</v>
      </c>
      <c r="D136" s="15" t="str">
        <f>NUMBERSTRING(数据库!C136,3)&amp;"单元"</f>
        <v>一单元</v>
      </c>
      <c r="E136" s="6">
        <f>数据库!D136</f>
        <v>603</v>
      </c>
      <c r="F136" s="4"/>
      <c r="G136" s="6">
        <f t="shared" si="5"/>
        <v>603</v>
      </c>
      <c r="H136" s="4"/>
      <c r="I136" s="9"/>
      <c r="J136" s="4"/>
      <c r="K136" s="4"/>
      <c r="L136" s="10"/>
      <c r="M136" s="10" t="str">
        <f>IFERROR(IF(数据库!F136=0,"低压区",IF(数据库!F136=1,"中压区","高压区")),"Error")</f>
        <v>低压区</v>
      </c>
      <c r="N136" s="10"/>
      <c r="O136" s="4"/>
      <c r="P136" s="4"/>
      <c r="Q136" s="18" t="str">
        <f>数据库!E136</f>
        <v>40150738</v>
      </c>
      <c r="AA136" s="18">
        <f>数据库!I136</f>
        <v>0</v>
      </c>
    </row>
    <row r="137" spans="1:27" ht="15">
      <c r="A137" s="4" t="str">
        <f t="shared" si="4"/>
        <v>136</v>
      </c>
      <c r="B137" s="5" t="s">
        <v>33</v>
      </c>
      <c r="C137" s="6" t="str">
        <f>数据库!B137&amp;"号楼"</f>
        <v>52号楼</v>
      </c>
      <c r="D137" s="15" t="str">
        <f>NUMBERSTRING(数据库!C137,3)&amp;"单元"</f>
        <v>二单元</v>
      </c>
      <c r="E137" s="6">
        <f>数据库!D137</f>
        <v>101</v>
      </c>
      <c r="F137" s="4"/>
      <c r="G137" s="6">
        <f t="shared" si="5"/>
        <v>101</v>
      </c>
      <c r="H137" s="4"/>
      <c r="I137" s="9"/>
      <c r="J137" s="4"/>
      <c r="K137" s="4"/>
      <c r="L137" s="10"/>
      <c r="M137" s="10" t="str">
        <f>IFERROR(IF(数据库!F137=0,"低压区",IF(数据库!F137=1,"中压区","高压区")),"Error")</f>
        <v>低压区</v>
      </c>
      <c r="N137" s="10"/>
      <c r="O137" s="4"/>
      <c r="P137" s="4"/>
      <c r="Q137" s="18" t="str">
        <f>数据库!E137</f>
        <v>40176196</v>
      </c>
      <c r="AA137" s="18">
        <f>数据库!I137</f>
        <v>0</v>
      </c>
    </row>
    <row r="138" spans="1:27" ht="15">
      <c r="A138" s="4" t="str">
        <f t="shared" si="4"/>
        <v>137</v>
      </c>
      <c r="B138" s="5" t="s">
        <v>33</v>
      </c>
      <c r="C138" s="6" t="str">
        <f>数据库!B138&amp;"号楼"</f>
        <v>52号楼</v>
      </c>
      <c r="D138" s="15" t="str">
        <f>NUMBERSTRING(数据库!C138,3)&amp;"单元"</f>
        <v>二单元</v>
      </c>
      <c r="E138" s="6">
        <f>数据库!D138</f>
        <v>102</v>
      </c>
      <c r="F138" s="4"/>
      <c r="G138" s="6">
        <f t="shared" si="5"/>
        <v>102</v>
      </c>
      <c r="H138" s="4"/>
      <c r="I138" s="9"/>
      <c r="J138" s="4"/>
      <c r="K138" s="4"/>
      <c r="L138" s="10"/>
      <c r="M138" s="10" t="str">
        <f>IFERROR(IF(数据库!F138=0,"低压区",IF(数据库!F138=1,"中压区","高压区")),"Error")</f>
        <v>低压区</v>
      </c>
      <c r="N138" s="10"/>
      <c r="O138" s="4"/>
      <c r="P138" s="4"/>
      <c r="Q138" s="18" t="str">
        <f>数据库!E138</f>
        <v>40193928</v>
      </c>
      <c r="AA138" s="18">
        <f>数据库!I138</f>
        <v>0</v>
      </c>
    </row>
    <row r="139" spans="1:27" ht="15">
      <c r="A139" s="4" t="str">
        <f t="shared" si="4"/>
        <v>138</v>
      </c>
      <c r="B139" s="5" t="s">
        <v>33</v>
      </c>
      <c r="C139" s="6" t="str">
        <f>数据库!B139&amp;"号楼"</f>
        <v>52号楼</v>
      </c>
      <c r="D139" s="15" t="str">
        <f>NUMBERSTRING(数据库!C139,3)&amp;"单元"</f>
        <v>二单元</v>
      </c>
      <c r="E139" s="6">
        <f>数据库!D139</f>
        <v>103</v>
      </c>
      <c r="F139" s="4"/>
      <c r="G139" s="6">
        <f t="shared" si="5"/>
        <v>103</v>
      </c>
      <c r="H139" s="4"/>
      <c r="I139" s="9"/>
      <c r="J139" s="4"/>
      <c r="K139" s="4"/>
      <c r="L139" s="10"/>
      <c r="M139" s="10" t="str">
        <f>IFERROR(IF(数据库!F139=0,"低压区",IF(数据库!F139=1,"中压区","高压区")),"Error")</f>
        <v>低压区</v>
      </c>
      <c r="N139" s="10"/>
      <c r="O139" s="4"/>
      <c r="P139" s="4"/>
      <c r="Q139" s="18" t="str">
        <f>数据库!E139</f>
        <v>40121960</v>
      </c>
      <c r="AA139" s="18">
        <f>数据库!I139</f>
        <v>0</v>
      </c>
    </row>
    <row r="140" spans="1:27" ht="15">
      <c r="A140" s="4" t="str">
        <f t="shared" si="4"/>
        <v>139</v>
      </c>
      <c r="B140" s="5" t="s">
        <v>33</v>
      </c>
      <c r="C140" s="6" t="str">
        <f>数据库!B140&amp;"号楼"</f>
        <v>52号楼</v>
      </c>
      <c r="D140" s="15" t="str">
        <f>NUMBERSTRING(数据库!C140,3)&amp;"单元"</f>
        <v>二单元</v>
      </c>
      <c r="E140" s="6">
        <f>数据库!D140</f>
        <v>601</v>
      </c>
      <c r="F140" s="4"/>
      <c r="G140" s="6">
        <f t="shared" si="5"/>
        <v>601</v>
      </c>
      <c r="H140" s="4"/>
      <c r="I140" s="9"/>
      <c r="J140" s="4"/>
      <c r="K140" s="4"/>
      <c r="L140" s="10"/>
      <c r="M140" s="10" t="str">
        <f>IFERROR(IF(数据库!F140=0,"低压区",IF(数据库!F140=1,"中压区","高压区")),"Error")</f>
        <v>低压区</v>
      </c>
      <c r="N140" s="10"/>
      <c r="O140" s="4"/>
      <c r="P140" s="4"/>
      <c r="Q140" s="18" t="str">
        <f>数据库!E140</f>
        <v>40181600</v>
      </c>
      <c r="AA140" s="18">
        <f>数据库!I140</f>
        <v>0</v>
      </c>
    </row>
    <row r="141" spans="1:27" ht="15">
      <c r="A141" s="4" t="str">
        <f t="shared" si="4"/>
        <v>140</v>
      </c>
      <c r="B141" s="5" t="s">
        <v>33</v>
      </c>
      <c r="C141" s="6" t="str">
        <f>数据库!B141&amp;"号楼"</f>
        <v>52号楼</v>
      </c>
      <c r="D141" s="15" t="str">
        <f>NUMBERSTRING(数据库!C141,3)&amp;"单元"</f>
        <v>二单元</v>
      </c>
      <c r="E141" s="6">
        <f>数据库!D141</f>
        <v>603</v>
      </c>
      <c r="F141" s="4"/>
      <c r="G141" s="6">
        <f t="shared" si="5"/>
        <v>603</v>
      </c>
      <c r="H141" s="4"/>
      <c r="I141" s="9"/>
      <c r="J141" s="4"/>
      <c r="K141" s="4"/>
      <c r="L141" s="10"/>
      <c r="M141" s="10" t="str">
        <f>IFERROR(IF(数据库!F141=0,"低压区",IF(数据库!F141=1,"中压区","高压区")),"Error")</f>
        <v>低压区</v>
      </c>
      <c r="N141" s="10"/>
      <c r="O141" s="4"/>
      <c r="P141" s="4"/>
      <c r="Q141" s="18" t="str">
        <f>数据库!E141</f>
        <v>40206902</v>
      </c>
      <c r="AA141" s="18">
        <f>数据库!I141</f>
        <v>0</v>
      </c>
    </row>
    <row r="142" spans="1:27" ht="15">
      <c r="A142" s="4" t="str">
        <f t="shared" si="4"/>
        <v>141</v>
      </c>
      <c r="B142" s="5" t="s">
        <v>33</v>
      </c>
      <c r="C142" s="6" t="str">
        <f>数据库!B142&amp;"号楼"</f>
        <v>53号楼</v>
      </c>
      <c r="D142" s="15" t="str">
        <f>NUMBERSTRING(数据库!C142,3)&amp;"单元"</f>
        <v>一单元</v>
      </c>
      <c r="E142" s="6">
        <f>数据库!D142</f>
        <v>101</v>
      </c>
      <c r="F142" s="4"/>
      <c r="G142" s="6">
        <f t="shared" si="5"/>
        <v>101</v>
      </c>
      <c r="H142" s="4"/>
      <c r="I142" s="9"/>
      <c r="J142" s="4"/>
      <c r="K142" s="4"/>
      <c r="L142" s="10"/>
      <c r="M142" s="10" t="str">
        <f>IFERROR(IF(数据库!F142=0,"低压区",IF(数据库!F142=1,"中压区","高压区")),"Error")</f>
        <v>低压区</v>
      </c>
      <c r="N142" s="10"/>
      <c r="O142" s="4"/>
      <c r="P142" s="4"/>
      <c r="Q142" s="18" t="str">
        <f>数据库!E142</f>
        <v>40204295</v>
      </c>
      <c r="AA142" s="18">
        <f>数据库!I142</f>
        <v>0</v>
      </c>
    </row>
    <row r="143" spans="1:27" ht="15">
      <c r="A143" s="4" t="str">
        <f t="shared" si="4"/>
        <v>142</v>
      </c>
      <c r="B143" s="5" t="s">
        <v>33</v>
      </c>
      <c r="C143" s="6" t="str">
        <f>数据库!B143&amp;"号楼"</f>
        <v>53号楼</v>
      </c>
      <c r="D143" s="15" t="str">
        <f>NUMBERSTRING(数据库!C143,3)&amp;"单元"</f>
        <v>一单元</v>
      </c>
      <c r="E143" s="6">
        <f>数据库!D143</f>
        <v>102</v>
      </c>
      <c r="F143" s="4"/>
      <c r="G143" s="6">
        <f t="shared" si="5"/>
        <v>102</v>
      </c>
      <c r="H143" s="4"/>
      <c r="I143" s="9"/>
      <c r="J143" s="4"/>
      <c r="K143" s="4"/>
      <c r="L143" s="10"/>
      <c r="M143" s="10" t="str">
        <f>IFERROR(IF(数据库!F143=0,"低压区",IF(数据库!F143=1,"中压区","高压区")),"Error")</f>
        <v>低压区</v>
      </c>
      <c r="N143" s="10"/>
      <c r="O143" s="4"/>
      <c r="P143" s="4"/>
      <c r="Q143" s="18" t="str">
        <f>数据库!E143</f>
        <v>40175529</v>
      </c>
      <c r="AA143" s="18">
        <f>数据库!I143</f>
        <v>0</v>
      </c>
    </row>
    <row r="144" spans="1:27" ht="15">
      <c r="A144" s="4" t="str">
        <f t="shared" si="4"/>
        <v>143</v>
      </c>
      <c r="B144" s="5" t="s">
        <v>33</v>
      </c>
      <c r="C144" s="6" t="str">
        <f>数据库!B144&amp;"号楼"</f>
        <v>53号楼</v>
      </c>
      <c r="D144" s="15" t="str">
        <f>NUMBERSTRING(数据库!C144,3)&amp;"单元"</f>
        <v>一单元</v>
      </c>
      <c r="E144" s="6">
        <f>数据库!D144</f>
        <v>103</v>
      </c>
      <c r="F144" s="4"/>
      <c r="G144" s="6">
        <f t="shared" si="5"/>
        <v>103</v>
      </c>
      <c r="H144" s="4"/>
      <c r="I144" s="9"/>
      <c r="J144" s="4"/>
      <c r="K144" s="4"/>
      <c r="L144" s="10"/>
      <c r="M144" s="10" t="str">
        <f>IFERROR(IF(数据库!F144=0,"低压区",IF(数据库!F144=1,"中压区","高压区")),"Error")</f>
        <v>低压区</v>
      </c>
      <c r="N144" s="10"/>
      <c r="O144" s="4"/>
      <c r="P144" s="4"/>
      <c r="Q144" s="18" t="str">
        <f>数据库!E144</f>
        <v>40192441</v>
      </c>
      <c r="AA144" s="18">
        <f>数据库!I144</f>
        <v>0</v>
      </c>
    </row>
    <row r="145" spans="1:27" ht="15">
      <c r="A145" s="4" t="str">
        <f t="shared" si="4"/>
        <v>144</v>
      </c>
      <c r="B145" s="5" t="s">
        <v>33</v>
      </c>
      <c r="C145" s="6" t="str">
        <f>数据库!B145&amp;"号楼"</f>
        <v>53号楼</v>
      </c>
      <c r="D145" s="15" t="str">
        <f>NUMBERSTRING(数据库!C145,3)&amp;"单元"</f>
        <v>一单元</v>
      </c>
      <c r="E145" s="6">
        <f>数据库!D145</f>
        <v>601</v>
      </c>
      <c r="F145" s="4"/>
      <c r="G145" s="6">
        <f t="shared" si="5"/>
        <v>601</v>
      </c>
      <c r="H145" s="4"/>
      <c r="I145" s="9"/>
      <c r="J145" s="4"/>
      <c r="K145" s="4"/>
      <c r="L145" s="10"/>
      <c r="M145" s="10" t="str">
        <f>IFERROR(IF(数据库!F145=0,"低压区",IF(数据库!F145=1,"中压区","高压区")),"Error")</f>
        <v>低压区</v>
      </c>
      <c r="N145" s="10"/>
      <c r="O145" s="4"/>
      <c r="P145" s="4"/>
      <c r="Q145" s="18" t="str">
        <f>数据库!E145</f>
        <v>40121143</v>
      </c>
      <c r="AA145" s="18">
        <f>数据库!I145</f>
        <v>0</v>
      </c>
    </row>
    <row r="146" spans="1:27" ht="15">
      <c r="A146" s="4" t="str">
        <f t="shared" si="4"/>
        <v>145</v>
      </c>
      <c r="B146" s="5" t="s">
        <v>33</v>
      </c>
      <c r="C146" s="6" t="str">
        <f>数据库!B146&amp;"号楼"</f>
        <v>53号楼</v>
      </c>
      <c r="D146" s="15" t="str">
        <f>NUMBERSTRING(数据库!C146,3)&amp;"单元"</f>
        <v>一单元</v>
      </c>
      <c r="E146" s="6">
        <f>数据库!D146</f>
        <v>603</v>
      </c>
      <c r="F146" s="4"/>
      <c r="G146" s="6">
        <f t="shared" si="5"/>
        <v>603</v>
      </c>
      <c r="H146" s="4"/>
      <c r="I146" s="9"/>
      <c r="J146" s="4"/>
      <c r="K146" s="4"/>
      <c r="L146" s="10"/>
      <c r="M146" s="10" t="str">
        <f>IFERROR(IF(数据库!F146=0,"低压区",IF(数据库!F146=1,"中压区","高压区")),"Error")</f>
        <v>低压区</v>
      </c>
      <c r="N146" s="10"/>
      <c r="O146" s="4"/>
      <c r="P146" s="4"/>
      <c r="Q146" s="18" t="str">
        <f>数据库!E146</f>
        <v>40119089</v>
      </c>
      <c r="AA146" s="18">
        <f>数据库!I146</f>
        <v>0</v>
      </c>
    </row>
    <row r="147" spans="1:27" ht="15">
      <c r="A147" s="4" t="str">
        <f t="shared" si="4"/>
        <v>146</v>
      </c>
      <c r="B147" s="5" t="s">
        <v>33</v>
      </c>
      <c r="C147" s="6" t="str">
        <f>数据库!B147&amp;"号楼"</f>
        <v>53号楼</v>
      </c>
      <c r="D147" s="15" t="str">
        <f>NUMBERSTRING(数据库!C147,3)&amp;"单元"</f>
        <v>二单元</v>
      </c>
      <c r="E147" s="6">
        <f>数据库!D147</f>
        <v>101</v>
      </c>
      <c r="F147" s="4"/>
      <c r="G147" s="6">
        <f t="shared" si="5"/>
        <v>101</v>
      </c>
      <c r="H147" s="4"/>
      <c r="I147" s="9"/>
      <c r="J147" s="4"/>
      <c r="K147" s="4"/>
      <c r="L147" s="10"/>
      <c r="M147" s="10" t="str">
        <f>IFERROR(IF(数据库!F147=0,"低压区",IF(数据库!F147=1,"中压区","高压区")),"Error")</f>
        <v>低压区</v>
      </c>
      <c r="N147" s="10"/>
      <c r="O147" s="4"/>
      <c r="P147" s="4"/>
      <c r="Q147" s="18" t="str">
        <f>数据库!E147</f>
        <v>40119352</v>
      </c>
      <c r="AA147" s="18">
        <f>数据库!I147</f>
        <v>0</v>
      </c>
    </row>
    <row r="148" spans="1:27" ht="15">
      <c r="A148" s="4" t="str">
        <f t="shared" si="4"/>
        <v>147</v>
      </c>
      <c r="B148" s="5" t="s">
        <v>33</v>
      </c>
      <c r="C148" s="6" t="str">
        <f>数据库!B148&amp;"号楼"</f>
        <v>53号楼</v>
      </c>
      <c r="D148" s="15" t="str">
        <f>NUMBERSTRING(数据库!C148,3)&amp;"单元"</f>
        <v>二单元</v>
      </c>
      <c r="E148" s="6">
        <f>数据库!D148</f>
        <v>102</v>
      </c>
      <c r="F148" s="4"/>
      <c r="G148" s="6">
        <f t="shared" si="5"/>
        <v>102</v>
      </c>
      <c r="H148" s="4"/>
      <c r="I148" s="9"/>
      <c r="J148" s="4"/>
      <c r="K148" s="4"/>
      <c r="L148" s="10"/>
      <c r="M148" s="10" t="str">
        <f>IFERROR(IF(数据库!F148=0,"低压区",IF(数据库!F148=1,"中压区","高压区")),"Error")</f>
        <v>低压区</v>
      </c>
      <c r="N148" s="10"/>
      <c r="O148" s="4"/>
      <c r="P148" s="4"/>
      <c r="Q148" s="18" t="str">
        <f>数据库!E148</f>
        <v>40199651</v>
      </c>
      <c r="AA148" s="18">
        <f>数据库!I148</f>
        <v>0</v>
      </c>
    </row>
    <row r="149" spans="1:27" ht="15">
      <c r="A149" s="4" t="str">
        <f t="shared" si="4"/>
        <v>148</v>
      </c>
      <c r="B149" s="5" t="s">
        <v>33</v>
      </c>
      <c r="C149" s="6" t="str">
        <f>数据库!B149&amp;"号楼"</f>
        <v>53号楼</v>
      </c>
      <c r="D149" s="15" t="str">
        <f>NUMBERSTRING(数据库!C149,3)&amp;"单元"</f>
        <v>二单元</v>
      </c>
      <c r="E149" s="6">
        <f>数据库!D149</f>
        <v>103</v>
      </c>
      <c r="F149" s="4"/>
      <c r="G149" s="6">
        <f t="shared" si="5"/>
        <v>103</v>
      </c>
      <c r="H149" s="4"/>
      <c r="I149" s="9"/>
      <c r="J149" s="4"/>
      <c r="K149" s="4"/>
      <c r="L149" s="10"/>
      <c r="M149" s="10" t="str">
        <f>IFERROR(IF(数据库!F149=0,"低压区",IF(数据库!F149=1,"中压区","高压区")),"Error")</f>
        <v>低压区</v>
      </c>
      <c r="N149" s="10"/>
      <c r="O149" s="4"/>
      <c r="P149" s="4"/>
      <c r="Q149" s="18" t="str">
        <f>数据库!E149</f>
        <v>40181758</v>
      </c>
      <c r="AA149" s="18">
        <f>数据库!I149</f>
        <v>0</v>
      </c>
    </row>
    <row r="150" spans="1:27" ht="15">
      <c r="A150" s="4" t="str">
        <f t="shared" si="4"/>
        <v>149</v>
      </c>
      <c r="B150" s="5" t="s">
        <v>33</v>
      </c>
      <c r="C150" s="6" t="str">
        <f>数据库!B150&amp;"号楼"</f>
        <v>53号楼</v>
      </c>
      <c r="D150" s="15" t="str">
        <f>NUMBERSTRING(数据库!C150,3)&amp;"单元"</f>
        <v>二单元</v>
      </c>
      <c r="E150" s="6">
        <f>数据库!D150</f>
        <v>601</v>
      </c>
      <c r="F150" s="4"/>
      <c r="G150" s="6">
        <f t="shared" si="5"/>
        <v>601</v>
      </c>
      <c r="H150" s="4"/>
      <c r="I150" s="9"/>
      <c r="J150" s="4"/>
      <c r="K150" s="4"/>
      <c r="L150" s="10"/>
      <c r="M150" s="10" t="str">
        <f>IFERROR(IF(数据库!F150=0,"低压区",IF(数据库!F150=1,"中压区","高压区")),"Error")</f>
        <v>低压区</v>
      </c>
      <c r="N150" s="10"/>
      <c r="O150" s="4"/>
      <c r="P150" s="4"/>
      <c r="Q150" s="18" t="str">
        <f>数据库!E150</f>
        <v>40200277</v>
      </c>
      <c r="AA150" s="18">
        <f>数据库!I150</f>
        <v>0</v>
      </c>
    </row>
    <row r="151" spans="1:27" ht="15">
      <c r="A151" s="4" t="str">
        <f t="shared" si="4"/>
        <v>150</v>
      </c>
      <c r="B151" s="5" t="s">
        <v>33</v>
      </c>
      <c r="C151" s="6" t="str">
        <f>数据库!B151&amp;"号楼"</f>
        <v>53号楼</v>
      </c>
      <c r="D151" s="15" t="str">
        <f>NUMBERSTRING(数据库!C151,3)&amp;"单元"</f>
        <v>二单元</v>
      </c>
      <c r="E151" s="6">
        <f>数据库!D151</f>
        <v>603</v>
      </c>
      <c r="F151" s="4"/>
      <c r="G151" s="6">
        <f t="shared" si="5"/>
        <v>603</v>
      </c>
      <c r="H151" s="4"/>
      <c r="I151" s="9"/>
      <c r="J151" s="4"/>
      <c r="K151" s="4"/>
      <c r="L151" s="10"/>
      <c r="M151" s="10" t="str">
        <f>IFERROR(IF(数据库!F151=0,"低压区",IF(数据库!F151=1,"中压区","高压区")),"Error")</f>
        <v>低压区</v>
      </c>
      <c r="N151" s="10"/>
      <c r="O151" s="4"/>
      <c r="P151" s="4"/>
      <c r="Q151" s="18" t="str">
        <f>数据库!E151</f>
        <v>40181808</v>
      </c>
      <c r="AA151" s="18">
        <f>数据库!I151</f>
        <v>0</v>
      </c>
    </row>
  </sheetData>
  <phoneticPr fontId="6" type="noConversion"/>
  <conditionalFormatting sqref="M1:M1048576">
    <cfRule type="cellIs" dxfId="1" priority="1" operator="equal">
      <formula>"Error"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3725C-CF99-4700-93B7-1C3961BB0137}">
  <dimension ref="A1:I151"/>
  <sheetViews>
    <sheetView topLeftCell="A140" zoomScale="145" zoomScaleNormal="145" workbookViewId="0">
      <selection activeCell="F154" sqref="F154"/>
    </sheetView>
  </sheetViews>
  <sheetFormatPr defaultRowHeight="13.5"/>
  <cols>
    <col min="1" max="1" width="5.75" style="1" bestFit="1" customWidth="1"/>
    <col min="2" max="4" width="5.75" bestFit="1" customWidth="1"/>
    <col min="5" max="5" width="21" style="1"/>
    <col min="6" max="6" width="15.125" style="1" customWidth="1"/>
    <col min="7" max="8" width="11.75" style="37" customWidth="1"/>
    <col min="9" max="16384" width="9" style="1"/>
  </cols>
  <sheetData>
    <row r="1" spans="1:9">
      <c r="A1" s="16" t="s">
        <v>34</v>
      </c>
      <c r="B1" s="19" t="s">
        <v>2</v>
      </c>
      <c r="C1" s="19" t="s">
        <v>685</v>
      </c>
      <c r="D1" s="19" t="s">
        <v>4</v>
      </c>
      <c r="E1" s="19" t="s">
        <v>16</v>
      </c>
      <c r="F1" s="17" t="s">
        <v>12</v>
      </c>
      <c r="G1" s="36" t="s">
        <v>36</v>
      </c>
      <c r="H1" s="36" t="s">
        <v>37</v>
      </c>
      <c r="I1" s="20" t="s">
        <v>712</v>
      </c>
    </row>
    <row r="2" spans="1:9" ht="15">
      <c r="B2" s="6">
        <v>1</v>
      </c>
      <c r="C2" s="15">
        <v>1</v>
      </c>
      <c r="D2" s="6">
        <v>101</v>
      </c>
      <c r="E2" s="18" t="str">
        <f>G2&amp;H2</f>
        <v>40187177</v>
      </c>
      <c r="F2" s="1">
        <f>IF(VALUE(LEFT(D2,LEN(D2)-2))&lt;10,0,IF(VALUE(LEFT(D2,LEN(D2)-2))&lt;20,1,2))</f>
        <v>0</v>
      </c>
      <c r="G2" s="38">
        <v>4018</v>
      </c>
      <c r="H2" s="37">
        <v>7177</v>
      </c>
    </row>
    <row r="3" spans="1:9" ht="15">
      <c r="B3" s="6">
        <v>1</v>
      </c>
      <c r="C3" s="15">
        <v>1</v>
      </c>
      <c r="D3" s="6">
        <v>104</v>
      </c>
      <c r="E3" s="18" t="str">
        <f t="shared" ref="E3:E21" si="0">G3&amp;H3</f>
        <v>40131811</v>
      </c>
      <c r="F3" s="1">
        <f t="shared" ref="F3:F30" si="1">IF(VALUE(LEFT(D3,LEN(D3)-2))&lt;10,0,IF(VALUE(LEFT(D3,LEN(D3)-2))&lt;20,1,2))</f>
        <v>0</v>
      </c>
      <c r="G3" s="38">
        <v>4013</v>
      </c>
      <c r="H3" s="37">
        <v>1811</v>
      </c>
    </row>
    <row r="4" spans="1:9" ht="15">
      <c r="B4" s="6">
        <v>1</v>
      </c>
      <c r="C4" s="15">
        <v>1</v>
      </c>
      <c r="D4" s="6">
        <v>601</v>
      </c>
      <c r="E4" s="18" t="str">
        <f t="shared" si="0"/>
        <v>40169100</v>
      </c>
      <c r="F4" s="1">
        <f t="shared" si="1"/>
        <v>0</v>
      </c>
      <c r="G4" s="38">
        <v>4016</v>
      </c>
      <c r="H4" s="37">
        <v>9100</v>
      </c>
    </row>
    <row r="5" spans="1:9" ht="15">
      <c r="B5" s="6">
        <v>1</v>
      </c>
      <c r="C5" s="15">
        <v>1</v>
      </c>
      <c r="D5" s="6">
        <v>604</v>
      </c>
      <c r="E5" s="18" t="str">
        <f t="shared" si="0"/>
        <v>40185486</v>
      </c>
      <c r="F5" s="1">
        <f t="shared" si="1"/>
        <v>0</v>
      </c>
      <c r="G5" s="38">
        <v>4018</v>
      </c>
      <c r="H5" s="37">
        <v>5486</v>
      </c>
    </row>
    <row r="6" spans="1:9" ht="15">
      <c r="B6" s="6">
        <v>1</v>
      </c>
      <c r="C6" s="15">
        <v>2</v>
      </c>
      <c r="D6" s="6">
        <v>101</v>
      </c>
      <c r="E6" s="18" t="str">
        <f t="shared" si="0"/>
        <v>40206787</v>
      </c>
      <c r="F6" s="1">
        <f t="shared" si="1"/>
        <v>0</v>
      </c>
      <c r="G6" s="38">
        <v>4020</v>
      </c>
      <c r="H6" s="37">
        <v>6787</v>
      </c>
    </row>
    <row r="7" spans="1:9" ht="15">
      <c r="B7" s="6">
        <v>1</v>
      </c>
      <c r="C7" s="15">
        <v>2</v>
      </c>
      <c r="D7" s="6">
        <v>104</v>
      </c>
      <c r="E7" s="18" t="str">
        <f t="shared" si="0"/>
        <v>40133957</v>
      </c>
      <c r="F7" s="1">
        <f t="shared" si="1"/>
        <v>0</v>
      </c>
      <c r="G7" s="38">
        <v>4013</v>
      </c>
      <c r="H7" s="37">
        <v>3957</v>
      </c>
    </row>
    <row r="8" spans="1:9" ht="15">
      <c r="B8" s="6">
        <v>1</v>
      </c>
      <c r="C8" s="15">
        <v>2</v>
      </c>
      <c r="D8" s="6">
        <v>601</v>
      </c>
      <c r="E8" s="18" t="str">
        <f t="shared" si="0"/>
        <v>40118966</v>
      </c>
      <c r="F8" s="1">
        <f t="shared" si="1"/>
        <v>0</v>
      </c>
      <c r="G8" s="38">
        <v>4011</v>
      </c>
      <c r="H8" s="37">
        <v>8966</v>
      </c>
    </row>
    <row r="9" spans="1:9" ht="15">
      <c r="B9" s="6">
        <v>1</v>
      </c>
      <c r="C9" s="15">
        <v>2</v>
      </c>
      <c r="D9" s="6">
        <v>604</v>
      </c>
      <c r="E9" s="18" t="str">
        <f t="shared" si="0"/>
        <v>40118685</v>
      </c>
      <c r="F9" s="1">
        <f t="shared" si="1"/>
        <v>0</v>
      </c>
      <c r="G9" s="38">
        <v>4011</v>
      </c>
      <c r="H9" s="37">
        <v>8685</v>
      </c>
    </row>
    <row r="10" spans="1:9" ht="15">
      <c r="B10" s="6">
        <v>1</v>
      </c>
      <c r="C10" s="15">
        <v>3</v>
      </c>
      <c r="D10" s="6">
        <v>101</v>
      </c>
      <c r="E10" s="18" t="str">
        <f t="shared" si="0"/>
        <v>40198380</v>
      </c>
      <c r="F10" s="1">
        <f t="shared" si="1"/>
        <v>0</v>
      </c>
      <c r="G10" s="38">
        <v>4019</v>
      </c>
      <c r="H10" s="37">
        <v>8380</v>
      </c>
    </row>
    <row r="11" spans="1:9" ht="15">
      <c r="B11" s="6">
        <v>1</v>
      </c>
      <c r="C11" s="15">
        <v>3</v>
      </c>
      <c r="D11" s="6">
        <v>104</v>
      </c>
      <c r="E11" s="18" t="str">
        <f t="shared" si="0"/>
        <v>40177038</v>
      </c>
      <c r="F11" s="1">
        <f t="shared" si="1"/>
        <v>0</v>
      </c>
      <c r="G11" s="38">
        <v>4017</v>
      </c>
      <c r="H11" s="37">
        <v>7038</v>
      </c>
    </row>
    <row r="12" spans="1:9" ht="15">
      <c r="B12" s="6">
        <v>1</v>
      </c>
      <c r="C12" s="15">
        <v>3</v>
      </c>
      <c r="D12" s="6">
        <v>601</v>
      </c>
      <c r="E12" s="18" t="str">
        <f t="shared" si="0"/>
        <v>40205771</v>
      </c>
      <c r="F12" s="1">
        <f t="shared" si="1"/>
        <v>0</v>
      </c>
      <c r="G12" s="38">
        <v>4020</v>
      </c>
      <c r="H12" s="37">
        <v>5771</v>
      </c>
    </row>
    <row r="13" spans="1:9" ht="15">
      <c r="B13" s="6">
        <v>1</v>
      </c>
      <c r="C13" s="15">
        <v>3</v>
      </c>
      <c r="D13" s="6">
        <v>604</v>
      </c>
      <c r="E13" s="18" t="str">
        <f t="shared" si="0"/>
        <v>40174175</v>
      </c>
      <c r="F13" s="1">
        <f t="shared" si="1"/>
        <v>0</v>
      </c>
      <c r="G13" s="38">
        <v>4017</v>
      </c>
      <c r="H13" s="37">
        <v>4175</v>
      </c>
    </row>
    <row r="14" spans="1:9" ht="15">
      <c r="B14" s="6">
        <v>2</v>
      </c>
      <c r="C14" s="15">
        <v>1</v>
      </c>
      <c r="D14" s="6">
        <v>201</v>
      </c>
      <c r="E14" s="18" t="str">
        <f t="shared" si="0"/>
        <v>40168490</v>
      </c>
      <c r="F14" s="1">
        <f t="shared" si="1"/>
        <v>0</v>
      </c>
      <c r="G14" s="38">
        <v>4016</v>
      </c>
      <c r="H14" s="37">
        <v>8490</v>
      </c>
    </row>
    <row r="15" spans="1:9" ht="15">
      <c r="B15" s="6">
        <v>2</v>
      </c>
      <c r="C15" s="15">
        <v>1</v>
      </c>
      <c r="D15" s="6">
        <v>204</v>
      </c>
      <c r="E15" s="18" t="str">
        <f t="shared" si="0"/>
        <v>40132660</v>
      </c>
      <c r="F15" s="1">
        <f t="shared" si="1"/>
        <v>0</v>
      </c>
      <c r="G15" s="38">
        <v>4013</v>
      </c>
      <c r="H15" s="37">
        <v>2660</v>
      </c>
    </row>
    <row r="16" spans="1:9" ht="15">
      <c r="B16" s="6">
        <v>2</v>
      </c>
      <c r="C16" s="15">
        <v>1</v>
      </c>
      <c r="D16" s="6">
        <v>501</v>
      </c>
      <c r="E16" s="18" t="str">
        <f t="shared" si="0"/>
        <v>40165199</v>
      </c>
      <c r="F16" s="1">
        <f t="shared" si="1"/>
        <v>0</v>
      </c>
      <c r="G16" s="38">
        <v>4016</v>
      </c>
      <c r="H16" s="37">
        <v>5199</v>
      </c>
    </row>
    <row r="17" spans="2:8" ht="15">
      <c r="B17" s="6">
        <v>2</v>
      </c>
      <c r="C17" s="15">
        <v>1</v>
      </c>
      <c r="D17" s="6">
        <v>504</v>
      </c>
      <c r="E17" s="18" t="str">
        <f t="shared" si="0"/>
        <v>40179000</v>
      </c>
      <c r="F17" s="1">
        <f t="shared" si="1"/>
        <v>0</v>
      </c>
      <c r="G17" s="38">
        <v>4017</v>
      </c>
      <c r="H17" s="37">
        <v>9000</v>
      </c>
    </row>
    <row r="18" spans="2:8" ht="15">
      <c r="B18" s="6">
        <v>2</v>
      </c>
      <c r="C18" s="15">
        <v>2</v>
      </c>
      <c r="D18" s="6">
        <v>201</v>
      </c>
      <c r="E18" s="18" t="str">
        <f t="shared" si="0"/>
        <v>40161701</v>
      </c>
      <c r="F18" s="1">
        <f t="shared" si="1"/>
        <v>0</v>
      </c>
      <c r="G18" s="38">
        <v>4016</v>
      </c>
      <c r="H18" s="37">
        <v>1701</v>
      </c>
    </row>
    <row r="19" spans="2:8" ht="15">
      <c r="B19" s="6">
        <v>2</v>
      </c>
      <c r="C19" s="15">
        <v>2</v>
      </c>
      <c r="D19" s="6">
        <v>204</v>
      </c>
      <c r="E19" s="18" t="str">
        <f t="shared" si="0"/>
        <v>40193290</v>
      </c>
      <c r="F19" s="1">
        <f t="shared" si="1"/>
        <v>0</v>
      </c>
      <c r="G19" s="38">
        <v>4019</v>
      </c>
      <c r="H19" s="37">
        <v>3290</v>
      </c>
    </row>
    <row r="20" spans="2:8" ht="15">
      <c r="B20" s="6">
        <v>2</v>
      </c>
      <c r="C20" s="15">
        <v>2</v>
      </c>
      <c r="D20" s="6">
        <v>501</v>
      </c>
      <c r="E20" s="18" t="str">
        <f t="shared" si="0"/>
        <v>40175842</v>
      </c>
      <c r="F20" s="1">
        <f t="shared" si="1"/>
        <v>0</v>
      </c>
      <c r="G20" s="38">
        <v>4017</v>
      </c>
      <c r="H20" s="37">
        <v>5842</v>
      </c>
    </row>
    <row r="21" spans="2:8" ht="15">
      <c r="B21" s="6">
        <v>2</v>
      </c>
      <c r="C21" s="15">
        <v>2</v>
      </c>
      <c r="D21" s="6">
        <v>504</v>
      </c>
      <c r="E21" s="18" t="str">
        <f t="shared" si="0"/>
        <v>40122117</v>
      </c>
      <c r="F21" s="1">
        <f t="shared" si="1"/>
        <v>0</v>
      </c>
      <c r="G21" s="38">
        <v>4012</v>
      </c>
      <c r="H21" s="37">
        <v>2117</v>
      </c>
    </row>
    <row r="22" spans="2:8" ht="15">
      <c r="B22" s="6">
        <v>3</v>
      </c>
      <c r="C22" s="15">
        <v>1</v>
      </c>
      <c r="D22" s="6">
        <v>201</v>
      </c>
      <c r="E22" s="18" t="str">
        <f t="shared" ref="E22:E85" si="2">G22&amp;H22</f>
        <v>40198117</v>
      </c>
      <c r="F22" s="1">
        <f t="shared" ref="F22:F85" si="3">IF(VALUE(LEFT(D22,LEN(D22)-2))&lt;10,0,IF(VALUE(LEFT(D22,LEN(D22)-2))&lt;20,1,2))</f>
        <v>0</v>
      </c>
      <c r="G22" s="38">
        <v>4019</v>
      </c>
      <c r="H22" s="37">
        <v>8117</v>
      </c>
    </row>
    <row r="23" spans="2:8" ht="15">
      <c r="B23" s="6">
        <v>3</v>
      </c>
      <c r="C23" s="15">
        <v>1</v>
      </c>
      <c r="D23" s="6">
        <v>204</v>
      </c>
      <c r="E23" s="18" t="str">
        <f t="shared" si="2"/>
        <v>40158137</v>
      </c>
      <c r="F23" s="1">
        <f t="shared" si="3"/>
        <v>0</v>
      </c>
      <c r="G23" s="38">
        <v>4015</v>
      </c>
      <c r="H23" s="37">
        <v>8137</v>
      </c>
    </row>
    <row r="24" spans="2:8" ht="15">
      <c r="B24" s="6">
        <v>3</v>
      </c>
      <c r="C24" s="15">
        <v>1</v>
      </c>
      <c r="D24" s="6">
        <v>501</v>
      </c>
      <c r="E24" s="18" t="str">
        <f t="shared" si="2"/>
        <v>40122430</v>
      </c>
      <c r="F24" s="1">
        <f t="shared" si="3"/>
        <v>0</v>
      </c>
      <c r="G24" s="38">
        <v>4012</v>
      </c>
      <c r="H24" s="37">
        <v>2430</v>
      </c>
    </row>
    <row r="25" spans="2:8" ht="15">
      <c r="B25" s="6">
        <v>3</v>
      </c>
      <c r="C25" s="15">
        <v>1</v>
      </c>
      <c r="D25" s="6">
        <v>504</v>
      </c>
      <c r="E25" s="18" t="str">
        <f t="shared" si="2"/>
        <v>40159770</v>
      </c>
      <c r="F25" s="1">
        <f t="shared" si="3"/>
        <v>0</v>
      </c>
      <c r="G25" s="38">
        <v>4015</v>
      </c>
      <c r="H25" s="37">
        <v>9770</v>
      </c>
    </row>
    <row r="26" spans="2:8" ht="15">
      <c r="B26" s="6">
        <v>3</v>
      </c>
      <c r="C26" s="15">
        <v>2</v>
      </c>
      <c r="D26" s="6">
        <v>201</v>
      </c>
      <c r="E26" s="18" t="str">
        <f t="shared" si="2"/>
        <v>40139913</v>
      </c>
      <c r="F26" s="1">
        <f t="shared" si="3"/>
        <v>0</v>
      </c>
      <c r="G26" s="38">
        <v>4013</v>
      </c>
      <c r="H26" s="37">
        <v>9913</v>
      </c>
    </row>
    <row r="27" spans="2:8" ht="15">
      <c r="B27" s="6">
        <v>3</v>
      </c>
      <c r="C27" s="15">
        <v>2</v>
      </c>
      <c r="D27" s="6">
        <v>204</v>
      </c>
      <c r="E27" s="18" t="str">
        <f t="shared" si="2"/>
        <v>40159335</v>
      </c>
      <c r="F27" s="1">
        <f t="shared" si="3"/>
        <v>0</v>
      </c>
      <c r="G27" s="38">
        <v>4015</v>
      </c>
      <c r="H27" s="37">
        <v>9335</v>
      </c>
    </row>
    <row r="28" spans="2:8" ht="15">
      <c r="B28" s="6">
        <v>3</v>
      </c>
      <c r="C28" s="15">
        <v>2</v>
      </c>
      <c r="D28" s="6">
        <v>501</v>
      </c>
      <c r="E28" s="18" t="str">
        <f t="shared" si="2"/>
        <v>40195758</v>
      </c>
      <c r="F28" s="1">
        <f t="shared" si="3"/>
        <v>0</v>
      </c>
      <c r="G28" s="38">
        <v>4019</v>
      </c>
      <c r="H28" s="37">
        <v>5758</v>
      </c>
    </row>
    <row r="29" spans="2:8" ht="15">
      <c r="B29" s="6">
        <v>3</v>
      </c>
      <c r="C29" s="15">
        <v>2</v>
      </c>
      <c r="D29" s="6">
        <v>504</v>
      </c>
      <c r="E29" s="18" t="str">
        <f t="shared" si="2"/>
        <v>40190841</v>
      </c>
      <c r="F29" s="1">
        <f t="shared" si="3"/>
        <v>0</v>
      </c>
      <c r="G29" s="38">
        <v>4019</v>
      </c>
      <c r="H29" s="38" t="s">
        <v>713</v>
      </c>
    </row>
    <row r="30" spans="2:8" ht="15">
      <c r="B30" s="6">
        <v>5</v>
      </c>
      <c r="C30" s="15">
        <v>1</v>
      </c>
      <c r="D30" s="6">
        <v>101</v>
      </c>
      <c r="E30" s="18" t="str">
        <f t="shared" si="2"/>
        <v>40158863</v>
      </c>
      <c r="F30" s="1">
        <f t="shared" si="3"/>
        <v>0</v>
      </c>
      <c r="G30" s="38" t="s">
        <v>714</v>
      </c>
      <c r="H30" s="38" t="s">
        <v>722</v>
      </c>
    </row>
    <row r="31" spans="2:8" ht="15">
      <c r="B31" s="6">
        <v>5</v>
      </c>
      <c r="C31" s="15">
        <v>1</v>
      </c>
      <c r="D31" s="6">
        <v>104</v>
      </c>
      <c r="E31" s="18" t="str">
        <f t="shared" si="2"/>
        <v>40152205</v>
      </c>
      <c r="F31" s="1">
        <f t="shared" si="3"/>
        <v>0</v>
      </c>
      <c r="G31" s="38" t="s">
        <v>714</v>
      </c>
      <c r="H31" s="38" t="s">
        <v>723</v>
      </c>
    </row>
    <row r="32" spans="2:8" ht="15">
      <c r="B32" s="6">
        <v>5</v>
      </c>
      <c r="C32" s="15">
        <v>1</v>
      </c>
      <c r="D32" s="6">
        <v>501</v>
      </c>
      <c r="E32" s="18" t="str">
        <f t="shared" si="2"/>
        <v>40182160</v>
      </c>
      <c r="F32" s="1">
        <f t="shared" si="3"/>
        <v>0</v>
      </c>
      <c r="G32" s="38" t="s">
        <v>715</v>
      </c>
      <c r="H32" s="38" t="s">
        <v>724</v>
      </c>
    </row>
    <row r="33" spans="2:8" ht="15">
      <c r="B33" s="6">
        <v>5</v>
      </c>
      <c r="C33" s="15">
        <v>1</v>
      </c>
      <c r="D33" s="6">
        <v>504</v>
      </c>
      <c r="E33" s="18" t="str">
        <f t="shared" si="2"/>
        <v>40199446</v>
      </c>
      <c r="F33" s="1">
        <f t="shared" si="3"/>
        <v>0</v>
      </c>
      <c r="G33" s="38" t="s">
        <v>716</v>
      </c>
      <c r="H33" s="38" t="s">
        <v>725</v>
      </c>
    </row>
    <row r="34" spans="2:8" ht="15">
      <c r="B34" s="6">
        <v>5</v>
      </c>
      <c r="C34" s="15">
        <v>2</v>
      </c>
      <c r="D34" s="6">
        <v>101</v>
      </c>
      <c r="E34" s="18" t="str">
        <f t="shared" si="2"/>
        <v>40176188</v>
      </c>
      <c r="F34" s="1">
        <f t="shared" si="3"/>
        <v>0</v>
      </c>
      <c r="G34" s="38" t="s">
        <v>717</v>
      </c>
      <c r="H34" s="38" t="s">
        <v>726</v>
      </c>
    </row>
    <row r="35" spans="2:8" ht="15">
      <c r="B35" s="6">
        <v>5</v>
      </c>
      <c r="C35" s="15">
        <v>2</v>
      </c>
      <c r="D35" s="6">
        <v>104</v>
      </c>
      <c r="E35" s="18" t="str">
        <f t="shared" si="2"/>
        <v>40181915</v>
      </c>
      <c r="F35" s="1">
        <f t="shared" si="3"/>
        <v>0</v>
      </c>
      <c r="G35" s="38" t="s">
        <v>715</v>
      </c>
      <c r="H35" s="38" t="s">
        <v>727</v>
      </c>
    </row>
    <row r="36" spans="2:8" ht="15">
      <c r="B36" s="6">
        <v>5</v>
      </c>
      <c r="C36" s="15">
        <v>2</v>
      </c>
      <c r="D36" s="6">
        <v>501</v>
      </c>
      <c r="E36" s="18" t="str">
        <f t="shared" si="2"/>
        <v>40164267</v>
      </c>
      <c r="F36" s="1">
        <f t="shared" si="3"/>
        <v>0</v>
      </c>
      <c r="G36" s="38" t="s">
        <v>718</v>
      </c>
      <c r="H36" s="38" t="s">
        <v>728</v>
      </c>
    </row>
    <row r="37" spans="2:8" ht="15">
      <c r="B37" s="6">
        <v>5</v>
      </c>
      <c r="C37" s="15">
        <v>2</v>
      </c>
      <c r="D37" s="6">
        <v>504</v>
      </c>
      <c r="E37" s="18" t="str">
        <f t="shared" si="2"/>
        <v>40206423</v>
      </c>
      <c r="F37" s="1">
        <f t="shared" si="3"/>
        <v>0</v>
      </c>
      <c r="G37" s="38" t="s">
        <v>719</v>
      </c>
      <c r="H37" s="38" t="s">
        <v>729</v>
      </c>
    </row>
    <row r="38" spans="2:8" ht="15">
      <c r="B38" s="6">
        <v>5</v>
      </c>
      <c r="C38" s="15">
        <v>3</v>
      </c>
      <c r="D38" s="6">
        <v>101</v>
      </c>
      <c r="E38" s="18" t="str">
        <f t="shared" si="2"/>
        <v>40161784</v>
      </c>
      <c r="F38" s="1">
        <f t="shared" si="3"/>
        <v>0</v>
      </c>
      <c r="G38" s="38" t="s">
        <v>718</v>
      </c>
      <c r="H38" s="38" t="s">
        <v>730</v>
      </c>
    </row>
    <row r="39" spans="2:8" ht="15">
      <c r="B39" s="6">
        <v>5</v>
      </c>
      <c r="C39" s="15">
        <v>3</v>
      </c>
      <c r="D39" s="6">
        <v>104</v>
      </c>
      <c r="E39" s="18" t="str">
        <f t="shared" si="2"/>
        <v>40122000</v>
      </c>
      <c r="F39" s="1">
        <f t="shared" si="3"/>
        <v>0</v>
      </c>
      <c r="G39" s="38" t="s">
        <v>720</v>
      </c>
      <c r="H39" s="38" t="s">
        <v>731</v>
      </c>
    </row>
    <row r="40" spans="2:8" ht="15">
      <c r="B40" s="6">
        <v>5</v>
      </c>
      <c r="C40" s="15">
        <v>3</v>
      </c>
      <c r="D40" s="6">
        <v>501</v>
      </c>
      <c r="E40" s="18" t="str">
        <f t="shared" si="2"/>
        <v>40135670</v>
      </c>
      <c r="F40" s="1">
        <f t="shared" si="3"/>
        <v>0</v>
      </c>
      <c r="G40" s="38" t="s">
        <v>721</v>
      </c>
      <c r="H40" s="38" t="s">
        <v>732</v>
      </c>
    </row>
    <row r="41" spans="2:8" ht="15">
      <c r="B41" s="6">
        <v>5</v>
      </c>
      <c r="C41" s="15">
        <v>3</v>
      </c>
      <c r="D41" s="6">
        <v>504</v>
      </c>
      <c r="E41" s="18" t="str">
        <f t="shared" si="2"/>
        <v>40187102</v>
      </c>
      <c r="F41" s="1">
        <f t="shared" si="3"/>
        <v>0</v>
      </c>
      <c r="G41" s="38" t="s">
        <v>715</v>
      </c>
      <c r="H41" s="38" t="s">
        <v>733</v>
      </c>
    </row>
    <row r="42" spans="2:8" ht="15">
      <c r="B42" s="6">
        <v>6</v>
      </c>
      <c r="C42" s="15">
        <v>1</v>
      </c>
      <c r="D42" s="6">
        <v>101</v>
      </c>
      <c r="E42" s="18" t="str">
        <f t="shared" si="2"/>
        <v>40158368</v>
      </c>
      <c r="F42" s="1">
        <f t="shared" si="3"/>
        <v>0</v>
      </c>
      <c r="G42" s="38" t="s">
        <v>714</v>
      </c>
      <c r="H42" s="38" t="s">
        <v>735</v>
      </c>
    </row>
    <row r="43" spans="2:8" ht="15">
      <c r="B43" s="6">
        <v>6</v>
      </c>
      <c r="C43" s="15">
        <v>1</v>
      </c>
      <c r="D43" s="6">
        <v>104</v>
      </c>
      <c r="E43" s="18" t="str">
        <f t="shared" si="2"/>
        <v>40176782</v>
      </c>
      <c r="F43" s="1">
        <f t="shared" si="3"/>
        <v>0</v>
      </c>
      <c r="G43" s="38" t="s">
        <v>717</v>
      </c>
      <c r="H43" s="38" t="s">
        <v>736</v>
      </c>
    </row>
    <row r="44" spans="2:8" ht="15">
      <c r="B44" s="6">
        <v>6</v>
      </c>
      <c r="C44" s="15">
        <v>1</v>
      </c>
      <c r="D44" s="6">
        <v>501</v>
      </c>
      <c r="E44" s="18" t="str">
        <f t="shared" si="2"/>
        <v>40167666</v>
      </c>
      <c r="F44" s="1">
        <f t="shared" si="3"/>
        <v>0</v>
      </c>
      <c r="G44" s="38" t="s">
        <v>718</v>
      </c>
      <c r="H44" s="38" t="s">
        <v>737</v>
      </c>
    </row>
    <row r="45" spans="2:8" ht="15">
      <c r="B45" s="6">
        <v>6</v>
      </c>
      <c r="C45" s="15">
        <v>1</v>
      </c>
      <c r="D45" s="6">
        <v>504</v>
      </c>
      <c r="E45" s="18" t="str">
        <f t="shared" si="2"/>
        <v>40192904</v>
      </c>
      <c r="F45" s="1">
        <f t="shared" si="3"/>
        <v>0</v>
      </c>
      <c r="G45" s="38" t="s">
        <v>716</v>
      </c>
      <c r="H45" s="38" t="s">
        <v>738</v>
      </c>
    </row>
    <row r="46" spans="2:8" ht="15">
      <c r="B46" s="6">
        <v>6</v>
      </c>
      <c r="C46" s="15">
        <v>2</v>
      </c>
      <c r="D46" s="6">
        <v>101</v>
      </c>
      <c r="E46" s="18" t="str">
        <f t="shared" si="2"/>
        <v>40178747</v>
      </c>
      <c r="F46" s="1">
        <f t="shared" si="3"/>
        <v>0</v>
      </c>
      <c r="G46" s="38" t="s">
        <v>717</v>
      </c>
      <c r="H46" s="38" t="s">
        <v>739</v>
      </c>
    </row>
    <row r="47" spans="2:8" ht="15">
      <c r="B47" s="6">
        <v>6</v>
      </c>
      <c r="C47" s="15">
        <v>2</v>
      </c>
      <c r="D47" s="6">
        <v>104</v>
      </c>
      <c r="E47" s="18" t="str">
        <f t="shared" si="2"/>
        <v>40168201</v>
      </c>
      <c r="F47" s="1">
        <f t="shared" si="3"/>
        <v>0</v>
      </c>
      <c r="G47" s="38" t="s">
        <v>718</v>
      </c>
      <c r="H47" s="38" t="s">
        <v>740</v>
      </c>
    </row>
    <row r="48" spans="2:8" ht="15">
      <c r="B48" s="6">
        <v>6</v>
      </c>
      <c r="C48" s="15">
        <v>2</v>
      </c>
      <c r="D48" s="6">
        <v>501</v>
      </c>
      <c r="E48" s="18" t="str">
        <f t="shared" si="2"/>
        <v>40121713</v>
      </c>
      <c r="F48" s="1">
        <f t="shared" si="3"/>
        <v>0</v>
      </c>
      <c r="G48" s="38" t="s">
        <v>720</v>
      </c>
      <c r="H48" s="38" t="s">
        <v>741</v>
      </c>
    </row>
    <row r="49" spans="2:8" ht="15">
      <c r="B49" s="6">
        <v>6</v>
      </c>
      <c r="C49" s="15">
        <v>2</v>
      </c>
      <c r="D49" s="6">
        <v>504</v>
      </c>
      <c r="E49" s="18" t="str">
        <f t="shared" si="2"/>
        <v>40111086</v>
      </c>
      <c r="F49" s="1">
        <f t="shared" si="3"/>
        <v>0</v>
      </c>
      <c r="G49" s="38" t="s">
        <v>734</v>
      </c>
      <c r="H49" s="38" t="s">
        <v>742</v>
      </c>
    </row>
    <row r="50" spans="2:8" ht="15">
      <c r="B50" s="6">
        <v>7</v>
      </c>
      <c r="C50" s="15">
        <v>1</v>
      </c>
      <c r="D50" s="6">
        <v>101</v>
      </c>
      <c r="E50" s="18" t="str">
        <f t="shared" si="2"/>
        <v>40205748</v>
      </c>
      <c r="F50" s="1">
        <f t="shared" si="3"/>
        <v>0</v>
      </c>
      <c r="G50" s="38" t="s">
        <v>719</v>
      </c>
      <c r="H50" s="38" t="s">
        <v>743</v>
      </c>
    </row>
    <row r="51" spans="2:8" ht="15">
      <c r="B51" s="6">
        <v>7</v>
      </c>
      <c r="C51" s="15">
        <v>1</v>
      </c>
      <c r="D51" s="6">
        <v>104</v>
      </c>
      <c r="E51" s="18" t="str">
        <f t="shared" si="2"/>
        <v>40128536</v>
      </c>
      <c r="F51" s="1">
        <f t="shared" si="3"/>
        <v>0</v>
      </c>
      <c r="G51" s="38" t="s">
        <v>720</v>
      </c>
      <c r="H51" s="38" t="s">
        <v>744</v>
      </c>
    </row>
    <row r="52" spans="2:8" ht="15">
      <c r="B52" s="6">
        <v>7</v>
      </c>
      <c r="C52" s="15">
        <v>1</v>
      </c>
      <c r="D52" s="6">
        <v>601</v>
      </c>
      <c r="E52" s="18" t="str">
        <f t="shared" si="2"/>
        <v>40133290</v>
      </c>
      <c r="F52" s="1">
        <f t="shared" si="3"/>
        <v>0</v>
      </c>
      <c r="G52" s="38" t="s">
        <v>721</v>
      </c>
      <c r="H52" s="38" t="s">
        <v>745</v>
      </c>
    </row>
    <row r="53" spans="2:8" ht="15">
      <c r="B53" s="6">
        <v>7</v>
      </c>
      <c r="C53" s="15">
        <v>1</v>
      </c>
      <c r="D53" s="6">
        <v>604</v>
      </c>
      <c r="E53" s="18" t="str">
        <f t="shared" si="2"/>
        <v>40153666</v>
      </c>
      <c r="F53" s="1">
        <f t="shared" si="3"/>
        <v>0</v>
      </c>
      <c r="G53" s="38" t="s">
        <v>714</v>
      </c>
      <c r="H53" s="38" t="s">
        <v>746</v>
      </c>
    </row>
    <row r="54" spans="2:8" ht="15">
      <c r="B54" s="6">
        <v>7</v>
      </c>
      <c r="C54" s="15">
        <v>2</v>
      </c>
      <c r="D54" s="6">
        <v>101</v>
      </c>
      <c r="E54" s="18" t="str">
        <f t="shared" si="2"/>
        <v>40192284</v>
      </c>
      <c r="F54" s="1">
        <f t="shared" si="3"/>
        <v>0</v>
      </c>
      <c r="G54" s="38" t="s">
        <v>716</v>
      </c>
      <c r="H54" s="38" t="s">
        <v>747</v>
      </c>
    </row>
    <row r="55" spans="2:8" ht="15">
      <c r="B55" s="6">
        <v>7</v>
      </c>
      <c r="C55" s="15">
        <v>2</v>
      </c>
      <c r="D55" s="6">
        <v>104</v>
      </c>
      <c r="E55" s="18" t="str">
        <f t="shared" si="2"/>
        <v>40132843</v>
      </c>
      <c r="F55" s="1">
        <f t="shared" si="3"/>
        <v>0</v>
      </c>
      <c r="G55" s="38" t="s">
        <v>721</v>
      </c>
      <c r="H55" s="38" t="s">
        <v>748</v>
      </c>
    </row>
    <row r="56" spans="2:8" ht="15">
      <c r="B56" s="6">
        <v>7</v>
      </c>
      <c r="C56" s="15">
        <v>2</v>
      </c>
      <c r="D56" s="6">
        <v>601</v>
      </c>
      <c r="E56" s="18" t="str">
        <f t="shared" si="2"/>
        <v>40121853</v>
      </c>
      <c r="F56" s="1">
        <f t="shared" si="3"/>
        <v>0</v>
      </c>
      <c r="G56" s="38" t="s">
        <v>720</v>
      </c>
      <c r="H56" s="38" t="s">
        <v>749</v>
      </c>
    </row>
    <row r="57" spans="2:8" ht="15">
      <c r="B57" s="6">
        <v>7</v>
      </c>
      <c r="C57" s="15">
        <v>2</v>
      </c>
      <c r="D57" s="6">
        <v>604</v>
      </c>
      <c r="E57" s="18" t="str">
        <f t="shared" si="2"/>
        <v>40185585</v>
      </c>
      <c r="F57" s="1">
        <f t="shared" si="3"/>
        <v>0</v>
      </c>
      <c r="G57" s="38" t="s">
        <v>715</v>
      </c>
      <c r="H57" s="38" t="s">
        <v>750</v>
      </c>
    </row>
    <row r="58" spans="2:8" ht="15">
      <c r="B58" s="6">
        <v>9</v>
      </c>
      <c r="C58" s="15">
        <v>1</v>
      </c>
      <c r="D58" s="6">
        <v>101</v>
      </c>
      <c r="E58" s="18" t="str">
        <f t="shared" si="2"/>
        <v>40178684</v>
      </c>
      <c r="F58" s="1">
        <f t="shared" si="3"/>
        <v>0</v>
      </c>
      <c r="G58" s="38" t="s">
        <v>717</v>
      </c>
      <c r="H58" s="38" t="s">
        <v>751</v>
      </c>
    </row>
    <row r="59" spans="2:8" ht="15">
      <c r="B59" s="6">
        <v>9</v>
      </c>
      <c r="C59" s="15">
        <v>1</v>
      </c>
      <c r="D59" s="6">
        <v>104</v>
      </c>
      <c r="E59" s="18" t="str">
        <f t="shared" si="2"/>
        <v>40192516</v>
      </c>
      <c r="F59" s="1">
        <f t="shared" si="3"/>
        <v>0</v>
      </c>
      <c r="G59" s="38" t="s">
        <v>716</v>
      </c>
      <c r="H59" s="38" t="s">
        <v>752</v>
      </c>
    </row>
    <row r="60" spans="2:8" ht="15">
      <c r="B60" s="6">
        <v>9</v>
      </c>
      <c r="C60" s="15">
        <v>1</v>
      </c>
      <c r="D60" s="6">
        <v>501</v>
      </c>
      <c r="E60" s="18" t="str">
        <f t="shared" si="2"/>
        <v>40118826</v>
      </c>
      <c r="F60" s="1">
        <f t="shared" si="3"/>
        <v>0</v>
      </c>
      <c r="G60" s="38" t="s">
        <v>734</v>
      </c>
      <c r="H60" s="38" t="s">
        <v>753</v>
      </c>
    </row>
    <row r="61" spans="2:8" ht="15">
      <c r="B61" s="6">
        <v>9</v>
      </c>
      <c r="C61" s="15">
        <v>1</v>
      </c>
      <c r="D61" s="6">
        <v>504</v>
      </c>
      <c r="E61" s="18" t="str">
        <f t="shared" si="2"/>
        <v>40137396</v>
      </c>
      <c r="F61" s="1">
        <f t="shared" si="3"/>
        <v>0</v>
      </c>
      <c r="G61" s="38" t="s">
        <v>721</v>
      </c>
      <c r="H61" s="38" t="s">
        <v>754</v>
      </c>
    </row>
    <row r="62" spans="2:8" ht="15">
      <c r="B62" s="6">
        <v>9</v>
      </c>
      <c r="C62" s="15">
        <v>2</v>
      </c>
      <c r="D62" s="6">
        <v>101</v>
      </c>
      <c r="E62" s="18" t="str">
        <f t="shared" si="2"/>
        <v>40190767</v>
      </c>
      <c r="F62" s="1">
        <f t="shared" si="3"/>
        <v>0</v>
      </c>
      <c r="G62" s="38" t="s">
        <v>716</v>
      </c>
      <c r="H62" s="38" t="s">
        <v>755</v>
      </c>
    </row>
    <row r="63" spans="2:8" ht="15">
      <c r="B63" s="6">
        <v>9</v>
      </c>
      <c r="C63" s="15">
        <v>2</v>
      </c>
      <c r="D63" s="6">
        <v>104</v>
      </c>
      <c r="E63" s="18" t="str">
        <f t="shared" si="2"/>
        <v>40159754</v>
      </c>
      <c r="F63" s="1">
        <f t="shared" si="3"/>
        <v>0</v>
      </c>
      <c r="G63" s="38" t="s">
        <v>714</v>
      </c>
      <c r="H63" s="38" t="s">
        <v>756</v>
      </c>
    </row>
    <row r="64" spans="2:8" ht="15">
      <c r="B64" s="6">
        <v>9</v>
      </c>
      <c r="C64" s="15">
        <v>2</v>
      </c>
      <c r="D64" s="6">
        <v>501</v>
      </c>
      <c r="E64" s="18" t="str">
        <f t="shared" si="2"/>
        <v>40133411</v>
      </c>
      <c r="F64" s="1">
        <f t="shared" si="3"/>
        <v>0</v>
      </c>
      <c r="G64" s="38" t="s">
        <v>721</v>
      </c>
      <c r="H64" s="38" t="s">
        <v>757</v>
      </c>
    </row>
    <row r="65" spans="2:8" ht="15">
      <c r="B65" s="6">
        <v>9</v>
      </c>
      <c r="C65" s="15">
        <v>2</v>
      </c>
      <c r="D65" s="6">
        <v>504</v>
      </c>
      <c r="E65" s="18" t="str">
        <f t="shared" si="2"/>
        <v>40175107</v>
      </c>
      <c r="F65" s="1">
        <f t="shared" si="3"/>
        <v>0</v>
      </c>
      <c r="G65" s="38" t="s">
        <v>717</v>
      </c>
      <c r="H65" s="38" t="s">
        <v>758</v>
      </c>
    </row>
    <row r="66" spans="2:8" ht="15">
      <c r="B66" s="6">
        <v>9</v>
      </c>
      <c r="C66" s="15">
        <v>3</v>
      </c>
      <c r="D66" s="6">
        <v>101</v>
      </c>
      <c r="E66" s="18" t="str">
        <f t="shared" si="2"/>
        <v>40128379</v>
      </c>
      <c r="F66" s="1">
        <f t="shared" si="3"/>
        <v>0</v>
      </c>
      <c r="G66" s="38" t="s">
        <v>720</v>
      </c>
      <c r="H66" s="38" t="s">
        <v>759</v>
      </c>
    </row>
    <row r="67" spans="2:8" ht="15">
      <c r="B67" s="6">
        <v>9</v>
      </c>
      <c r="C67" s="15">
        <v>3</v>
      </c>
      <c r="D67" s="6">
        <v>104</v>
      </c>
      <c r="E67" s="18" t="str">
        <f t="shared" si="2"/>
        <v>40190734</v>
      </c>
      <c r="F67" s="1">
        <f t="shared" si="3"/>
        <v>0</v>
      </c>
      <c r="G67" s="38" t="s">
        <v>716</v>
      </c>
      <c r="H67" s="38" t="s">
        <v>760</v>
      </c>
    </row>
    <row r="68" spans="2:8" ht="15">
      <c r="B68" s="6">
        <v>9</v>
      </c>
      <c r="C68" s="15">
        <v>3</v>
      </c>
      <c r="D68" s="6">
        <v>501</v>
      </c>
      <c r="E68" s="18" t="str">
        <f t="shared" si="2"/>
        <v>40121952</v>
      </c>
      <c r="F68" s="1">
        <f t="shared" si="3"/>
        <v>0</v>
      </c>
      <c r="G68" s="38" t="s">
        <v>720</v>
      </c>
      <c r="H68" s="38" t="s">
        <v>761</v>
      </c>
    </row>
    <row r="69" spans="2:8" ht="15">
      <c r="B69" s="6">
        <v>9</v>
      </c>
      <c r="C69" s="15">
        <v>3</v>
      </c>
      <c r="D69" s="6">
        <v>504</v>
      </c>
      <c r="E69" s="18" t="str">
        <f t="shared" si="2"/>
        <v>40199354</v>
      </c>
      <c r="F69" s="1">
        <f t="shared" si="3"/>
        <v>0</v>
      </c>
      <c r="G69" s="38" t="s">
        <v>716</v>
      </c>
      <c r="H69" s="38" t="s">
        <v>762</v>
      </c>
    </row>
    <row r="70" spans="2:8" ht="15">
      <c r="B70" s="6">
        <v>10</v>
      </c>
      <c r="C70" s="15">
        <v>1</v>
      </c>
      <c r="D70" s="6">
        <v>101</v>
      </c>
      <c r="E70" s="18" t="str">
        <f t="shared" si="2"/>
        <v>40138105</v>
      </c>
      <c r="F70" s="1">
        <f t="shared" si="3"/>
        <v>0</v>
      </c>
      <c r="G70" s="38" t="s">
        <v>721</v>
      </c>
      <c r="H70" s="38" t="s">
        <v>763</v>
      </c>
    </row>
    <row r="71" spans="2:8" ht="15">
      <c r="B71" s="6">
        <v>10</v>
      </c>
      <c r="C71" s="15">
        <v>1</v>
      </c>
      <c r="D71" s="6">
        <v>104</v>
      </c>
      <c r="E71" s="18" t="str">
        <f t="shared" si="2"/>
        <v>40175834</v>
      </c>
      <c r="F71" s="1">
        <f t="shared" si="3"/>
        <v>0</v>
      </c>
      <c r="G71" s="38" t="s">
        <v>717</v>
      </c>
      <c r="H71" s="38" t="s">
        <v>764</v>
      </c>
    </row>
    <row r="72" spans="2:8" ht="15">
      <c r="B72" s="6">
        <v>10</v>
      </c>
      <c r="C72" s="15">
        <v>1</v>
      </c>
      <c r="D72" s="6">
        <v>501</v>
      </c>
      <c r="E72" s="18" t="str">
        <f t="shared" si="2"/>
        <v>40167732</v>
      </c>
      <c r="F72" s="1">
        <f t="shared" si="3"/>
        <v>0</v>
      </c>
      <c r="G72" s="38" t="s">
        <v>718</v>
      </c>
      <c r="H72" s="38" t="s">
        <v>765</v>
      </c>
    </row>
    <row r="73" spans="2:8" ht="15">
      <c r="B73" s="6">
        <v>10</v>
      </c>
      <c r="C73" s="15">
        <v>1</v>
      </c>
      <c r="D73" s="6">
        <v>504</v>
      </c>
      <c r="E73" s="18" t="str">
        <f t="shared" si="2"/>
        <v>40162444</v>
      </c>
      <c r="F73" s="1">
        <f t="shared" si="3"/>
        <v>0</v>
      </c>
      <c r="G73" s="38" t="s">
        <v>718</v>
      </c>
      <c r="H73" s="38" t="s">
        <v>766</v>
      </c>
    </row>
    <row r="74" spans="2:8" ht="15">
      <c r="B74" s="6">
        <v>10</v>
      </c>
      <c r="C74" s="15">
        <v>2</v>
      </c>
      <c r="D74" s="6">
        <v>101</v>
      </c>
      <c r="E74" s="18" t="str">
        <f t="shared" si="2"/>
        <v>40122273</v>
      </c>
      <c r="F74" s="1">
        <f t="shared" si="3"/>
        <v>0</v>
      </c>
      <c r="G74" s="38" t="s">
        <v>720</v>
      </c>
      <c r="H74" s="38" t="s">
        <v>767</v>
      </c>
    </row>
    <row r="75" spans="2:8" ht="15">
      <c r="B75" s="6">
        <v>10</v>
      </c>
      <c r="C75" s="15">
        <v>2</v>
      </c>
      <c r="D75" s="6">
        <v>104</v>
      </c>
      <c r="E75" s="18" t="str">
        <f t="shared" si="2"/>
        <v>40189037</v>
      </c>
      <c r="F75" s="1">
        <f t="shared" si="3"/>
        <v>0</v>
      </c>
      <c r="G75" s="38" t="s">
        <v>715</v>
      </c>
      <c r="H75" s="38" t="s">
        <v>768</v>
      </c>
    </row>
    <row r="76" spans="2:8" ht="15">
      <c r="B76" s="6">
        <v>10</v>
      </c>
      <c r="C76" s="15">
        <v>2</v>
      </c>
      <c r="D76" s="6">
        <v>501</v>
      </c>
      <c r="E76" s="18" t="str">
        <f t="shared" si="2"/>
        <v>40185494</v>
      </c>
      <c r="F76" s="1">
        <f t="shared" si="3"/>
        <v>0</v>
      </c>
      <c r="G76" s="38" t="s">
        <v>715</v>
      </c>
      <c r="H76" s="38" t="s">
        <v>769</v>
      </c>
    </row>
    <row r="77" spans="2:8" ht="15">
      <c r="B77" s="6">
        <v>10</v>
      </c>
      <c r="C77" s="15">
        <v>2</v>
      </c>
      <c r="D77" s="6">
        <v>504</v>
      </c>
      <c r="E77" s="18" t="str">
        <f t="shared" si="2"/>
        <v>40196897</v>
      </c>
      <c r="F77" s="1">
        <f t="shared" si="3"/>
        <v>0</v>
      </c>
      <c r="G77" s="38" t="s">
        <v>716</v>
      </c>
      <c r="H77" s="38" t="s">
        <v>770</v>
      </c>
    </row>
    <row r="78" spans="2:8" ht="15">
      <c r="B78" s="6">
        <v>11</v>
      </c>
      <c r="C78" s="15">
        <v>1</v>
      </c>
      <c r="D78" s="6">
        <v>101</v>
      </c>
      <c r="E78" s="18" t="str">
        <f t="shared" si="2"/>
        <v>40163673</v>
      </c>
      <c r="F78" s="1">
        <f t="shared" si="3"/>
        <v>0</v>
      </c>
      <c r="G78" s="38" t="s">
        <v>718</v>
      </c>
      <c r="H78" s="38" t="s">
        <v>771</v>
      </c>
    </row>
    <row r="79" spans="2:8" ht="15">
      <c r="B79" s="6">
        <v>11</v>
      </c>
      <c r="C79" s="15">
        <v>1</v>
      </c>
      <c r="D79" s="6">
        <v>104</v>
      </c>
      <c r="E79" s="18" t="str">
        <f t="shared" si="2"/>
        <v>40175271</v>
      </c>
      <c r="F79" s="1">
        <f t="shared" si="3"/>
        <v>0</v>
      </c>
      <c r="G79" s="38" t="s">
        <v>717</v>
      </c>
      <c r="H79" s="38" t="s">
        <v>772</v>
      </c>
    </row>
    <row r="80" spans="2:8" ht="15">
      <c r="B80" s="6">
        <v>11</v>
      </c>
      <c r="C80" s="15">
        <v>1</v>
      </c>
      <c r="D80" s="6">
        <v>601</v>
      </c>
      <c r="E80" s="18" t="str">
        <f t="shared" si="2"/>
        <v>40199727</v>
      </c>
      <c r="F80" s="1">
        <f t="shared" si="3"/>
        <v>0</v>
      </c>
      <c r="G80" s="38" t="s">
        <v>716</v>
      </c>
      <c r="H80" s="38" t="s">
        <v>773</v>
      </c>
    </row>
    <row r="81" spans="2:8" ht="15">
      <c r="B81" s="6">
        <v>11</v>
      </c>
      <c r="C81" s="15">
        <v>1</v>
      </c>
      <c r="D81" s="6">
        <v>604</v>
      </c>
      <c r="E81" s="18" t="str">
        <f t="shared" si="2"/>
        <v>40158061</v>
      </c>
      <c r="F81" s="1">
        <f t="shared" si="3"/>
        <v>0</v>
      </c>
      <c r="G81" s="38" t="s">
        <v>714</v>
      </c>
      <c r="H81" s="38" t="s">
        <v>774</v>
      </c>
    </row>
    <row r="82" spans="2:8" ht="15">
      <c r="B82" s="6">
        <v>11</v>
      </c>
      <c r="C82" s="15">
        <v>2</v>
      </c>
      <c r="D82" s="6">
        <v>101</v>
      </c>
      <c r="E82" s="18" t="str">
        <f t="shared" si="2"/>
        <v>40204717</v>
      </c>
      <c r="F82" s="1">
        <f t="shared" si="3"/>
        <v>0</v>
      </c>
      <c r="G82" s="38" t="s">
        <v>719</v>
      </c>
      <c r="H82" s="38" t="s">
        <v>775</v>
      </c>
    </row>
    <row r="83" spans="2:8" ht="15">
      <c r="B83" s="6">
        <v>11</v>
      </c>
      <c r="C83" s="15">
        <v>2</v>
      </c>
      <c r="D83" s="6">
        <v>104</v>
      </c>
      <c r="E83" s="18" t="str">
        <f t="shared" si="2"/>
        <v>40122323</v>
      </c>
      <c r="F83" s="1">
        <f t="shared" si="3"/>
        <v>0</v>
      </c>
      <c r="G83" s="38" t="s">
        <v>720</v>
      </c>
      <c r="H83" s="38" t="s">
        <v>776</v>
      </c>
    </row>
    <row r="84" spans="2:8" ht="15">
      <c r="B84" s="6">
        <v>11</v>
      </c>
      <c r="C84" s="15">
        <v>2</v>
      </c>
      <c r="D84" s="6">
        <v>601</v>
      </c>
      <c r="E84" s="18" t="str">
        <f t="shared" si="2"/>
        <v>40175537</v>
      </c>
      <c r="F84" s="1">
        <f t="shared" si="3"/>
        <v>0</v>
      </c>
      <c r="G84" s="38" t="s">
        <v>717</v>
      </c>
      <c r="H84" s="38" t="s">
        <v>777</v>
      </c>
    </row>
    <row r="85" spans="2:8" ht="15">
      <c r="B85" s="6">
        <v>11</v>
      </c>
      <c r="C85" s="15">
        <v>2</v>
      </c>
      <c r="D85" s="6">
        <v>604</v>
      </c>
      <c r="E85" s="18" t="str">
        <f t="shared" si="2"/>
        <v>40158194</v>
      </c>
      <c r="F85" s="1">
        <f t="shared" si="3"/>
        <v>0</v>
      </c>
      <c r="G85" s="38" t="s">
        <v>714</v>
      </c>
      <c r="H85" s="38" t="s">
        <v>778</v>
      </c>
    </row>
    <row r="86" spans="2:8" ht="15">
      <c r="B86" s="6" t="s">
        <v>779</v>
      </c>
      <c r="C86" s="15">
        <v>1</v>
      </c>
      <c r="D86" s="6">
        <v>101</v>
      </c>
      <c r="E86" s="18" t="str">
        <f t="shared" ref="E86:E141" si="4">G86&amp;H86</f>
        <v>40158124</v>
      </c>
      <c r="F86" s="1">
        <f t="shared" ref="F86:F141" si="5">IF(VALUE(LEFT(D86,LEN(D86)-2))&lt;10,0,IF(VALUE(LEFT(D86,LEN(D86)-2))&lt;20,1,2))</f>
        <v>0</v>
      </c>
      <c r="G86" s="38" t="s">
        <v>714</v>
      </c>
      <c r="H86" s="38" t="s">
        <v>780</v>
      </c>
    </row>
    <row r="87" spans="2:8" ht="15">
      <c r="B87" s="6" t="s">
        <v>779</v>
      </c>
      <c r="C87" s="15">
        <v>1</v>
      </c>
      <c r="D87" s="6">
        <v>102</v>
      </c>
      <c r="E87" s="18" t="str">
        <f t="shared" si="4"/>
        <v>40128353</v>
      </c>
      <c r="F87" s="1">
        <f t="shared" si="5"/>
        <v>0</v>
      </c>
      <c r="G87" s="38" t="s">
        <v>720</v>
      </c>
      <c r="H87" s="38" t="s">
        <v>781</v>
      </c>
    </row>
    <row r="88" spans="2:8" ht="15">
      <c r="B88" s="6" t="s">
        <v>779</v>
      </c>
      <c r="C88" s="15">
        <v>1</v>
      </c>
      <c r="D88" s="6">
        <v>501</v>
      </c>
      <c r="E88" s="18" t="str">
        <f t="shared" si="4"/>
        <v>40169092</v>
      </c>
      <c r="F88" s="1">
        <f t="shared" si="5"/>
        <v>0</v>
      </c>
      <c r="G88" s="38" t="s">
        <v>718</v>
      </c>
      <c r="H88" s="38" t="s">
        <v>782</v>
      </c>
    </row>
    <row r="89" spans="2:8" ht="15">
      <c r="B89" s="6" t="s">
        <v>779</v>
      </c>
      <c r="C89" s="15">
        <v>1</v>
      </c>
      <c r="D89" s="6">
        <v>502</v>
      </c>
      <c r="E89" s="18" t="str">
        <f t="shared" si="4"/>
        <v>40118727</v>
      </c>
      <c r="F89" s="1">
        <f t="shared" si="5"/>
        <v>0</v>
      </c>
      <c r="G89" s="38" t="s">
        <v>734</v>
      </c>
      <c r="H89" s="38" t="s">
        <v>783</v>
      </c>
    </row>
    <row r="90" spans="2:8" ht="15">
      <c r="B90" s="6" t="s">
        <v>779</v>
      </c>
      <c r="C90" s="15">
        <v>2</v>
      </c>
      <c r="D90" s="6">
        <v>101</v>
      </c>
      <c r="E90" s="18" t="str">
        <f t="shared" si="4"/>
        <v>40121994</v>
      </c>
      <c r="F90" s="1">
        <f t="shared" si="5"/>
        <v>0</v>
      </c>
      <c r="G90" s="38" t="s">
        <v>720</v>
      </c>
      <c r="H90" s="38" t="s">
        <v>784</v>
      </c>
    </row>
    <row r="91" spans="2:8" ht="15">
      <c r="B91" s="6" t="s">
        <v>779</v>
      </c>
      <c r="C91" s="15">
        <v>2</v>
      </c>
      <c r="D91" s="6">
        <v>102</v>
      </c>
      <c r="E91" s="18" t="str">
        <f t="shared" si="4"/>
        <v>40176121</v>
      </c>
      <c r="F91" s="1">
        <f t="shared" si="5"/>
        <v>0</v>
      </c>
      <c r="G91" s="38" t="s">
        <v>717</v>
      </c>
      <c r="H91" s="38" t="s">
        <v>785</v>
      </c>
    </row>
    <row r="92" spans="2:8" ht="15">
      <c r="B92" s="6" t="s">
        <v>779</v>
      </c>
      <c r="C92" s="15">
        <v>2</v>
      </c>
      <c r="D92" s="6">
        <v>501</v>
      </c>
      <c r="E92" s="18" t="str">
        <f t="shared" si="4"/>
        <v>40188316</v>
      </c>
      <c r="F92" s="1">
        <f t="shared" si="5"/>
        <v>0</v>
      </c>
      <c r="G92" s="38" t="s">
        <v>715</v>
      </c>
      <c r="H92" s="38" t="s">
        <v>786</v>
      </c>
    </row>
    <row r="93" spans="2:8" ht="15">
      <c r="B93" s="6" t="s">
        <v>779</v>
      </c>
      <c r="C93" s="15">
        <v>2</v>
      </c>
      <c r="D93" s="6">
        <v>502</v>
      </c>
      <c r="E93" s="18" t="str">
        <f t="shared" si="4"/>
        <v>40161727</v>
      </c>
      <c r="F93" s="1">
        <f t="shared" si="5"/>
        <v>0</v>
      </c>
      <c r="G93" s="38" t="s">
        <v>718</v>
      </c>
      <c r="H93" s="38" t="s">
        <v>787</v>
      </c>
    </row>
    <row r="94" spans="2:8" ht="15">
      <c r="B94" s="6" t="s">
        <v>779</v>
      </c>
      <c r="C94" s="15">
        <v>3</v>
      </c>
      <c r="D94" s="6">
        <v>101</v>
      </c>
      <c r="E94" s="18" t="str">
        <f t="shared" si="4"/>
        <v>40176220</v>
      </c>
      <c r="F94" s="1">
        <f t="shared" si="5"/>
        <v>0</v>
      </c>
      <c r="G94" s="38" t="s">
        <v>717</v>
      </c>
      <c r="H94" s="38" t="s">
        <v>788</v>
      </c>
    </row>
    <row r="95" spans="2:8" ht="15">
      <c r="B95" s="6" t="s">
        <v>779</v>
      </c>
      <c r="C95" s="15">
        <v>3</v>
      </c>
      <c r="D95" s="6">
        <v>102</v>
      </c>
      <c r="E95" s="18" t="str">
        <f t="shared" si="4"/>
        <v>40207272</v>
      </c>
      <c r="F95" s="1">
        <f t="shared" si="5"/>
        <v>0</v>
      </c>
      <c r="G95" s="38" t="s">
        <v>719</v>
      </c>
      <c r="H95" s="38" t="s">
        <v>789</v>
      </c>
    </row>
    <row r="96" spans="2:8" ht="15">
      <c r="B96" s="6" t="s">
        <v>779</v>
      </c>
      <c r="C96" s="15">
        <v>3</v>
      </c>
      <c r="D96" s="6">
        <v>501</v>
      </c>
      <c r="E96" s="18" t="str">
        <f t="shared" si="4"/>
        <v>40187920</v>
      </c>
      <c r="F96" s="1">
        <f t="shared" si="5"/>
        <v>0</v>
      </c>
      <c r="G96" s="38" t="s">
        <v>715</v>
      </c>
      <c r="H96" s="38" t="s">
        <v>790</v>
      </c>
    </row>
    <row r="97" spans="2:8" ht="15">
      <c r="B97" s="6" t="s">
        <v>779</v>
      </c>
      <c r="C97" s="15">
        <v>3</v>
      </c>
      <c r="D97" s="6">
        <v>502</v>
      </c>
      <c r="E97" s="18" t="str">
        <f t="shared" si="4"/>
        <v>40121911</v>
      </c>
      <c r="F97" s="1">
        <f t="shared" si="5"/>
        <v>0</v>
      </c>
      <c r="G97" s="38" t="s">
        <v>720</v>
      </c>
      <c r="H97" s="38" t="s">
        <v>791</v>
      </c>
    </row>
    <row r="98" spans="2:8" ht="15">
      <c r="B98" s="6" t="s">
        <v>792</v>
      </c>
      <c r="C98" s="15">
        <v>1</v>
      </c>
      <c r="D98" s="6">
        <v>101</v>
      </c>
      <c r="E98" s="18" t="str">
        <f t="shared" si="4"/>
        <v>40160620</v>
      </c>
      <c r="F98" s="1">
        <f t="shared" si="5"/>
        <v>0</v>
      </c>
      <c r="G98" s="38" t="s">
        <v>718</v>
      </c>
      <c r="H98" s="38" t="s">
        <v>793</v>
      </c>
    </row>
    <row r="99" spans="2:8" ht="15">
      <c r="B99" s="6" t="s">
        <v>792</v>
      </c>
      <c r="C99" s="15">
        <v>1</v>
      </c>
      <c r="D99" s="6">
        <v>102</v>
      </c>
      <c r="E99" s="18" t="str">
        <f t="shared" si="4"/>
        <v>40161370</v>
      </c>
      <c r="F99" s="1">
        <f t="shared" si="5"/>
        <v>0</v>
      </c>
      <c r="G99" s="38" t="s">
        <v>718</v>
      </c>
      <c r="H99" s="38" t="s">
        <v>794</v>
      </c>
    </row>
    <row r="100" spans="2:8" ht="15">
      <c r="B100" s="6" t="s">
        <v>792</v>
      </c>
      <c r="C100" s="15">
        <v>1</v>
      </c>
      <c r="D100" s="6">
        <v>501</v>
      </c>
      <c r="E100" s="18" t="str">
        <f t="shared" si="4"/>
        <v>40175339</v>
      </c>
      <c r="F100" s="1">
        <f t="shared" si="5"/>
        <v>0</v>
      </c>
      <c r="G100" s="38" t="s">
        <v>717</v>
      </c>
      <c r="H100" s="38" t="s">
        <v>795</v>
      </c>
    </row>
    <row r="101" spans="2:8" ht="15">
      <c r="B101" s="6" t="s">
        <v>792</v>
      </c>
      <c r="C101" s="15">
        <v>1</v>
      </c>
      <c r="D101" s="6">
        <v>502</v>
      </c>
      <c r="E101" s="18" t="str">
        <f t="shared" si="4"/>
        <v>40118925</v>
      </c>
      <c r="F101" s="1">
        <f t="shared" si="5"/>
        <v>0</v>
      </c>
      <c r="G101" s="38" t="s">
        <v>734</v>
      </c>
      <c r="H101" s="38" t="s">
        <v>796</v>
      </c>
    </row>
    <row r="102" spans="2:8" ht="15">
      <c r="B102" s="6" t="s">
        <v>792</v>
      </c>
      <c r="C102" s="15">
        <v>2</v>
      </c>
      <c r="D102" s="6">
        <v>101</v>
      </c>
      <c r="E102" s="18" t="str">
        <f t="shared" si="4"/>
        <v>40132629</v>
      </c>
      <c r="F102" s="1">
        <f t="shared" si="5"/>
        <v>0</v>
      </c>
      <c r="G102" s="38" t="s">
        <v>721</v>
      </c>
      <c r="H102" s="38" t="s">
        <v>797</v>
      </c>
    </row>
    <row r="103" spans="2:8" ht="15">
      <c r="B103" s="6" t="s">
        <v>792</v>
      </c>
      <c r="C103" s="15">
        <v>2</v>
      </c>
      <c r="D103" s="6">
        <v>102</v>
      </c>
      <c r="E103" s="18" t="str">
        <f t="shared" si="4"/>
        <v>40136018</v>
      </c>
      <c r="F103" s="1">
        <f t="shared" si="5"/>
        <v>0</v>
      </c>
      <c r="G103" s="38" t="s">
        <v>721</v>
      </c>
      <c r="H103" s="38" t="s">
        <v>798</v>
      </c>
    </row>
    <row r="104" spans="2:8" ht="15">
      <c r="B104" s="6" t="s">
        <v>792</v>
      </c>
      <c r="C104" s="15">
        <v>2</v>
      </c>
      <c r="D104" s="6">
        <v>501</v>
      </c>
      <c r="E104" s="18" t="str">
        <f t="shared" si="4"/>
        <v>40176287</v>
      </c>
      <c r="F104" s="1">
        <f t="shared" si="5"/>
        <v>0</v>
      </c>
      <c r="G104" s="38" t="s">
        <v>717</v>
      </c>
      <c r="H104" s="38" t="s">
        <v>799</v>
      </c>
    </row>
    <row r="105" spans="2:8" ht="15">
      <c r="B105" s="6" t="s">
        <v>792</v>
      </c>
      <c r="C105" s="15">
        <v>2</v>
      </c>
      <c r="D105" s="6">
        <v>502</v>
      </c>
      <c r="E105" s="18" t="str">
        <f t="shared" si="4"/>
        <v>40176808</v>
      </c>
      <c r="F105" s="1">
        <f t="shared" si="5"/>
        <v>0</v>
      </c>
      <c r="G105" s="38" t="s">
        <v>717</v>
      </c>
      <c r="H105" s="38" t="s">
        <v>800</v>
      </c>
    </row>
    <row r="106" spans="2:8" ht="15">
      <c r="B106" s="6" t="s">
        <v>792</v>
      </c>
      <c r="C106" s="15">
        <v>3</v>
      </c>
      <c r="D106" s="6">
        <v>101</v>
      </c>
      <c r="E106" s="18" t="str">
        <f t="shared" si="4"/>
        <v>40206928</v>
      </c>
      <c r="F106" s="1">
        <f t="shared" si="5"/>
        <v>0</v>
      </c>
      <c r="G106" s="38" t="s">
        <v>719</v>
      </c>
      <c r="H106" s="38" t="s">
        <v>801</v>
      </c>
    </row>
    <row r="107" spans="2:8" ht="15">
      <c r="B107" s="6" t="s">
        <v>792</v>
      </c>
      <c r="C107" s="15">
        <v>3</v>
      </c>
      <c r="D107" s="6">
        <v>102</v>
      </c>
      <c r="E107" s="18" t="str">
        <f t="shared" si="4"/>
        <v>40159747</v>
      </c>
      <c r="F107" s="1">
        <f t="shared" si="5"/>
        <v>0</v>
      </c>
      <c r="G107" s="38" t="s">
        <v>714</v>
      </c>
      <c r="H107" s="38" t="s">
        <v>802</v>
      </c>
    </row>
    <row r="108" spans="2:8" ht="15">
      <c r="B108" s="6" t="s">
        <v>792</v>
      </c>
      <c r="C108" s="15">
        <v>3</v>
      </c>
      <c r="D108" s="6">
        <v>501</v>
      </c>
      <c r="E108" s="18" t="str">
        <f t="shared" si="4"/>
        <v>40205664</v>
      </c>
      <c r="F108" s="1">
        <f t="shared" si="5"/>
        <v>0</v>
      </c>
      <c r="G108" s="38" t="s">
        <v>719</v>
      </c>
      <c r="H108" s="38" t="s">
        <v>803</v>
      </c>
    </row>
    <row r="109" spans="2:8" ht="15">
      <c r="B109" s="6" t="s">
        <v>792</v>
      </c>
      <c r="C109" s="15">
        <v>3</v>
      </c>
      <c r="D109" s="6">
        <v>502</v>
      </c>
      <c r="E109" s="18" t="str">
        <f t="shared" si="4"/>
        <v>40176261</v>
      </c>
      <c r="F109" s="1">
        <f t="shared" si="5"/>
        <v>0</v>
      </c>
      <c r="G109" s="38" t="s">
        <v>717</v>
      </c>
      <c r="H109" s="38" t="s">
        <v>804</v>
      </c>
    </row>
    <row r="110" spans="2:8" ht="15">
      <c r="B110" s="6" t="s">
        <v>805</v>
      </c>
      <c r="C110" s="15">
        <v>1</v>
      </c>
      <c r="D110" s="6">
        <v>101</v>
      </c>
      <c r="E110" s="18" t="str">
        <f t="shared" si="4"/>
        <v>40139814</v>
      </c>
      <c r="F110" s="1">
        <f t="shared" si="5"/>
        <v>0</v>
      </c>
      <c r="G110" s="38" t="s">
        <v>721</v>
      </c>
      <c r="H110" s="38" t="s">
        <v>806</v>
      </c>
    </row>
    <row r="111" spans="2:8" ht="15">
      <c r="B111" s="6" t="s">
        <v>805</v>
      </c>
      <c r="C111" s="15">
        <v>1</v>
      </c>
      <c r="D111" s="6">
        <v>102</v>
      </c>
      <c r="E111" s="18" t="str">
        <f t="shared" si="4"/>
        <v>40159861</v>
      </c>
      <c r="F111" s="1">
        <f t="shared" si="5"/>
        <v>0</v>
      </c>
      <c r="G111" s="38" t="s">
        <v>714</v>
      </c>
      <c r="H111" s="38" t="s">
        <v>807</v>
      </c>
    </row>
    <row r="112" spans="2:8" ht="15">
      <c r="B112" s="6" t="s">
        <v>805</v>
      </c>
      <c r="C112" s="15">
        <v>1</v>
      </c>
      <c r="D112" s="6">
        <v>601</v>
      </c>
      <c r="E112" s="18" t="str">
        <f t="shared" si="4"/>
        <v>40122018</v>
      </c>
      <c r="F112" s="1">
        <f t="shared" si="5"/>
        <v>0</v>
      </c>
      <c r="G112" s="38" t="s">
        <v>720</v>
      </c>
      <c r="H112" s="38" t="s">
        <v>808</v>
      </c>
    </row>
    <row r="113" spans="2:8" ht="15">
      <c r="B113" s="6" t="s">
        <v>805</v>
      </c>
      <c r="C113" s="15">
        <v>1</v>
      </c>
      <c r="D113" s="6">
        <v>602</v>
      </c>
      <c r="E113" s="18" t="str">
        <f t="shared" si="4"/>
        <v>40128564</v>
      </c>
      <c r="F113" s="1">
        <f t="shared" si="5"/>
        <v>0</v>
      </c>
      <c r="G113" s="38" t="s">
        <v>720</v>
      </c>
      <c r="H113" s="38" t="s">
        <v>809</v>
      </c>
    </row>
    <row r="114" spans="2:8" ht="15">
      <c r="B114" s="6" t="s">
        <v>805</v>
      </c>
      <c r="C114" s="15">
        <v>2</v>
      </c>
      <c r="D114" s="6">
        <v>101</v>
      </c>
      <c r="E114" s="18" t="str">
        <f t="shared" si="4"/>
        <v>40189132</v>
      </c>
      <c r="F114" s="1">
        <f t="shared" si="5"/>
        <v>0</v>
      </c>
      <c r="G114" s="38" t="s">
        <v>715</v>
      </c>
      <c r="H114" s="38" t="s">
        <v>810</v>
      </c>
    </row>
    <row r="115" spans="2:8" ht="15">
      <c r="B115" s="6" t="s">
        <v>805</v>
      </c>
      <c r="C115" s="15">
        <v>2</v>
      </c>
      <c r="D115" s="6">
        <v>102</v>
      </c>
      <c r="E115" s="18" t="str">
        <f t="shared" si="4"/>
        <v>40188308</v>
      </c>
      <c r="F115" s="1">
        <f t="shared" si="5"/>
        <v>0</v>
      </c>
      <c r="G115" s="38" t="s">
        <v>715</v>
      </c>
      <c r="H115" s="38" t="s">
        <v>811</v>
      </c>
    </row>
    <row r="116" spans="2:8" ht="15">
      <c r="B116" s="6" t="s">
        <v>805</v>
      </c>
      <c r="C116" s="15">
        <v>2</v>
      </c>
      <c r="D116" s="6">
        <v>601</v>
      </c>
      <c r="E116" s="18" t="str">
        <f t="shared" si="4"/>
        <v>40181923</v>
      </c>
      <c r="F116" s="1">
        <f t="shared" si="5"/>
        <v>0</v>
      </c>
      <c r="G116" s="38" t="s">
        <v>715</v>
      </c>
      <c r="H116" s="38" t="s">
        <v>812</v>
      </c>
    </row>
    <row r="117" spans="2:8" ht="15">
      <c r="B117" s="6" t="s">
        <v>805</v>
      </c>
      <c r="C117" s="15">
        <v>2</v>
      </c>
      <c r="D117" s="6">
        <v>602</v>
      </c>
      <c r="E117" s="18" t="str">
        <f t="shared" si="4"/>
        <v>40188167</v>
      </c>
      <c r="F117" s="1">
        <f t="shared" si="5"/>
        <v>0</v>
      </c>
      <c r="G117" s="38" t="s">
        <v>715</v>
      </c>
      <c r="H117" s="38" t="s">
        <v>813</v>
      </c>
    </row>
    <row r="118" spans="2:8" ht="15">
      <c r="B118" s="6" t="s">
        <v>805</v>
      </c>
      <c r="C118" s="15">
        <v>3</v>
      </c>
      <c r="D118" s="6">
        <v>101</v>
      </c>
      <c r="E118" s="18" t="str">
        <f t="shared" si="4"/>
        <v>40200053</v>
      </c>
      <c r="F118" s="1">
        <f t="shared" si="5"/>
        <v>0</v>
      </c>
      <c r="G118" s="38" t="s">
        <v>719</v>
      </c>
      <c r="H118" s="38" t="s">
        <v>814</v>
      </c>
    </row>
    <row r="119" spans="2:8" ht="15">
      <c r="B119" s="6" t="s">
        <v>805</v>
      </c>
      <c r="C119" s="15">
        <v>3</v>
      </c>
      <c r="D119" s="6">
        <v>102</v>
      </c>
      <c r="E119" s="18" t="str">
        <f t="shared" si="4"/>
        <v>40175354</v>
      </c>
      <c r="F119" s="1">
        <f t="shared" si="5"/>
        <v>0</v>
      </c>
      <c r="G119" s="38" t="s">
        <v>717</v>
      </c>
      <c r="H119" s="38" t="s">
        <v>815</v>
      </c>
    </row>
    <row r="120" spans="2:8" ht="15">
      <c r="B120" s="6" t="s">
        <v>805</v>
      </c>
      <c r="C120" s="15">
        <v>3</v>
      </c>
      <c r="D120" s="6">
        <v>601</v>
      </c>
      <c r="E120" s="18" t="str">
        <f t="shared" si="4"/>
        <v>40187789</v>
      </c>
      <c r="F120" s="1">
        <f t="shared" si="5"/>
        <v>0</v>
      </c>
      <c r="G120" s="38" t="s">
        <v>715</v>
      </c>
      <c r="H120" s="38" t="s">
        <v>816</v>
      </c>
    </row>
    <row r="121" spans="2:8" ht="15">
      <c r="B121" s="6" t="s">
        <v>805</v>
      </c>
      <c r="C121" s="15">
        <v>3</v>
      </c>
      <c r="D121" s="6">
        <v>602</v>
      </c>
      <c r="E121" s="18" t="str">
        <f t="shared" si="4"/>
        <v>40182079</v>
      </c>
      <c r="F121" s="1">
        <f t="shared" si="5"/>
        <v>0</v>
      </c>
      <c r="G121" s="38" t="s">
        <v>715</v>
      </c>
      <c r="H121" s="38" t="s">
        <v>817</v>
      </c>
    </row>
    <row r="122" spans="2:8" ht="15">
      <c r="B122" s="6">
        <v>51</v>
      </c>
      <c r="C122" s="15">
        <v>1</v>
      </c>
      <c r="D122" s="6">
        <v>101</v>
      </c>
      <c r="E122" s="18" t="str">
        <f t="shared" si="4"/>
        <v>40178762</v>
      </c>
      <c r="F122" s="1">
        <f t="shared" si="5"/>
        <v>0</v>
      </c>
      <c r="G122" s="38" t="s">
        <v>717</v>
      </c>
      <c r="H122" s="38" t="s">
        <v>818</v>
      </c>
    </row>
    <row r="123" spans="2:8" ht="15">
      <c r="B123" s="6">
        <v>51</v>
      </c>
      <c r="C123" s="15">
        <v>1</v>
      </c>
      <c r="D123" s="6">
        <v>103</v>
      </c>
      <c r="E123" s="18" t="str">
        <f t="shared" si="4"/>
        <v>40121697</v>
      </c>
      <c r="F123" s="1">
        <f t="shared" si="5"/>
        <v>0</v>
      </c>
      <c r="G123" s="38" t="s">
        <v>720</v>
      </c>
      <c r="H123" s="38" t="s">
        <v>819</v>
      </c>
    </row>
    <row r="124" spans="2:8" ht="15">
      <c r="B124" s="6">
        <v>51</v>
      </c>
      <c r="C124" s="15">
        <v>1</v>
      </c>
      <c r="D124" s="6">
        <v>102</v>
      </c>
      <c r="E124" s="18" t="str">
        <f t="shared" si="4"/>
        <v>40199750</v>
      </c>
      <c r="F124" s="1">
        <f t="shared" si="5"/>
        <v>0</v>
      </c>
      <c r="G124" s="38" t="s">
        <v>716</v>
      </c>
      <c r="H124" s="38" t="s">
        <v>820</v>
      </c>
    </row>
    <row r="125" spans="2:8" ht="15">
      <c r="B125" s="6">
        <v>51</v>
      </c>
      <c r="C125" s="15">
        <v>1</v>
      </c>
      <c r="D125" s="6">
        <v>601</v>
      </c>
      <c r="E125" s="18" t="str">
        <f t="shared" si="4"/>
        <v>40193449</v>
      </c>
      <c r="F125" s="1">
        <f t="shared" si="5"/>
        <v>0</v>
      </c>
      <c r="G125" s="38" t="s">
        <v>716</v>
      </c>
      <c r="H125" s="38" t="s">
        <v>821</v>
      </c>
    </row>
    <row r="126" spans="2:8" ht="15">
      <c r="B126" s="6">
        <v>51</v>
      </c>
      <c r="C126" s="15">
        <v>1</v>
      </c>
      <c r="D126" s="6">
        <v>603</v>
      </c>
      <c r="E126" s="18" t="str">
        <f t="shared" si="4"/>
        <v>40133205</v>
      </c>
      <c r="F126" s="1">
        <f t="shared" si="5"/>
        <v>0</v>
      </c>
      <c r="G126" s="38" t="s">
        <v>721</v>
      </c>
      <c r="H126" s="38" t="s">
        <v>822</v>
      </c>
    </row>
    <row r="127" spans="2:8" ht="15">
      <c r="B127" s="6">
        <v>51</v>
      </c>
      <c r="C127" s="15">
        <v>2</v>
      </c>
      <c r="D127" s="6">
        <v>101</v>
      </c>
      <c r="E127" s="18" t="str">
        <f t="shared" si="4"/>
        <v>40164382</v>
      </c>
      <c r="F127" s="1">
        <f t="shared" si="5"/>
        <v>0</v>
      </c>
      <c r="G127" s="38" t="s">
        <v>718</v>
      </c>
      <c r="H127" s="38" t="s">
        <v>823</v>
      </c>
    </row>
    <row r="128" spans="2:8" ht="15">
      <c r="B128" s="6">
        <v>51</v>
      </c>
      <c r="C128" s="15">
        <v>2</v>
      </c>
      <c r="D128" s="6">
        <v>102</v>
      </c>
      <c r="E128" s="18" t="str">
        <f t="shared" si="4"/>
        <v>40175735</v>
      </c>
      <c r="F128" s="1">
        <f t="shared" si="5"/>
        <v>0</v>
      </c>
      <c r="G128" s="38" t="s">
        <v>717</v>
      </c>
      <c r="H128" s="38" t="s">
        <v>824</v>
      </c>
    </row>
    <row r="129" spans="2:8" ht="15">
      <c r="B129" s="6">
        <v>51</v>
      </c>
      <c r="C129" s="15">
        <v>2</v>
      </c>
      <c r="D129" s="6">
        <v>103</v>
      </c>
      <c r="E129" s="18" t="str">
        <f t="shared" si="4"/>
        <v>40122075</v>
      </c>
      <c r="F129" s="1">
        <f t="shared" si="5"/>
        <v>0</v>
      </c>
      <c r="G129" s="38" t="s">
        <v>720</v>
      </c>
      <c r="H129" s="38" t="s">
        <v>825</v>
      </c>
    </row>
    <row r="130" spans="2:8" ht="15">
      <c r="B130" s="6">
        <v>51</v>
      </c>
      <c r="C130" s="15">
        <v>2</v>
      </c>
      <c r="D130" s="6">
        <v>601</v>
      </c>
      <c r="E130" s="18" t="str">
        <f t="shared" si="4"/>
        <v>40181899</v>
      </c>
      <c r="F130" s="1">
        <f t="shared" si="5"/>
        <v>0</v>
      </c>
      <c r="G130" s="38" t="s">
        <v>715</v>
      </c>
      <c r="H130" s="38" t="s">
        <v>826</v>
      </c>
    </row>
    <row r="131" spans="2:8" ht="15">
      <c r="B131" s="6">
        <v>51</v>
      </c>
      <c r="C131" s="15">
        <v>2</v>
      </c>
      <c r="D131" s="6">
        <v>603</v>
      </c>
      <c r="E131" s="18" t="str">
        <f t="shared" si="4"/>
        <v>40167468</v>
      </c>
      <c r="F131" s="1">
        <f t="shared" si="5"/>
        <v>0</v>
      </c>
      <c r="G131" s="38" t="s">
        <v>718</v>
      </c>
      <c r="H131" s="38" t="s">
        <v>827</v>
      </c>
    </row>
    <row r="132" spans="2:8" ht="15">
      <c r="B132" s="6">
        <v>52</v>
      </c>
      <c r="C132" s="15">
        <v>1</v>
      </c>
      <c r="D132" s="6">
        <v>101</v>
      </c>
      <c r="E132" s="18" t="str">
        <f t="shared" si="4"/>
        <v>40161552</v>
      </c>
      <c r="F132" s="1">
        <f t="shared" si="5"/>
        <v>0</v>
      </c>
      <c r="G132" s="38" t="s">
        <v>718</v>
      </c>
      <c r="H132" s="38" t="s">
        <v>828</v>
      </c>
    </row>
    <row r="133" spans="2:8" ht="15">
      <c r="B133" s="6">
        <v>52</v>
      </c>
      <c r="C133" s="15">
        <v>1</v>
      </c>
      <c r="D133" s="6">
        <v>102</v>
      </c>
      <c r="E133" s="18" t="str">
        <f t="shared" si="4"/>
        <v>40172070</v>
      </c>
      <c r="F133" s="1">
        <f t="shared" si="5"/>
        <v>0</v>
      </c>
      <c r="G133" s="38" t="s">
        <v>717</v>
      </c>
      <c r="H133" s="38" t="s">
        <v>829</v>
      </c>
    </row>
    <row r="134" spans="2:8" ht="15">
      <c r="B134" s="6">
        <v>52</v>
      </c>
      <c r="C134" s="15">
        <v>1</v>
      </c>
      <c r="D134" s="6">
        <v>103</v>
      </c>
      <c r="E134" s="18" t="str">
        <f t="shared" si="4"/>
        <v>40130698</v>
      </c>
      <c r="F134" s="1">
        <f t="shared" si="5"/>
        <v>0</v>
      </c>
      <c r="G134" s="38" t="s">
        <v>721</v>
      </c>
      <c r="H134" s="38" t="s">
        <v>830</v>
      </c>
    </row>
    <row r="135" spans="2:8" ht="15">
      <c r="B135" s="6">
        <v>52</v>
      </c>
      <c r="C135" s="15">
        <v>1</v>
      </c>
      <c r="D135" s="6">
        <v>601</v>
      </c>
      <c r="E135" s="18" t="str">
        <f t="shared" si="4"/>
        <v>40179075</v>
      </c>
      <c r="F135" s="1">
        <f t="shared" si="5"/>
        <v>0</v>
      </c>
      <c r="G135" s="38" t="s">
        <v>717</v>
      </c>
      <c r="H135" s="38" t="s">
        <v>831</v>
      </c>
    </row>
    <row r="136" spans="2:8" ht="15">
      <c r="B136" s="6">
        <v>52</v>
      </c>
      <c r="C136" s="15">
        <v>1</v>
      </c>
      <c r="D136" s="6">
        <v>603</v>
      </c>
      <c r="E136" s="18" t="str">
        <f t="shared" si="4"/>
        <v>40150738</v>
      </c>
      <c r="F136" s="1">
        <f t="shared" si="5"/>
        <v>0</v>
      </c>
      <c r="G136" s="38" t="s">
        <v>714</v>
      </c>
      <c r="H136" s="38" t="s">
        <v>832</v>
      </c>
    </row>
    <row r="137" spans="2:8" ht="15">
      <c r="B137" s="6">
        <v>52</v>
      </c>
      <c r="C137" s="15">
        <v>2</v>
      </c>
      <c r="D137" s="6">
        <v>101</v>
      </c>
      <c r="E137" s="18" t="str">
        <f t="shared" si="4"/>
        <v>40176196</v>
      </c>
      <c r="F137" s="1">
        <f t="shared" si="5"/>
        <v>0</v>
      </c>
      <c r="G137" s="38" t="s">
        <v>717</v>
      </c>
      <c r="H137" s="38" t="s">
        <v>833</v>
      </c>
    </row>
    <row r="138" spans="2:8" ht="15">
      <c r="B138" s="6">
        <v>52</v>
      </c>
      <c r="C138" s="15">
        <v>2</v>
      </c>
      <c r="D138" s="6">
        <v>102</v>
      </c>
      <c r="E138" s="18" t="str">
        <f t="shared" si="4"/>
        <v>40193928</v>
      </c>
      <c r="F138" s="1">
        <f t="shared" si="5"/>
        <v>0</v>
      </c>
      <c r="G138" s="38" t="s">
        <v>716</v>
      </c>
      <c r="H138" s="38" t="s">
        <v>834</v>
      </c>
    </row>
    <row r="139" spans="2:8" ht="15">
      <c r="B139" s="6">
        <v>52</v>
      </c>
      <c r="C139" s="15">
        <v>2</v>
      </c>
      <c r="D139" s="6">
        <v>103</v>
      </c>
      <c r="E139" s="18" t="str">
        <f t="shared" si="4"/>
        <v>40121960</v>
      </c>
      <c r="F139" s="1">
        <f t="shared" si="5"/>
        <v>0</v>
      </c>
      <c r="G139" s="38" t="s">
        <v>720</v>
      </c>
      <c r="H139" s="38" t="s">
        <v>835</v>
      </c>
    </row>
    <row r="140" spans="2:8" ht="15">
      <c r="B140" s="6">
        <v>52</v>
      </c>
      <c r="C140" s="15">
        <v>2</v>
      </c>
      <c r="D140" s="6">
        <v>601</v>
      </c>
      <c r="E140" s="18" t="str">
        <f t="shared" si="4"/>
        <v>40181600</v>
      </c>
      <c r="F140" s="1">
        <f t="shared" si="5"/>
        <v>0</v>
      </c>
      <c r="G140" s="38" t="s">
        <v>715</v>
      </c>
      <c r="H140" s="38" t="s">
        <v>836</v>
      </c>
    </row>
    <row r="141" spans="2:8" ht="15">
      <c r="B141" s="6">
        <v>52</v>
      </c>
      <c r="C141" s="15">
        <v>2</v>
      </c>
      <c r="D141" s="6">
        <v>603</v>
      </c>
      <c r="E141" s="18" t="str">
        <f t="shared" si="4"/>
        <v>40206902</v>
      </c>
      <c r="F141" s="1">
        <f t="shared" si="5"/>
        <v>0</v>
      </c>
      <c r="G141" s="38" t="s">
        <v>719</v>
      </c>
      <c r="H141" s="38" t="s">
        <v>837</v>
      </c>
    </row>
    <row r="142" spans="2:8" ht="15">
      <c r="B142" s="6">
        <v>53</v>
      </c>
      <c r="C142" s="15">
        <v>1</v>
      </c>
      <c r="D142" s="6">
        <v>101</v>
      </c>
      <c r="E142" s="18" t="str">
        <f t="shared" ref="E142:E151" si="6">G142&amp;H142</f>
        <v>40204295</v>
      </c>
      <c r="F142" s="1">
        <f t="shared" ref="F142:F151" si="7">IF(VALUE(LEFT(D142,LEN(D142)-2))&lt;10,0,IF(VALUE(LEFT(D142,LEN(D142)-2))&lt;20,1,2))</f>
        <v>0</v>
      </c>
      <c r="G142" s="38" t="s">
        <v>719</v>
      </c>
      <c r="H142" s="38" t="s">
        <v>838</v>
      </c>
    </row>
    <row r="143" spans="2:8" ht="15">
      <c r="B143" s="6">
        <v>53</v>
      </c>
      <c r="C143" s="15">
        <v>1</v>
      </c>
      <c r="D143" s="6">
        <v>102</v>
      </c>
      <c r="E143" s="18" t="str">
        <f t="shared" si="6"/>
        <v>40175529</v>
      </c>
      <c r="F143" s="1">
        <f t="shared" si="7"/>
        <v>0</v>
      </c>
      <c r="G143" s="38" t="s">
        <v>717</v>
      </c>
      <c r="H143" s="38" t="s">
        <v>839</v>
      </c>
    </row>
    <row r="144" spans="2:8" ht="15">
      <c r="B144" s="6">
        <v>53</v>
      </c>
      <c r="C144" s="15">
        <v>1</v>
      </c>
      <c r="D144" s="6">
        <v>103</v>
      </c>
      <c r="E144" s="18" t="str">
        <f t="shared" si="6"/>
        <v>40192441</v>
      </c>
      <c r="F144" s="1">
        <f t="shared" si="7"/>
        <v>0</v>
      </c>
      <c r="G144" s="38" t="s">
        <v>716</v>
      </c>
      <c r="H144" s="38" t="s">
        <v>840</v>
      </c>
    </row>
    <row r="145" spans="2:8" ht="15">
      <c r="B145" s="6">
        <v>53</v>
      </c>
      <c r="C145" s="15">
        <v>1</v>
      </c>
      <c r="D145" s="6">
        <v>601</v>
      </c>
      <c r="E145" s="18" t="str">
        <f t="shared" si="6"/>
        <v>40121143</v>
      </c>
      <c r="F145" s="1">
        <f t="shared" si="7"/>
        <v>0</v>
      </c>
      <c r="G145" s="38" t="s">
        <v>720</v>
      </c>
      <c r="H145" s="38" t="s">
        <v>841</v>
      </c>
    </row>
    <row r="146" spans="2:8" ht="15">
      <c r="B146" s="6">
        <v>53</v>
      </c>
      <c r="C146" s="15">
        <v>1</v>
      </c>
      <c r="D146" s="6">
        <v>603</v>
      </c>
      <c r="E146" s="18" t="str">
        <f t="shared" si="6"/>
        <v>40119089</v>
      </c>
      <c r="F146" s="1">
        <f t="shared" si="7"/>
        <v>0</v>
      </c>
      <c r="G146" s="38" t="s">
        <v>734</v>
      </c>
      <c r="H146" s="38" t="s">
        <v>842</v>
      </c>
    </row>
    <row r="147" spans="2:8" ht="15">
      <c r="B147" s="6">
        <v>53</v>
      </c>
      <c r="C147" s="15">
        <v>2</v>
      </c>
      <c r="D147" s="6">
        <v>101</v>
      </c>
      <c r="E147" s="18" t="str">
        <f t="shared" si="6"/>
        <v>40119352</v>
      </c>
      <c r="F147" s="1">
        <f t="shared" si="7"/>
        <v>0</v>
      </c>
      <c r="G147" s="38" t="s">
        <v>734</v>
      </c>
      <c r="H147" s="38" t="s">
        <v>843</v>
      </c>
    </row>
    <row r="148" spans="2:8" ht="15">
      <c r="B148" s="6">
        <v>53</v>
      </c>
      <c r="C148" s="15">
        <v>2</v>
      </c>
      <c r="D148" s="6">
        <v>102</v>
      </c>
      <c r="E148" s="18" t="str">
        <f t="shared" si="6"/>
        <v>40199651</v>
      </c>
      <c r="F148" s="1">
        <f t="shared" si="7"/>
        <v>0</v>
      </c>
      <c r="G148" s="38" t="s">
        <v>716</v>
      </c>
      <c r="H148" s="38" t="s">
        <v>844</v>
      </c>
    </row>
    <row r="149" spans="2:8" ht="15">
      <c r="B149" s="6">
        <v>53</v>
      </c>
      <c r="C149" s="15">
        <v>2</v>
      </c>
      <c r="D149" s="6">
        <v>103</v>
      </c>
      <c r="E149" s="18" t="str">
        <f t="shared" si="6"/>
        <v>40181758</v>
      </c>
      <c r="F149" s="1">
        <f t="shared" si="7"/>
        <v>0</v>
      </c>
      <c r="G149" s="38" t="s">
        <v>715</v>
      </c>
      <c r="H149" s="38" t="s">
        <v>845</v>
      </c>
    </row>
    <row r="150" spans="2:8" ht="15">
      <c r="B150" s="6">
        <v>53</v>
      </c>
      <c r="C150" s="15">
        <v>2</v>
      </c>
      <c r="D150" s="6">
        <v>601</v>
      </c>
      <c r="E150" s="18" t="str">
        <f t="shared" si="6"/>
        <v>40200277</v>
      </c>
      <c r="F150" s="1">
        <f t="shared" si="7"/>
        <v>0</v>
      </c>
      <c r="G150" s="38" t="s">
        <v>719</v>
      </c>
      <c r="H150" s="38" t="s">
        <v>846</v>
      </c>
    </row>
    <row r="151" spans="2:8" ht="15">
      <c r="B151" s="6">
        <v>53</v>
      </c>
      <c r="C151" s="15">
        <v>2</v>
      </c>
      <c r="D151" s="6">
        <v>603</v>
      </c>
      <c r="E151" s="18" t="str">
        <f t="shared" si="6"/>
        <v>40181808</v>
      </c>
      <c r="F151" s="1">
        <f t="shared" si="7"/>
        <v>0</v>
      </c>
      <c r="G151" s="38" t="s">
        <v>715</v>
      </c>
      <c r="H151" s="38" t="s">
        <v>847</v>
      </c>
    </row>
  </sheetData>
  <phoneticPr fontId="6" type="noConversion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用户信息</vt:lpstr>
      <vt:lpstr>住户仪表信息导出</vt:lpstr>
      <vt:lpstr>用户信息function</vt:lpstr>
      <vt:lpstr>住户仪表信息导出 (function)</vt:lpstr>
      <vt:lpstr>数据库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53226</dc:creator>
  <cp:lastModifiedBy>choulei</cp:lastModifiedBy>
  <dcterms:created xsi:type="dcterms:W3CDTF">2021-12-29T04:09:00Z</dcterms:created>
  <dcterms:modified xsi:type="dcterms:W3CDTF">2024-08-26T06:53:13Z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9013668F4AEB47B4B0C3BB7859823347</vt:lpwstr>
  </property>
  <property fmtid="{D5CDD505-2E9C-101B-9397-08002B2CF9AE}" pid="3" name="KSOProductBuildVer">
    <vt:lpwstr>2052-12.1.0.17147</vt:lpwstr>
  </property>
</Properties>
</file>