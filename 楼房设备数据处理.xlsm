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/>
  <workbookPr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2D9A18C0-012F-4A7D-8184-7C77F0F94846}" xr6:coauthVersionLast="47" xr6:coauthVersionMax="47" xr10:uidLastSave="{00000000-0000-0000-0000-000000000000}"/>
  <bookViews>
    <workbookView xWindow="14295" yWindow="0" windowWidth="14610" windowHeight="15585" tabRatio="723" firstSheet="1" activeTab="4" xr2:uid="{00000000-000D-0000-FFFF-FFFF00000000}"/>
  </bookViews>
  <sheets>
    <sheet name="用户信息" sheetId="7" r:id="rId1"/>
    <sheet name="住户仪表信息导出" sheetId="3" r:id="rId2"/>
    <sheet name="用户信息function" sheetId="8" r:id="rId3"/>
    <sheet name="住户仪表信息导出 (function)" sheetId="6" r:id="rId4"/>
    <sheet name="数据库" sheetId="4" r:id="rId5"/>
  </sheets>
  <definedNames>
    <definedName name="_xlnm._FilterDatabase" localSheetId="0" hidden="1">用户信息!$U$1:$U$343</definedName>
    <definedName name="_xlnm._FilterDatabase" localSheetId="1" hidden="1">住户仪表信息导出!$Q$1:$Q$320</definedName>
    <definedName name="_xlnm._FilterDatabase" localSheetId="3" hidden="1">'住户仪表信息导出 (function)'!$A$1:$AG$151</definedName>
  </definedNames>
  <calcPr calcId="191029"/>
</workbook>
</file>

<file path=xl/calcChain.xml><?xml version="1.0" encoding="utf-8"?>
<calcChain xmlns="http://schemas.openxmlformats.org/spreadsheetml/2006/main">
  <c r="F982" i="4" l="1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M150" i="6"/>
  <c r="M152" i="8"/>
  <c r="M149" i="6"/>
  <c r="M147" i="6"/>
  <c r="M146" i="6"/>
  <c r="M144" i="6"/>
  <c r="Q144" i="6"/>
  <c r="M141" i="8"/>
  <c r="M138" i="6"/>
  <c r="Q138" i="6"/>
  <c r="M134" i="6"/>
  <c r="M134" i="8"/>
  <c r="M131" i="6"/>
  <c r="M129" i="6"/>
  <c r="M128" i="6"/>
  <c r="M126" i="6"/>
  <c r="Q126" i="6"/>
  <c r="M124" i="6"/>
  <c r="M123" i="6"/>
  <c r="M122" i="6"/>
  <c r="Q120" i="6"/>
  <c r="M117" i="6"/>
  <c r="M116" i="6"/>
  <c r="M115" i="6"/>
  <c r="M116" i="8"/>
  <c r="M111" i="6"/>
  <c r="M110" i="6"/>
  <c r="M108" i="6"/>
  <c r="Q108" i="6"/>
  <c r="M107" i="6"/>
  <c r="M104" i="6"/>
  <c r="M105" i="8"/>
  <c r="M102" i="6"/>
  <c r="M104" i="8"/>
  <c r="M101" i="6"/>
  <c r="M98" i="6"/>
  <c r="Q97" i="6"/>
  <c r="M98" i="8"/>
  <c r="Q93" i="6"/>
  <c r="M92" i="6"/>
  <c r="M92" i="8"/>
  <c r="M91" i="8"/>
  <c r="M88" i="6"/>
  <c r="M87" i="6"/>
  <c r="M86" i="6"/>
  <c r="M85" i="6"/>
  <c r="Q84" i="6"/>
  <c r="M83" i="6"/>
  <c r="M80" i="6"/>
  <c r="Q79" i="6"/>
  <c r="M78" i="6"/>
  <c r="M80" i="8"/>
  <c r="M77" i="6"/>
  <c r="M74" i="6"/>
  <c r="M75" i="8"/>
  <c r="M74" i="8"/>
  <c r="M70" i="6"/>
  <c r="M69" i="6"/>
  <c r="M68" i="6"/>
  <c r="M68" i="8"/>
  <c r="M65" i="6"/>
  <c r="M64" i="6"/>
  <c r="M63" i="6"/>
  <c r="M62" i="6"/>
  <c r="M61" i="6"/>
  <c r="M60" i="6"/>
  <c r="Q60" i="6"/>
  <c r="M59" i="6"/>
  <c r="M57" i="6"/>
  <c r="M56" i="6"/>
  <c r="M55" i="6"/>
  <c r="M54" i="6"/>
  <c r="M56" i="8"/>
  <c r="M52" i="6"/>
  <c r="M50" i="6"/>
  <c r="M49" i="6"/>
  <c r="M48" i="6"/>
  <c r="M50" i="8"/>
  <c r="Q47" i="6"/>
  <c r="M46" i="6"/>
  <c r="M45" i="6"/>
  <c r="M45" i="8"/>
  <c r="M42" i="6"/>
  <c r="Q42" i="6"/>
  <c r="M41" i="6"/>
  <c r="M39" i="6"/>
  <c r="M38" i="6"/>
  <c r="M38" i="8"/>
  <c r="M35" i="6"/>
  <c r="M37" i="8"/>
  <c r="Q33" i="6"/>
  <c r="M32" i="6"/>
  <c r="Q30" i="6"/>
  <c r="M29" i="6"/>
  <c r="M28" i="6"/>
  <c r="M26" i="6"/>
  <c r="M28" i="8"/>
  <c r="Q25" i="6"/>
  <c r="M26" i="8"/>
  <c r="M23" i="6"/>
  <c r="Q23" i="6"/>
  <c r="M22" i="6"/>
  <c r="M21" i="8"/>
  <c r="M18" i="6"/>
  <c r="M20" i="8"/>
  <c r="M17" i="6"/>
  <c r="M14" i="6"/>
  <c r="M15" i="8"/>
  <c r="Q12" i="6"/>
  <c r="M11" i="6"/>
  <c r="M13" i="8"/>
  <c r="M9" i="6"/>
  <c r="M11" i="8"/>
  <c r="M8" i="6"/>
  <c r="M9" i="8"/>
  <c r="M6" i="6"/>
  <c r="M8" i="8"/>
  <c r="M2" i="6"/>
  <c r="M147" i="8"/>
  <c r="M145" i="6"/>
  <c r="Q146" i="6"/>
  <c r="M149" i="8"/>
  <c r="M151" i="6"/>
  <c r="M143" i="8"/>
  <c r="M24" i="8"/>
  <c r="M25" i="8"/>
  <c r="M24" i="6"/>
  <c r="M25" i="6"/>
  <c r="Q27" i="6"/>
  <c r="M27" i="6"/>
  <c r="M30" i="8"/>
  <c r="M30" i="6"/>
  <c r="Q31" i="6"/>
  <c r="M31" i="6"/>
  <c r="M34" i="8"/>
  <c r="M33" i="6"/>
  <c r="M36" i="8"/>
  <c r="M34" i="6"/>
  <c r="Q37" i="6"/>
  <c r="M37" i="6"/>
  <c r="Q38" i="6"/>
  <c r="M41" i="8"/>
  <c r="M42" i="8"/>
  <c r="M40" i="6"/>
  <c r="M43" i="6"/>
  <c r="M46" i="8"/>
  <c r="M44" i="6"/>
  <c r="M47" i="8"/>
  <c r="M48" i="8"/>
  <c r="Q49" i="6"/>
  <c r="M52" i="8"/>
  <c r="Q51" i="6"/>
  <c r="M51" i="6"/>
  <c r="M54" i="8"/>
  <c r="M57" i="8"/>
  <c r="Q56" i="6"/>
  <c r="M59" i="8"/>
  <c r="M60" i="8"/>
  <c r="M58" i="6"/>
  <c r="M63" i="8"/>
  <c r="Q62" i="6"/>
  <c r="M65" i="8"/>
  <c r="Q67" i="6"/>
  <c r="M67" i="6"/>
  <c r="Q68" i="6"/>
  <c r="Q69" i="6"/>
  <c r="M72" i="8"/>
  <c r="M72" i="6"/>
  <c r="M73" i="6"/>
  <c r="Q74" i="6"/>
  <c r="M77" i="8"/>
  <c r="M75" i="6"/>
  <c r="M78" i="8"/>
  <c r="M76" i="6"/>
  <c r="M79" i="6"/>
  <c r="M82" i="8"/>
  <c r="Q81" i="6"/>
  <c r="M81" i="6"/>
  <c r="M84" i="8"/>
  <c r="M82" i="6"/>
  <c r="Q85" i="6"/>
  <c r="Q86" i="6"/>
  <c r="M89" i="8"/>
  <c r="M90" i="6"/>
  <c r="M93" i="8"/>
  <c r="M91" i="6"/>
  <c r="M94" i="8"/>
  <c r="M93" i="6"/>
  <c r="M96" i="6"/>
  <c r="M97" i="6"/>
  <c r="M100" i="8"/>
  <c r="Q99" i="6"/>
  <c r="M99" i="6"/>
  <c r="M102" i="8"/>
  <c r="M100" i="6"/>
  <c r="M103" i="6"/>
  <c r="Q104" i="6"/>
  <c r="M107" i="8"/>
  <c r="M105" i="6"/>
  <c r="M108" i="8"/>
  <c r="M109" i="8"/>
  <c r="M111" i="8"/>
  <c r="M109" i="6"/>
  <c r="Q110" i="6"/>
  <c r="Q111" i="6"/>
  <c r="M114" i="8"/>
  <c r="M112" i="6"/>
  <c r="M113" i="6"/>
  <c r="Q115" i="6"/>
  <c r="M118" i="8"/>
  <c r="Q117" i="6"/>
  <c r="M120" i="8"/>
  <c r="M118" i="6"/>
  <c r="M120" i="6"/>
  <c r="M123" i="8"/>
  <c r="M121" i="6"/>
  <c r="Q122" i="6"/>
  <c r="M125" i="8"/>
  <c r="M126" i="8"/>
  <c r="Q127" i="6"/>
  <c r="M127" i="6"/>
  <c r="M130" i="8"/>
  <c r="Q129" i="6"/>
  <c r="M130" i="6"/>
  <c r="Q133" i="6"/>
  <c r="M133" i="6"/>
  <c r="Q134" i="6"/>
  <c r="M137" i="8"/>
  <c r="M135" i="6"/>
  <c r="M136" i="6"/>
  <c r="M139" i="6"/>
  <c r="M142" i="8"/>
  <c r="M140" i="6"/>
  <c r="M19" i="6"/>
  <c r="M19" i="8"/>
  <c r="M18" i="8"/>
  <c r="M17" i="8"/>
  <c r="Q14" i="6"/>
  <c r="M15" i="6"/>
  <c r="M7" i="6"/>
  <c r="M12" i="6"/>
  <c r="M13" i="6"/>
  <c r="M7" i="8"/>
  <c r="M10" i="8"/>
  <c r="Q10" i="6"/>
  <c r="M4" i="8"/>
  <c r="B5" i="8"/>
  <c r="C5" i="8"/>
  <c r="D5" i="8"/>
  <c r="E5" i="8" s="1"/>
  <c r="M5" i="8"/>
  <c r="U5" i="8"/>
  <c r="B6" i="8"/>
  <c r="C6" i="8"/>
  <c r="D6" i="8"/>
  <c r="E6" i="8" s="1"/>
  <c r="M6" i="8"/>
  <c r="U6" i="8"/>
  <c r="B7" i="8"/>
  <c r="C7" i="8"/>
  <c r="D7" i="8"/>
  <c r="E7" i="8" s="1"/>
  <c r="U7" i="8"/>
  <c r="B8" i="8"/>
  <c r="C8" i="8"/>
  <c r="D8" i="8"/>
  <c r="E8" i="8" s="1"/>
  <c r="U8" i="8"/>
  <c r="B9" i="8"/>
  <c r="C9" i="8"/>
  <c r="D9" i="8"/>
  <c r="E9" i="8" s="1"/>
  <c r="U9" i="8"/>
  <c r="B10" i="8"/>
  <c r="C10" i="8"/>
  <c r="D10" i="8"/>
  <c r="E10" i="8" s="1"/>
  <c r="U10" i="8"/>
  <c r="B11" i="8"/>
  <c r="C11" i="8"/>
  <c r="D11" i="8"/>
  <c r="E11" i="8" s="1"/>
  <c r="U11" i="8"/>
  <c r="B12" i="8"/>
  <c r="C12" i="8"/>
  <c r="D12" i="8"/>
  <c r="E12" i="8" s="1"/>
  <c r="U12" i="8"/>
  <c r="B13" i="8"/>
  <c r="C13" i="8"/>
  <c r="D13" i="8"/>
  <c r="E13" i="8" s="1"/>
  <c r="U13" i="8"/>
  <c r="B14" i="8"/>
  <c r="C14" i="8"/>
  <c r="D14" i="8"/>
  <c r="E14" i="8" s="1"/>
  <c r="U14" i="8"/>
  <c r="B15" i="8"/>
  <c r="C15" i="8"/>
  <c r="D15" i="8"/>
  <c r="E15" i="8" s="1"/>
  <c r="U15" i="8"/>
  <c r="B16" i="8"/>
  <c r="C16" i="8"/>
  <c r="D16" i="8"/>
  <c r="E16" i="8" s="1"/>
  <c r="U16" i="8"/>
  <c r="B17" i="8"/>
  <c r="C17" i="8"/>
  <c r="D17" i="8"/>
  <c r="E17" i="8" s="1"/>
  <c r="U17" i="8"/>
  <c r="B18" i="8"/>
  <c r="C18" i="8"/>
  <c r="D18" i="8"/>
  <c r="E18" i="8" s="1"/>
  <c r="U18" i="8"/>
  <c r="B19" i="8"/>
  <c r="C19" i="8"/>
  <c r="D19" i="8"/>
  <c r="E19" i="8" s="1"/>
  <c r="U19" i="8"/>
  <c r="B20" i="8"/>
  <c r="C20" i="8"/>
  <c r="D20" i="8"/>
  <c r="E20" i="8" s="1"/>
  <c r="U20" i="8"/>
  <c r="B21" i="8"/>
  <c r="C21" i="8"/>
  <c r="D21" i="8"/>
  <c r="E21" i="8" s="1"/>
  <c r="U21" i="8"/>
  <c r="B22" i="8"/>
  <c r="C22" i="8"/>
  <c r="D22" i="8"/>
  <c r="E22" i="8" s="1"/>
  <c r="M22" i="8"/>
  <c r="U22" i="8"/>
  <c r="B23" i="8"/>
  <c r="C23" i="8"/>
  <c r="D23" i="8"/>
  <c r="E23" i="8" s="1"/>
  <c r="M23" i="8"/>
  <c r="U23" i="8"/>
  <c r="B24" i="8"/>
  <c r="C24" i="8"/>
  <c r="D24" i="8"/>
  <c r="E24" i="8" s="1"/>
  <c r="U24" i="8"/>
  <c r="B25" i="8"/>
  <c r="C25" i="8"/>
  <c r="D25" i="8"/>
  <c r="E25" i="8" s="1"/>
  <c r="U25" i="8"/>
  <c r="B26" i="8"/>
  <c r="C26" i="8"/>
  <c r="D26" i="8"/>
  <c r="E26" i="8" s="1"/>
  <c r="U26" i="8"/>
  <c r="B27" i="8"/>
  <c r="C27" i="8"/>
  <c r="D27" i="8"/>
  <c r="E27" i="8" s="1"/>
  <c r="U27" i="8"/>
  <c r="B28" i="8"/>
  <c r="C28" i="8"/>
  <c r="D28" i="8"/>
  <c r="E28" i="8" s="1"/>
  <c r="U28" i="8"/>
  <c r="B29" i="8"/>
  <c r="C29" i="8"/>
  <c r="D29" i="8"/>
  <c r="E29" i="8" s="1"/>
  <c r="U29" i="8"/>
  <c r="B30" i="8"/>
  <c r="C30" i="8"/>
  <c r="D30" i="8"/>
  <c r="E30" i="8" s="1"/>
  <c r="U30" i="8"/>
  <c r="B31" i="8"/>
  <c r="C31" i="8"/>
  <c r="D31" i="8"/>
  <c r="E31" i="8" s="1"/>
  <c r="M31" i="8"/>
  <c r="U31" i="8"/>
  <c r="B32" i="8"/>
  <c r="C32" i="8"/>
  <c r="D32" i="8"/>
  <c r="E32" i="8" s="1"/>
  <c r="U32" i="8"/>
  <c r="B33" i="8"/>
  <c r="C33" i="8"/>
  <c r="D33" i="8"/>
  <c r="E33" i="8" s="1"/>
  <c r="U33" i="8"/>
  <c r="B34" i="8"/>
  <c r="C34" i="8"/>
  <c r="D34" i="8"/>
  <c r="E34" i="8" s="1"/>
  <c r="U34" i="8"/>
  <c r="B35" i="8"/>
  <c r="C35" i="8"/>
  <c r="D35" i="8"/>
  <c r="E35" i="8" s="1"/>
  <c r="U35" i="8"/>
  <c r="B36" i="8"/>
  <c r="C36" i="8"/>
  <c r="D36" i="8"/>
  <c r="E36" i="8" s="1"/>
  <c r="U36" i="8"/>
  <c r="B37" i="8"/>
  <c r="C37" i="8"/>
  <c r="D37" i="8"/>
  <c r="E37" i="8" s="1"/>
  <c r="U37" i="8"/>
  <c r="B38" i="8"/>
  <c r="C38" i="8"/>
  <c r="D38" i="8"/>
  <c r="E38" i="8" s="1"/>
  <c r="U38" i="8"/>
  <c r="B39" i="8"/>
  <c r="C39" i="8"/>
  <c r="D39" i="8"/>
  <c r="E39" i="8" s="1"/>
  <c r="U39" i="8"/>
  <c r="B40" i="8"/>
  <c r="C40" i="8"/>
  <c r="D40" i="8"/>
  <c r="E40" i="8" s="1"/>
  <c r="U40" i="8"/>
  <c r="B41" i="8"/>
  <c r="C41" i="8"/>
  <c r="D41" i="8"/>
  <c r="E41" i="8" s="1"/>
  <c r="U41" i="8"/>
  <c r="B42" i="8"/>
  <c r="C42" i="8"/>
  <c r="D42" i="8"/>
  <c r="E42" i="8" s="1"/>
  <c r="U42" i="8"/>
  <c r="B43" i="8"/>
  <c r="C43" i="8"/>
  <c r="D43" i="8"/>
  <c r="E43" i="8" s="1"/>
  <c r="M43" i="8"/>
  <c r="U43" i="8"/>
  <c r="B44" i="8"/>
  <c r="C44" i="8"/>
  <c r="D44" i="8"/>
  <c r="E44" i="8" s="1"/>
  <c r="U44" i="8"/>
  <c r="B45" i="8"/>
  <c r="C45" i="8"/>
  <c r="D45" i="8"/>
  <c r="E45" i="8" s="1"/>
  <c r="U45" i="8"/>
  <c r="B46" i="8"/>
  <c r="C46" i="8"/>
  <c r="D46" i="8"/>
  <c r="E46" i="8" s="1"/>
  <c r="U46" i="8"/>
  <c r="B47" i="8"/>
  <c r="C47" i="8"/>
  <c r="D47" i="8"/>
  <c r="E47" i="8" s="1"/>
  <c r="U47" i="8"/>
  <c r="B48" i="8"/>
  <c r="C48" i="8"/>
  <c r="D48" i="8"/>
  <c r="E48" i="8" s="1"/>
  <c r="U48" i="8"/>
  <c r="B49" i="8"/>
  <c r="C49" i="8"/>
  <c r="D49" i="8"/>
  <c r="E49" i="8" s="1"/>
  <c r="M49" i="8"/>
  <c r="U49" i="8"/>
  <c r="B50" i="8"/>
  <c r="C50" i="8"/>
  <c r="D50" i="8"/>
  <c r="E50" i="8" s="1"/>
  <c r="U50" i="8"/>
  <c r="B51" i="8"/>
  <c r="C51" i="8"/>
  <c r="D51" i="8"/>
  <c r="E51" i="8" s="1"/>
  <c r="U51" i="8"/>
  <c r="B52" i="8"/>
  <c r="C52" i="8"/>
  <c r="D52" i="8"/>
  <c r="E52" i="8" s="1"/>
  <c r="U52" i="8"/>
  <c r="B53" i="8"/>
  <c r="C53" i="8"/>
  <c r="D53" i="8"/>
  <c r="E53" i="8" s="1"/>
  <c r="U53" i="8"/>
  <c r="B54" i="8"/>
  <c r="C54" i="8"/>
  <c r="D54" i="8"/>
  <c r="E54" i="8" s="1"/>
  <c r="U54" i="8"/>
  <c r="B55" i="8"/>
  <c r="C55" i="8"/>
  <c r="D55" i="8"/>
  <c r="E55" i="8" s="1"/>
  <c r="M55" i="8"/>
  <c r="U55" i="8"/>
  <c r="B56" i="8"/>
  <c r="C56" i="8"/>
  <c r="D56" i="8"/>
  <c r="E56" i="8" s="1"/>
  <c r="U56" i="8"/>
  <c r="B57" i="8"/>
  <c r="C57" i="8"/>
  <c r="D57" i="8"/>
  <c r="E57" i="8" s="1"/>
  <c r="U57" i="8"/>
  <c r="B58" i="8"/>
  <c r="C58" i="8"/>
  <c r="D58" i="8"/>
  <c r="E58" i="8" s="1"/>
  <c r="U58" i="8"/>
  <c r="B59" i="8"/>
  <c r="C59" i="8"/>
  <c r="D59" i="8"/>
  <c r="E59" i="8" s="1"/>
  <c r="U59" i="8"/>
  <c r="B60" i="8"/>
  <c r="C60" i="8"/>
  <c r="D60" i="8"/>
  <c r="E60" i="8" s="1"/>
  <c r="U60" i="8"/>
  <c r="B61" i="8"/>
  <c r="C61" i="8"/>
  <c r="D61" i="8"/>
  <c r="E61" i="8" s="1"/>
  <c r="M61" i="8"/>
  <c r="U61" i="8"/>
  <c r="B62" i="8"/>
  <c r="C62" i="8"/>
  <c r="D62" i="8"/>
  <c r="E62" i="8" s="1"/>
  <c r="U62" i="8"/>
  <c r="B63" i="8"/>
  <c r="C63" i="8"/>
  <c r="D63" i="8"/>
  <c r="E63" i="8" s="1"/>
  <c r="U63" i="8"/>
  <c r="B64" i="8"/>
  <c r="C64" i="8"/>
  <c r="D64" i="8"/>
  <c r="E64" i="8" s="1"/>
  <c r="U64" i="8"/>
  <c r="B65" i="8"/>
  <c r="C65" i="8"/>
  <c r="D65" i="8"/>
  <c r="E65" i="8" s="1"/>
  <c r="U65" i="8"/>
  <c r="B66" i="8"/>
  <c r="C66" i="8"/>
  <c r="D66" i="8"/>
  <c r="E66" i="8" s="1"/>
  <c r="M66" i="8"/>
  <c r="U66" i="8"/>
  <c r="B67" i="8"/>
  <c r="C67" i="8"/>
  <c r="D67" i="8"/>
  <c r="E67" i="8" s="1"/>
  <c r="M67" i="8"/>
  <c r="U67" i="8"/>
  <c r="B68" i="8"/>
  <c r="C68" i="8"/>
  <c r="D68" i="8"/>
  <c r="E68" i="8" s="1"/>
  <c r="U68" i="8"/>
  <c r="B69" i="8"/>
  <c r="C69" i="8"/>
  <c r="D69" i="8"/>
  <c r="E69" i="8" s="1"/>
  <c r="U69" i="8"/>
  <c r="B70" i="8"/>
  <c r="C70" i="8"/>
  <c r="D70" i="8"/>
  <c r="E70" i="8" s="1"/>
  <c r="U70" i="8"/>
  <c r="B71" i="8"/>
  <c r="C71" i="8"/>
  <c r="D71" i="8"/>
  <c r="E71" i="8" s="1"/>
  <c r="U71" i="8"/>
  <c r="B72" i="8"/>
  <c r="C72" i="8"/>
  <c r="D72" i="8"/>
  <c r="E72" i="8" s="1"/>
  <c r="U72" i="8"/>
  <c r="B73" i="8"/>
  <c r="C73" i="8"/>
  <c r="D73" i="8"/>
  <c r="E73" i="8" s="1"/>
  <c r="M73" i="8"/>
  <c r="U73" i="8"/>
  <c r="B74" i="8"/>
  <c r="C74" i="8"/>
  <c r="D74" i="8"/>
  <c r="E74" i="8" s="1"/>
  <c r="U74" i="8"/>
  <c r="B75" i="8"/>
  <c r="C75" i="8"/>
  <c r="D75" i="8"/>
  <c r="E75" i="8" s="1"/>
  <c r="U75" i="8"/>
  <c r="B76" i="8"/>
  <c r="C76" i="8"/>
  <c r="D76" i="8"/>
  <c r="E76" i="8" s="1"/>
  <c r="U76" i="8"/>
  <c r="B77" i="8"/>
  <c r="C77" i="8"/>
  <c r="D77" i="8"/>
  <c r="E77" i="8" s="1"/>
  <c r="U77" i="8"/>
  <c r="B78" i="8"/>
  <c r="C78" i="8"/>
  <c r="D78" i="8"/>
  <c r="E78" i="8" s="1"/>
  <c r="U78" i="8"/>
  <c r="B79" i="8"/>
  <c r="C79" i="8"/>
  <c r="D79" i="8"/>
  <c r="E79" i="8" s="1"/>
  <c r="M79" i="8"/>
  <c r="U79" i="8"/>
  <c r="B80" i="8"/>
  <c r="C80" i="8"/>
  <c r="D80" i="8"/>
  <c r="E80" i="8" s="1"/>
  <c r="U80" i="8"/>
  <c r="B81" i="8"/>
  <c r="C81" i="8"/>
  <c r="D81" i="8"/>
  <c r="E81" i="8" s="1"/>
  <c r="U81" i="8"/>
  <c r="B82" i="8"/>
  <c r="C82" i="8"/>
  <c r="D82" i="8"/>
  <c r="E82" i="8" s="1"/>
  <c r="U82" i="8"/>
  <c r="B83" i="8"/>
  <c r="C83" i="8"/>
  <c r="D83" i="8"/>
  <c r="E83" i="8" s="1"/>
  <c r="U83" i="8"/>
  <c r="B84" i="8"/>
  <c r="C84" i="8"/>
  <c r="D84" i="8"/>
  <c r="E84" i="8" s="1"/>
  <c r="U84" i="8"/>
  <c r="B85" i="8"/>
  <c r="C85" i="8"/>
  <c r="D85" i="8"/>
  <c r="E85" i="8" s="1"/>
  <c r="M85" i="8"/>
  <c r="U85" i="8"/>
  <c r="B86" i="8"/>
  <c r="C86" i="8"/>
  <c r="D86" i="8"/>
  <c r="E86" i="8" s="1"/>
  <c r="U86" i="8"/>
  <c r="B87" i="8"/>
  <c r="C87" i="8"/>
  <c r="D87" i="8"/>
  <c r="E87" i="8" s="1"/>
  <c r="U87" i="8"/>
  <c r="B88" i="8"/>
  <c r="C88" i="8"/>
  <c r="D88" i="8"/>
  <c r="E88" i="8" s="1"/>
  <c r="U88" i="8"/>
  <c r="B89" i="8"/>
  <c r="C89" i="8"/>
  <c r="D89" i="8"/>
  <c r="E89" i="8" s="1"/>
  <c r="U89" i="8"/>
  <c r="B90" i="8"/>
  <c r="C90" i="8"/>
  <c r="D90" i="8"/>
  <c r="E90" i="8" s="1"/>
  <c r="M90" i="8"/>
  <c r="U90" i="8"/>
  <c r="B91" i="8"/>
  <c r="C91" i="8"/>
  <c r="D91" i="8"/>
  <c r="E91" i="8" s="1"/>
  <c r="U91" i="8"/>
  <c r="B92" i="8"/>
  <c r="C92" i="8"/>
  <c r="D92" i="8"/>
  <c r="E92" i="8" s="1"/>
  <c r="U92" i="8"/>
  <c r="B93" i="8"/>
  <c r="C93" i="8"/>
  <c r="D93" i="8"/>
  <c r="E93" i="8" s="1"/>
  <c r="U93" i="8"/>
  <c r="B94" i="8"/>
  <c r="C94" i="8"/>
  <c r="D94" i="8"/>
  <c r="E94" i="8" s="1"/>
  <c r="U94" i="8"/>
  <c r="B95" i="8"/>
  <c r="C95" i="8"/>
  <c r="D95" i="8"/>
  <c r="E95" i="8" s="1"/>
  <c r="U95" i="8"/>
  <c r="B96" i="8"/>
  <c r="C96" i="8"/>
  <c r="D96" i="8"/>
  <c r="E96" i="8" s="1"/>
  <c r="M96" i="8"/>
  <c r="U96" i="8"/>
  <c r="B97" i="8"/>
  <c r="C97" i="8"/>
  <c r="D97" i="8"/>
  <c r="E97" i="8" s="1"/>
  <c r="M97" i="8"/>
  <c r="U97" i="8"/>
  <c r="B98" i="8"/>
  <c r="C98" i="8"/>
  <c r="D98" i="8"/>
  <c r="E98" i="8" s="1"/>
  <c r="U98" i="8"/>
  <c r="B99" i="8"/>
  <c r="C99" i="8"/>
  <c r="D99" i="8"/>
  <c r="E99" i="8" s="1"/>
  <c r="U99" i="8"/>
  <c r="B100" i="8"/>
  <c r="C100" i="8"/>
  <c r="D100" i="8"/>
  <c r="E100" i="8" s="1"/>
  <c r="U100" i="8"/>
  <c r="B101" i="8"/>
  <c r="C101" i="8"/>
  <c r="D101" i="8"/>
  <c r="E101" i="8" s="1"/>
  <c r="U101" i="8"/>
  <c r="B102" i="8"/>
  <c r="C102" i="8"/>
  <c r="D102" i="8"/>
  <c r="E102" i="8" s="1"/>
  <c r="U102" i="8"/>
  <c r="B103" i="8"/>
  <c r="C103" i="8"/>
  <c r="D103" i="8"/>
  <c r="E103" i="8" s="1"/>
  <c r="M103" i="8"/>
  <c r="U103" i="8"/>
  <c r="B104" i="8"/>
  <c r="C104" i="8"/>
  <c r="D104" i="8"/>
  <c r="E104" i="8" s="1"/>
  <c r="U104" i="8"/>
  <c r="B105" i="8"/>
  <c r="C105" i="8"/>
  <c r="D105" i="8"/>
  <c r="E105" i="8" s="1"/>
  <c r="U105" i="8"/>
  <c r="B106" i="8"/>
  <c r="C106" i="8"/>
  <c r="D106" i="8"/>
  <c r="E106" i="8" s="1"/>
  <c r="U106" i="8"/>
  <c r="B107" i="8"/>
  <c r="C107" i="8"/>
  <c r="D107" i="8"/>
  <c r="E107" i="8" s="1"/>
  <c r="U107" i="8"/>
  <c r="B108" i="8"/>
  <c r="C108" i="8"/>
  <c r="D108" i="8"/>
  <c r="E108" i="8" s="1"/>
  <c r="U108" i="8"/>
  <c r="B109" i="8"/>
  <c r="C109" i="8"/>
  <c r="D109" i="8"/>
  <c r="E109" i="8" s="1"/>
  <c r="U109" i="8"/>
  <c r="B110" i="8"/>
  <c r="C110" i="8"/>
  <c r="D110" i="8"/>
  <c r="E110" i="8" s="1"/>
  <c r="U110" i="8"/>
  <c r="B111" i="8"/>
  <c r="C111" i="8"/>
  <c r="D111" i="8"/>
  <c r="E111" i="8" s="1"/>
  <c r="U111" i="8"/>
  <c r="B112" i="8"/>
  <c r="C112" i="8"/>
  <c r="D112" i="8"/>
  <c r="E112" i="8" s="1"/>
  <c r="U112" i="8"/>
  <c r="B113" i="8"/>
  <c r="C113" i="8"/>
  <c r="D113" i="8"/>
  <c r="E113" i="8" s="1"/>
  <c r="U113" i="8"/>
  <c r="B114" i="8"/>
  <c r="C114" i="8"/>
  <c r="D114" i="8"/>
  <c r="E114" i="8" s="1"/>
  <c r="U114" i="8"/>
  <c r="B115" i="8"/>
  <c r="C115" i="8"/>
  <c r="D115" i="8"/>
  <c r="E115" i="8" s="1"/>
  <c r="M115" i="8"/>
  <c r="U115" i="8"/>
  <c r="B116" i="8"/>
  <c r="C116" i="8"/>
  <c r="D116" i="8"/>
  <c r="E116" i="8" s="1"/>
  <c r="U116" i="8"/>
  <c r="B117" i="8"/>
  <c r="C117" i="8"/>
  <c r="D117" i="8"/>
  <c r="E117" i="8" s="1"/>
  <c r="U117" i="8"/>
  <c r="B118" i="8"/>
  <c r="C118" i="8"/>
  <c r="D118" i="8"/>
  <c r="E118" i="8" s="1"/>
  <c r="U118" i="8"/>
  <c r="B119" i="8"/>
  <c r="C119" i="8"/>
  <c r="D119" i="8"/>
  <c r="E119" i="8" s="1"/>
  <c r="U119" i="8"/>
  <c r="B120" i="8"/>
  <c r="C120" i="8"/>
  <c r="D120" i="8"/>
  <c r="E120" i="8" s="1"/>
  <c r="U120" i="8"/>
  <c r="B121" i="8"/>
  <c r="C121" i="8"/>
  <c r="D121" i="8"/>
  <c r="E121" i="8" s="1"/>
  <c r="M121" i="8"/>
  <c r="U121" i="8"/>
  <c r="B122" i="8"/>
  <c r="C122" i="8"/>
  <c r="D122" i="8"/>
  <c r="E122" i="8" s="1"/>
  <c r="U122" i="8"/>
  <c r="B123" i="8"/>
  <c r="C123" i="8"/>
  <c r="D123" i="8"/>
  <c r="E123" i="8" s="1"/>
  <c r="U123" i="8"/>
  <c r="B124" i="8"/>
  <c r="C124" i="8"/>
  <c r="D124" i="8"/>
  <c r="E124" i="8" s="1"/>
  <c r="U124" i="8"/>
  <c r="B125" i="8"/>
  <c r="C125" i="8"/>
  <c r="D125" i="8"/>
  <c r="E125" i="8" s="1"/>
  <c r="U125" i="8"/>
  <c r="B126" i="8"/>
  <c r="C126" i="8"/>
  <c r="D126" i="8"/>
  <c r="E126" i="8" s="1"/>
  <c r="U126" i="8"/>
  <c r="B127" i="8"/>
  <c r="C127" i="8"/>
  <c r="D127" i="8"/>
  <c r="E127" i="8" s="1"/>
  <c r="M127" i="8"/>
  <c r="U127" i="8"/>
  <c r="B128" i="8"/>
  <c r="C128" i="8"/>
  <c r="D128" i="8"/>
  <c r="E128" i="8" s="1"/>
  <c r="U128" i="8"/>
  <c r="B129" i="8"/>
  <c r="C129" i="8"/>
  <c r="D129" i="8"/>
  <c r="E129" i="8" s="1"/>
  <c r="U129" i="8"/>
  <c r="B130" i="8"/>
  <c r="C130" i="8"/>
  <c r="D130" i="8"/>
  <c r="E130" i="8" s="1"/>
  <c r="U130" i="8"/>
  <c r="B131" i="8"/>
  <c r="C131" i="8"/>
  <c r="D131" i="8"/>
  <c r="E131" i="8" s="1"/>
  <c r="U131" i="8"/>
  <c r="B132" i="8"/>
  <c r="C132" i="8"/>
  <c r="D132" i="8"/>
  <c r="E132" i="8" s="1"/>
  <c r="M132" i="8"/>
  <c r="U132" i="8"/>
  <c r="B133" i="8"/>
  <c r="C133" i="8"/>
  <c r="D133" i="8"/>
  <c r="E133" i="8" s="1"/>
  <c r="M133" i="8"/>
  <c r="U133" i="8"/>
  <c r="B134" i="8"/>
  <c r="C134" i="8"/>
  <c r="D134" i="8"/>
  <c r="E134" i="8" s="1"/>
  <c r="U134" i="8"/>
  <c r="B135" i="8"/>
  <c r="C135" i="8"/>
  <c r="D135" i="8"/>
  <c r="E135" i="8" s="1"/>
  <c r="U135" i="8"/>
  <c r="B136" i="8"/>
  <c r="C136" i="8"/>
  <c r="D136" i="8"/>
  <c r="E136" i="8" s="1"/>
  <c r="U136" i="8"/>
  <c r="B137" i="8"/>
  <c r="C137" i="8"/>
  <c r="D137" i="8"/>
  <c r="E137" i="8"/>
  <c r="U137" i="8"/>
  <c r="B138" i="8"/>
  <c r="C138" i="8"/>
  <c r="D138" i="8"/>
  <c r="E138" i="8" s="1"/>
  <c r="M138" i="8"/>
  <c r="U138" i="8"/>
  <c r="B139" i="8"/>
  <c r="C139" i="8"/>
  <c r="D139" i="8"/>
  <c r="E139" i="8" s="1"/>
  <c r="M139" i="8"/>
  <c r="U139" i="8"/>
  <c r="B140" i="8"/>
  <c r="C140" i="8"/>
  <c r="D140" i="8"/>
  <c r="E140" i="8" s="1"/>
  <c r="U140" i="8"/>
  <c r="B141" i="8"/>
  <c r="C141" i="8"/>
  <c r="D141" i="8"/>
  <c r="E141" i="8" s="1"/>
  <c r="U141" i="8"/>
  <c r="B142" i="8"/>
  <c r="C142" i="8"/>
  <c r="D142" i="8"/>
  <c r="E142" i="8" s="1"/>
  <c r="U142" i="8"/>
  <c r="B143" i="8"/>
  <c r="C143" i="8"/>
  <c r="D143" i="8"/>
  <c r="E143" i="8" s="1"/>
  <c r="U143" i="8"/>
  <c r="B144" i="8"/>
  <c r="C144" i="8"/>
  <c r="D144" i="8"/>
  <c r="E144" i="8" s="1"/>
  <c r="M144" i="8"/>
  <c r="U144" i="8"/>
  <c r="B145" i="8"/>
  <c r="C145" i="8"/>
  <c r="D145" i="8"/>
  <c r="E145" i="8" s="1"/>
  <c r="M145" i="8"/>
  <c r="U145" i="8"/>
  <c r="B146" i="8"/>
  <c r="C146" i="8"/>
  <c r="D146" i="8"/>
  <c r="E146" i="8" s="1"/>
  <c r="U146" i="8"/>
  <c r="B147" i="8"/>
  <c r="C147" i="8"/>
  <c r="D147" i="8"/>
  <c r="E147" i="8" s="1"/>
  <c r="U147" i="8"/>
  <c r="B148" i="8"/>
  <c r="C148" i="8"/>
  <c r="D148" i="8"/>
  <c r="E148" i="8" s="1"/>
  <c r="U148" i="8"/>
  <c r="B149" i="8"/>
  <c r="C149" i="8"/>
  <c r="D149" i="8"/>
  <c r="E149" i="8" s="1"/>
  <c r="U149" i="8"/>
  <c r="B150" i="8"/>
  <c r="C150" i="8"/>
  <c r="D150" i="8"/>
  <c r="E150" i="8" s="1"/>
  <c r="M150" i="8"/>
  <c r="U150" i="8"/>
  <c r="B151" i="8"/>
  <c r="C151" i="8"/>
  <c r="D151" i="8"/>
  <c r="E151" i="8" s="1"/>
  <c r="M151" i="8"/>
  <c r="U151" i="8"/>
  <c r="B152" i="8"/>
  <c r="C152" i="8"/>
  <c r="D152" i="8"/>
  <c r="E152" i="8" s="1"/>
  <c r="U152" i="8"/>
  <c r="B153" i="8"/>
  <c r="C153" i="8"/>
  <c r="D153" i="8"/>
  <c r="E153" i="8" s="1"/>
  <c r="M153" i="8"/>
  <c r="U153" i="8"/>
  <c r="U4" i="8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2" i="6"/>
  <c r="D4" i="8"/>
  <c r="E4" i="8" s="1"/>
  <c r="C4" i="8"/>
  <c r="B4" i="8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2" i="3"/>
  <c r="C3" i="6"/>
  <c r="D3" i="6"/>
  <c r="E3" i="6"/>
  <c r="G3" i="6" s="1"/>
  <c r="M3" i="6"/>
  <c r="Q3" i="6"/>
  <c r="C4" i="6"/>
  <c r="D4" i="6"/>
  <c r="E4" i="6"/>
  <c r="G4" i="6" s="1"/>
  <c r="M4" i="6"/>
  <c r="Q4" i="6"/>
  <c r="C5" i="6"/>
  <c r="D5" i="6"/>
  <c r="E5" i="6"/>
  <c r="G5" i="6" s="1"/>
  <c r="M5" i="6"/>
  <c r="Q5" i="6"/>
  <c r="C6" i="6"/>
  <c r="D6" i="6"/>
  <c r="E6" i="6"/>
  <c r="G6" i="6" s="1"/>
  <c r="Q6" i="6"/>
  <c r="C7" i="6"/>
  <c r="D7" i="6"/>
  <c r="E7" i="6"/>
  <c r="G7" i="6" s="1"/>
  <c r="C8" i="6"/>
  <c r="D8" i="6"/>
  <c r="E8" i="6"/>
  <c r="G8" i="6" s="1"/>
  <c r="C9" i="6"/>
  <c r="D9" i="6"/>
  <c r="E9" i="6"/>
  <c r="G9" i="6" s="1"/>
  <c r="C10" i="6"/>
  <c r="D10" i="6"/>
  <c r="E10" i="6"/>
  <c r="G10" i="6" s="1"/>
  <c r="M10" i="6"/>
  <c r="C11" i="6"/>
  <c r="D11" i="6"/>
  <c r="E11" i="6"/>
  <c r="G11" i="6" s="1"/>
  <c r="C12" i="6"/>
  <c r="D12" i="6"/>
  <c r="E12" i="6"/>
  <c r="G12" i="6" s="1"/>
  <c r="C13" i="6"/>
  <c r="D13" i="6"/>
  <c r="E13" i="6"/>
  <c r="G13" i="6" s="1"/>
  <c r="Q13" i="6"/>
  <c r="C14" i="6"/>
  <c r="D14" i="6"/>
  <c r="E14" i="6"/>
  <c r="G14" i="6" s="1"/>
  <c r="C15" i="6"/>
  <c r="D15" i="6"/>
  <c r="E15" i="6"/>
  <c r="G15" i="6" s="1"/>
  <c r="C16" i="6"/>
  <c r="D16" i="6"/>
  <c r="E16" i="6"/>
  <c r="G16" i="6" s="1"/>
  <c r="M16" i="6"/>
  <c r="Q16" i="6"/>
  <c r="C17" i="6"/>
  <c r="D17" i="6"/>
  <c r="E17" i="6"/>
  <c r="G17" i="6" s="1"/>
  <c r="C18" i="6"/>
  <c r="D18" i="6"/>
  <c r="E18" i="6"/>
  <c r="G18" i="6" s="1"/>
  <c r="C19" i="6"/>
  <c r="D19" i="6"/>
  <c r="E19" i="6"/>
  <c r="G19" i="6" s="1"/>
  <c r="Q19" i="6"/>
  <c r="C20" i="6"/>
  <c r="D20" i="6"/>
  <c r="E20" i="6"/>
  <c r="G20" i="6" s="1"/>
  <c r="M20" i="6"/>
  <c r="Q20" i="6"/>
  <c r="C21" i="6"/>
  <c r="D21" i="6"/>
  <c r="E21" i="6"/>
  <c r="G21" i="6" s="1"/>
  <c r="M21" i="6"/>
  <c r="Q21" i="6"/>
  <c r="C22" i="6"/>
  <c r="D22" i="6"/>
  <c r="E22" i="6"/>
  <c r="G22" i="6" s="1"/>
  <c r="Q22" i="6"/>
  <c r="C23" i="6"/>
  <c r="D23" i="6"/>
  <c r="E23" i="6"/>
  <c r="G23" i="6" s="1"/>
  <c r="C24" i="6"/>
  <c r="D24" i="6"/>
  <c r="E24" i="6"/>
  <c r="G24" i="6" s="1"/>
  <c r="C25" i="6"/>
  <c r="D25" i="6"/>
  <c r="E25" i="6"/>
  <c r="G25" i="6" s="1"/>
  <c r="C26" i="6"/>
  <c r="D26" i="6"/>
  <c r="E26" i="6"/>
  <c r="G26" i="6" s="1"/>
  <c r="C27" i="6"/>
  <c r="D27" i="6"/>
  <c r="E27" i="6"/>
  <c r="G27" i="6" s="1"/>
  <c r="C28" i="6"/>
  <c r="D28" i="6"/>
  <c r="E28" i="6"/>
  <c r="G28" i="6" s="1"/>
  <c r="Q28" i="6"/>
  <c r="C29" i="6"/>
  <c r="D29" i="6"/>
  <c r="E29" i="6"/>
  <c r="G29" i="6" s="1"/>
  <c r="Q29" i="6"/>
  <c r="C30" i="6"/>
  <c r="D30" i="6"/>
  <c r="E30" i="6"/>
  <c r="G30" i="6" s="1"/>
  <c r="C31" i="6"/>
  <c r="D31" i="6"/>
  <c r="E31" i="6"/>
  <c r="G31" i="6" s="1"/>
  <c r="C32" i="6"/>
  <c r="D32" i="6"/>
  <c r="E32" i="6"/>
  <c r="G32" i="6" s="1"/>
  <c r="C33" i="6"/>
  <c r="D33" i="6"/>
  <c r="E33" i="6"/>
  <c r="G33" i="6" s="1"/>
  <c r="C34" i="6"/>
  <c r="D34" i="6"/>
  <c r="E34" i="6"/>
  <c r="G34" i="6" s="1"/>
  <c r="Q34" i="6"/>
  <c r="C35" i="6"/>
  <c r="D35" i="6"/>
  <c r="E35" i="6"/>
  <c r="G35" i="6" s="1"/>
  <c r="Q35" i="6"/>
  <c r="C36" i="6"/>
  <c r="D36" i="6"/>
  <c r="E36" i="6"/>
  <c r="G36" i="6" s="1"/>
  <c r="M36" i="6"/>
  <c r="C37" i="6"/>
  <c r="D37" i="6"/>
  <c r="E37" i="6"/>
  <c r="G37" i="6" s="1"/>
  <c r="C38" i="6"/>
  <c r="D38" i="6"/>
  <c r="E38" i="6"/>
  <c r="G38" i="6" s="1"/>
  <c r="C39" i="6"/>
  <c r="D39" i="6"/>
  <c r="E39" i="6"/>
  <c r="G39" i="6" s="1"/>
  <c r="C40" i="6"/>
  <c r="D40" i="6"/>
  <c r="E40" i="6"/>
  <c r="G40" i="6" s="1"/>
  <c r="Q40" i="6"/>
  <c r="C41" i="6"/>
  <c r="D41" i="6"/>
  <c r="E41" i="6"/>
  <c r="G41" i="6" s="1"/>
  <c r="Q41" i="6"/>
  <c r="C42" i="6"/>
  <c r="D42" i="6"/>
  <c r="E42" i="6"/>
  <c r="G42" i="6" s="1"/>
  <c r="C43" i="6"/>
  <c r="D43" i="6"/>
  <c r="E43" i="6"/>
  <c r="G43" i="6" s="1"/>
  <c r="C44" i="6"/>
  <c r="D44" i="6"/>
  <c r="E44" i="6"/>
  <c r="G44" i="6" s="1"/>
  <c r="C45" i="6"/>
  <c r="D45" i="6"/>
  <c r="E45" i="6"/>
  <c r="G45" i="6" s="1"/>
  <c r="C46" i="6"/>
  <c r="D46" i="6"/>
  <c r="E46" i="6"/>
  <c r="G46" i="6" s="1"/>
  <c r="Q46" i="6"/>
  <c r="C47" i="6"/>
  <c r="D47" i="6"/>
  <c r="E47" i="6"/>
  <c r="G47" i="6" s="1"/>
  <c r="M47" i="6"/>
  <c r="C48" i="6"/>
  <c r="D48" i="6"/>
  <c r="E48" i="6"/>
  <c r="G48" i="6" s="1"/>
  <c r="C49" i="6"/>
  <c r="D49" i="6"/>
  <c r="E49" i="6"/>
  <c r="G49" i="6" s="1"/>
  <c r="C50" i="6"/>
  <c r="D50" i="6"/>
  <c r="E50" i="6"/>
  <c r="G50" i="6" s="1"/>
  <c r="C51" i="6"/>
  <c r="D51" i="6"/>
  <c r="E51" i="6"/>
  <c r="G51" i="6" s="1"/>
  <c r="C52" i="6"/>
  <c r="D52" i="6"/>
  <c r="E52" i="6"/>
  <c r="G52" i="6" s="1"/>
  <c r="Q52" i="6"/>
  <c r="C53" i="6"/>
  <c r="D53" i="6"/>
  <c r="E53" i="6"/>
  <c r="G53" i="6" s="1"/>
  <c r="M53" i="6"/>
  <c r="Q53" i="6"/>
  <c r="C54" i="6"/>
  <c r="D54" i="6"/>
  <c r="E54" i="6"/>
  <c r="G54" i="6" s="1"/>
  <c r="C55" i="6"/>
  <c r="D55" i="6"/>
  <c r="E55" i="6"/>
  <c r="G55" i="6" s="1"/>
  <c r="C56" i="6"/>
  <c r="D56" i="6"/>
  <c r="E56" i="6"/>
  <c r="G56" i="6" s="1"/>
  <c r="C57" i="6"/>
  <c r="D57" i="6"/>
  <c r="E57" i="6"/>
  <c r="G57" i="6" s="1"/>
  <c r="C58" i="6"/>
  <c r="D58" i="6"/>
  <c r="E58" i="6"/>
  <c r="G58" i="6" s="1"/>
  <c r="Q58" i="6"/>
  <c r="C59" i="6"/>
  <c r="D59" i="6"/>
  <c r="E59" i="6"/>
  <c r="G59" i="6" s="1"/>
  <c r="Q59" i="6"/>
  <c r="C60" i="6"/>
  <c r="D60" i="6"/>
  <c r="E60" i="6"/>
  <c r="G60" i="6" s="1"/>
  <c r="C61" i="6"/>
  <c r="D61" i="6"/>
  <c r="E61" i="6"/>
  <c r="G61" i="6" s="1"/>
  <c r="C62" i="6"/>
  <c r="D62" i="6"/>
  <c r="E62" i="6"/>
  <c r="G62" i="6" s="1"/>
  <c r="C63" i="6"/>
  <c r="D63" i="6"/>
  <c r="E63" i="6"/>
  <c r="G63" i="6" s="1"/>
  <c r="Q63" i="6"/>
  <c r="C64" i="6"/>
  <c r="D64" i="6"/>
  <c r="E64" i="6"/>
  <c r="G64" i="6" s="1"/>
  <c r="Q64" i="6"/>
  <c r="C65" i="6"/>
  <c r="D65" i="6"/>
  <c r="E65" i="6"/>
  <c r="G65" i="6" s="1"/>
  <c r="Q65" i="6"/>
  <c r="C66" i="6"/>
  <c r="D66" i="6"/>
  <c r="E66" i="6"/>
  <c r="G66" i="6" s="1"/>
  <c r="M66" i="6"/>
  <c r="C67" i="6"/>
  <c r="D67" i="6"/>
  <c r="E67" i="6"/>
  <c r="G67" i="6" s="1"/>
  <c r="C68" i="6"/>
  <c r="D68" i="6"/>
  <c r="E68" i="6"/>
  <c r="G68" i="6" s="1"/>
  <c r="C69" i="6"/>
  <c r="D69" i="6"/>
  <c r="E69" i="6"/>
  <c r="G69" i="6" s="1"/>
  <c r="C70" i="6"/>
  <c r="D70" i="6"/>
  <c r="E70" i="6"/>
  <c r="G70" i="6" s="1"/>
  <c r="Q70" i="6"/>
  <c r="C71" i="6"/>
  <c r="D71" i="6"/>
  <c r="E71" i="6"/>
  <c r="G71" i="6" s="1"/>
  <c r="M71" i="6"/>
  <c r="Q71" i="6"/>
  <c r="C72" i="6"/>
  <c r="D72" i="6"/>
  <c r="E72" i="6"/>
  <c r="G72" i="6" s="1"/>
  <c r="C73" i="6"/>
  <c r="D73" i="6"/>
  <c r="E73" i="6"/>
  <c r="G73" i="6" s="1"/>
  <c r="C74" i="6"/>
  <c r="D74" i="6"/>
  <c r="E74" i="6"/>
  <c r="G74" i="6" s="1"/>
  <c r="C75" i="6"/>
  <c r="D75" i="6"/>
  <c r="E75" i="6"/>
  <c r="G75" i="6" s="1"/>
  <c r="C76" i="6"/>
  <c r="D76" i="6"/>
  <c r="E76" i="6"/>
  <c r="G76" i="6" s="1"/>
  <c r="Q76" i="6"/>
  <c r="C77" i="6"/>
  <c r="D77" i="6"/>
  <c r="E77" i="6"/>
  <c r="G77" i="6" s="1"/>
  <c r="Q77" i="6"/>
  <c r="C78" i="6"/>
  <c r="D78" i="6"/>
  <c r="E78" i="6"/>
  <c r="G78" i="6" s="1"/>
  <c r="C79" i="6"/>
  <c r="D79" i="6"/>
  <c r="E79" i="6"/>
  <c r="G79" i="6" s="1"/>
  <c r="C80" i="6"/>
  <c r="D80" i="6"/>
  <c r="E80" i="6"/>
  <c r="G80" i="6" s="1"/>
  <c r="C81" i="6"/>
  <c r="D81" i="6"/>
  <c r="E81" i="6"/>
  <c r="G81" i="6" s="1"/>
  <c r="C82" i="6"/>
  <c r="D82" i="6"/>
  <c r="E82" i="6"/>
  <c r="G82" i="6" s="1"/>
  <c r="Q82" i="6"/>
  <c r="C83" i="6"/>
  <c r="D83" i="6"/>
  <c r="E83" i="6"/>
  <c r="G83" i="6" s="1"/>
  <c r="Q83" i="6"/>
  <c r="C84" i="6"/>
  <c r="D84" i="6"/>
  <c r="E84" i="6"/>
  <c r="G84" i="6" s="1"/>
  <c r="M84" i="6"/>
  <c r="C85" i="6"/>
  <c r="D85" i="6"/>
  <c r="E85" i="6"/>
  <c r="G85" i="6" s="1"/>
  <c r="C86" i="6"/>
  <c r="D86" i="6"/>
  <c r="E86" i="6"/>
  <c r="G86" i="6" s="1"/>
  <c r="C87" i="6"/>
  <c r="D87" i="6"/>
  <c r="E87" i="6"/>
  <c r="G87" i="6" s="1"/>
  <c r="C88" i="6"/>
  <c r="D88" i="6"/>
  <c r="E88" i="6"/>
  <c r="G88" i="6" s="1"/>
  <c r="Q88" i="6"/>
  <c r="C89" i="6"/>
  <c r="D89" i="6"/>
  <c r="E89" i="6"/>
  <c r="G89" i="6" s="1"/>
  <c r="M89" i="6"/>
  <c r="Q89" i="6"/>
  <c r="C90" i="6"/>
  <c r="D90" i="6"/>
  <c r="E90" i="6"/>
  <c r="G90" i="6" s="1"/>
  <c r="C91" i="6"/>
  <c r="D91" i="6"/>
  <c r="E91" i="6"/>
  <c r="G91" i="6" s="1"/>
  <c r="C92" i="6"/>
  <c r="D92" i="6"/>
  <c r="E92" i="6"/>
  <c r="G92" i="6" s="1"/>
  <c r="C93" i="6"/>
  <c r="D93" i="6"/>
  <c r="E93" i="6"/>
  <c r="G93" i="6" s="1"/>
  <c r="C94" i="6"/>
  <c r="D94" i="6"/>
  <c r="E94" i="6"/>
  <c r="G94" i="6" s="1"/>
  <c r="M94" i="6"/>
  <c r="Q94" i="6"/>
  <c r="C95" i="6"/>
  <c r="D95" i="6"/>
  <c r="E95" i="6"/>
  <c r="G95" i="6" s="1"/>
  <c r="M95" i="6"/>
  <c r="Q95" i="6"/>
  <c r="C96" i="6"/>
  <c r="D96" i="6"/>
  <c r="E96" i="6"/>
  <c r="G96" i="6" s="1"/>
  <c r="C97" i="6"/>
  <c r="D97" i="6"/>
  <c r="E97" i="6"/>
  <c r="G97" i="6" s="1"/>
  <c r="C98" i="6"/>
  <c r="D98" i="6"/>
  <c r="E98" i="6"/>
  <c r="G98" i="6" s="1"/>
  <c r="C99" i="6"/>
  <c r="D99" i="6"/>
  <c r="E99" i="6"/>
  <c r="G99" i="6" s="1"/>
  <c r="C100" i="6"/>
  <c r="D100" i="6"/>
  <c r="E100" i="6"/>
  <c r="G100" i="6" s="1"/>
  <c r="Q100" i="6"/>
  <c r="C101" i="6"/>
  <c r="D101" i="6"/>
  <c r="E101" i="6"/>
  <c r="G101" i="6" s="1"/>
  <c r="Q101" i="6"/>
  <c r="C102" i="6"/>
  <c r="D102" i="6"/>
  <c r="E102" i="6"/>
  <c r="G102" i="6" s="1"/>
  <c r="Q102" i="6"/>
  <c r="C103" i="6"/>
  <c r="D103" i="6"/>
  <c r="E103" i="6"/>
  <c r="G103" i="6" s="1"/>
  <c r="C104" i="6"/>
  <c r="D104" i="6"/>
  <c r="E104" i="6"/>
  <c r="G104" i="6" s="1"/>
  <c r="C105" i="6"/>
  <c r="D105" i="6"/>
  <c r="E105" i="6"/>
  <c r="G105" i="6" s="1"/>
  <c r="C106" i="6"/>
  <c r="D106" i="6"/>
  <c r="E106" i="6"/>
  <c r="G106" i="6" s="1"/>
  <c r="M106" i="6"/>
  <c r="Q106" i="6"/>
  <c r="C107" i="6"/>
  <c r="D107" i="6"/>
  <c r="E107" i="6"/>
  <c r="G107" i="6" s="1"/>
  <c r="Q107" i="6"/>
  <c r="C108" i="6"/>
  <c r="D108" i="6"/>
  <c r="E108" i="6"/>
  <c r="G108" i="6" s="1"/>
  <c r="C109" i="6"/>
  <c r="D109" i="6"/>
  <c r="E109" i="6"/>
  <c r="G109" i="6" s="1"/>
  <c r="C110" i="6"/>
  <c r="D110" i="6"/>
  <c r="E110" i="6"/>
  <c r="G110" i="6" s="1"/>
  <c r="C111" i="6"/>
  <c r="D111" i="6"/>
  <c r="E111" i="6"/>
  <c r="G111" i="6" s="1"/>
  <c r="C112" i="6"/>
  <c r="D112" i="6"/>
  <c r="E112" i="6"/>
  <c r="G112" i="6" s="1"/>
  <c r="Q112" i="6"/>
  <c r="C113" i="6"/>
  <c r="D113" i="6"/>
  <c r="E113" i="6"/>
  <c r="G113" i="6" s="1"/>
  <c r="Q113" i="6"/>
  <c r="C114" i="6"/>
  <c r="D114" i="6"/>
  <c r="E114" i="6"/>
  <c r="G114" i="6" s="1"/>
  <c r="M114" i="6"/>
  <c r="C115" i="6"/>
  <c r="D115" i="6"/>
  <c r="E115" i="6"/>
  <c r="G115" i="6" s="1"/>
  <c r="C116" i="6"/>
  <c r="D116" i="6"/>
  <c r="E116" i="6"/>
  <c r="G116" i="6" s="1"/>
  <c r="C117" i="6"/>
  <c r="D117" i="6"/>
  <c r="E117" i="6"/>
  <c r="G117" i="6" s="1"/>
  <c r="C118" i="6"/>
  <c r="D118" i="6"/>
  <c r="E118" i="6"/>
  <c r="G118" i="6" s="1"/>
  <c r="Q118" i="6"/>
  <c r="C119" i="6"/>
  <c r="D119" i="6"/>
  <c r="E119" i="6"/>
  <c r="G119" i="6" s="1"/>
  <c r="M119" i="6"/>
  <c r="Q119" i="6"/>
  <c r="C120" i="6"/>
  <c r="D120" i="6"/>
  <c r="E120" i="6"/>
  <c r="G120" i="6" s="1"/>
  <c r="C121" i="6"/>
  <c r="D121" i="6"/>
  <c r="E121" i="6"/>
  <c r="G121" i="6" s="1"/>
  <c r="C122" i="6"/>
  <c r="D122" i="6"/>
  <c r="E122" i="6"/>
  <c r="G122" i="6" s="1"/>
  <c r="C123" i="6"/>
  <c r="D123" i="6"/>
  <c r="E123" i="6"/>
  <c r="G123" i="6" s="1"/>
  <c r="C124" i="6"/>
  <c r="D124" i="6"/>
  <c r="E124" i="6"/>
  <c r="G124" i="6" s="1"/>
  <c r="Q124" i="6"/>
  <c r="C125" i="6"/>
  <c r="D125" i="6"/>
  <c r="E125" i="6"/>
  <c r="G125" i="6" s="1"/>
  <c r="M125" i="6"/>
  <c r="Q125" i="6"/>
  <c r="C126" i="6"/>
  <c r="D126" i="6"/>
  <c r="E126" i="6"/>
  <c r="G126" i="6" s="1"/>
  <c r="C127" i="6"/>
  <c r="D127" i="6"/>
  <c r="E127" i="6"/>
  <c r="G127" i="6" s="1"/>
  <c r="C128" i="6"/>
  <c r="D128" i="6"/>
  <c r="E128" i="6"/>
  <c r="G128" i="6" s="1"/>
  <c r="C129" i="6"/>
  <c r="D129" i="6"/>
  <c r="E129" i="6"/>
  <c r="G129" i="6" s="1"/>
  <c r="C130" i="6"/>
  <c r="D130" i="6"/>
  <c r="E130" i="6"/>
  <c r="G130" i="6" s="1"/>
  <c r="Q130" i="6"/>
  <c r="C131" i="6"/>
  <c r="D131" i="6"/>
  <c r="E131" i="6"/>
  <c r="G131" i="6" s="1"/>
  <c r="Q131" i="6"/>
  <c r="C132" i="6"/>
  <c r="D132" i="6"/>
  <c r="E132" i="6"/>
  <c r="G132" i="6" s="1"/>
  <c r="M132" i="6"/>
  <c r="C133" i="6"/>
  <c r="D133" i="6"/>
  <c r="E133" i="6"/>
  <c r="G133" i="6" s="1"/>
  <c r="C134" i="6"/>
  <c r="D134" i="6"/>
  <c r="E134" i="6"/>
  <c r="G134" i="6" s="1"/>
  <c r="C135" i="6"/>
  <c r="D135" i="6"/>
  <c r="E135" i="6"/>
  <c r="G135" i="6" s="1"/>
  <c r="C136" i="6"/>
  <c r="D136" i="6"/>
  <c r="E136" i="6"/>
  <c r="G136" i="6" s="1"/>
  <c r="Q136" i="6"/>
  <c r="C137" i="6"/>
  <c r="D137" i="6"/>
  <c r="E137" i="6"/>
  <c r="G137" i="6" s="1"/>
  <c r="M137" i="6"/>
  <c r="Q137" i="6"/>
  <c r="C138" i="6"/>
  <c r="D138" i="6"/>
  <c r="E138" i="6"/>
  <c r="G138" i="6" s="1"/>
  <c r="C139" i="6"/>
  <c r="D139" i="6"/>
  <c r="E139" i="6"/>
  <c r="G139" i="6" s="1"/>
  <c r="C140" i="6"/>
  <c r="D140" i="6"/>
  <c r="E140" i="6"/>
  <c r="G140" i="6" s="1"/>
  <c r="C141" i="6"/>
  <c r="D141" i="6"/>
  <c r="E141" i="6"/>
  <c r="G141" i="6" s="1"/>
  <c r="M141" i="6"/>
  <c r="C142" i="6"/>
  <c r="D142" i="6"/>
  <c r="E142" i="6"/>
  <c r="G142" i="6" s="1"/>
  <c r="M142" i="6"/>
  <c r="Q142" i="6"/>
  <c r="C143" i="6"/>
  <c r="D143" i="6"/>
  <c r="E143" i="6"/>
  <c r="G143" i="6" s="1"/>
  <c r="M143" i="6"/>
  <c r="Q143" i="6"/>
  <c r="C144" i="6"/>
  <c r="D144" i="6"/>
  <c r="E144" i="6"/>
  <c r="G144" i="6" s="1"/>
  <c r="C145" i="6"/>
  <c r="D145" i="6"/>
  <c r="E145" i="6"/>
  <c r="G145" i="6" s="1"/>
  <c r="C146" i="6"/>
  <c r="D146" i="6"/>
  <c r="E146" i="6"/>
  <c r="G146" i="6" s="1"/>
  <c r="C147" i="6"/>
  <c r="D147" i="6"/>
  <c r="E147" i="6"/>
  <c r="G147" i="6" s="1"/>
  <c r="C148" i="6"/>
  <c r="D148" i="6"/>
  <c r="E148" i="6"/>
  <c r="G148" i="6" s="1"/>
  <c r="M148" i="6"/>
  <c r="Q148" i="6"/>
  <c r="C149" i="6"/>
  <c r="D149" i="6"/>
  <c r="E149" i="6"/>
  <c r="G149" i="6" s="1"/>
  <c r="Q149" i="6"/>
  <c r="C150" i="6"/>
  <c r="D150" i="6"/>
  <c r="E150" i="6"/>
  <c r="G150" i="6" s="1"/>
  <c r="C151" i="6"/>
  <c r="D151" i="6"/>
  <c r="E151" i="6"/>
  <c r="G151" i="6" s="1"/>
  <c r="Q151" i="6"/>
  <c r="D2" i="6"/>
  <c r="Q2" i="6"/>
  <c r="E2" i="6"/>
  <c r="G2" i="6" s="1"/>
  <c r="C2" i="6"/>
  <c r="Q132" i="6" l="1"/>
  <c r="Q36" i="6"/>
  <c r="M86" i="8"/>
  <c r="M110" i="8"/>
  <c r="Q90" i="6"/>
  <c r="M32" i="8"/>
  <c r="Q78" i="6"/>
  <c r="M128" i="8"/>
  <c r="Q72" i="6"/>
  <c r="M122" i="8"/>
  <c r="Q54" i="6"/>
  <c r="Q7" i="6"/>
  <c r="M33" i="8"/>
  <c r="M146" i="8"/>
  <c r="Q141" i="6"/>
  <c r="Q18" i="6"/>
  <c r="Q15" i="6"/>
  <c r="Q17" i="6"/>
  <c r="Q8" i="6"/>
  <c r="M16" i="8"/>
  <c r="Q45" i="6"/>
  <c r="M119" i="8"/>
  <c r="M51" i="8"/>
  <c r="M35" i="8"/>
  <c r="M12" i="8"/>
  <c r="M53" i="8"/>
  <c r="Q11" i="6"/>
  <c r="M69" i="8"/>
  <c r="Q145" i="6"/>
  <c r="Q150" i="6"/>
  <c r="Q147" i="6"/>
  <c r="M148" i="8"/>
  <c r="Q139" i="6"/>
  <c r="M140" i="8"/>
  <c r="Q135" i="6"/>
  <c r="M135" i="8"/>
  <c r="M131" i="8"/>
  <c r="M124" i="8"/>
  <c r="Q123" i="6"/>
  <c r="M117" i="8"/>
  <c r="Q114" i="6"/>
  <c r="M113" i="8"/>
  <c r="Q105" i="6"/>
  <c r="Q98" i="6"/>
  <c r="Q109" i="6"/>
  <c r="Q103" i="6"/>
  <c r="M101" i="8"/>
  <c r="Q91" i="6"/>
  <c r="Q96" i="6"/>
  <c r="M95" i="8"/>
  <c r="Q87" i="6"/>
  <c r="M83" i="8"/>
  <c r="Q75" i="6"/>
  <c r="Q57" i="6"/>
  <c r="Q66" i="6"/>
  <c r="Q61" i="6"/>
  <c r="M62" i="8"/>
  <c r="Q55" i="6"/>
  <c r="Q50" i="6"/>
  <c r="Q48" i="6"/>
  <c r="Q43" i="6"/>
  <c r="M44" i="8"/>
  <c r="Q39" i="6"/>
  <c r="M29" i="8"/>
  <c r="Q24" i="6"/>
  <c r="Q116" i="6"/>
  <c r="M76" i="8"/>
  <c r="M58" i="8"/>
  <c r="M136" i="8"/>
  <c r="M70" i="8"/>
  <c r="M27" i="8"/>
  <c r="Q128" i="6"/>
  <c r="Q80" i="6"/>
  <c r="Q32" i="6"/>
  <c r="M129" i="8"/>
  <c r="M88" i="8"/>
  <c r="Q121" i="6"/>
  <c r="Q73" i="6"/>
  <c r="M106" i="8"/>
  <c r="M99" i="8"/>
  <c r="M81" i="8"/>
  <c r="M40" i="8"/>
  <c r="Q26" i="6"/>
  <c r="M64" i="8"/>
  <c r="M39" i="8"/>
  <c r="M87" i="8"/>
  <c r="M71" i="8"/>
  <c r="Q140" i="6"/>
  <c r="Q92" i="6"/>
  <c r="Q44" i="6"/>
  <c r="M112" i="8"/>
  <c r="M14" i="8"/>
  <c r="Q9" i="6"/>
</calcChain>
</file>

<file path=xl/sharedStrings.xml><?xml version="1.0" encoding="utf-8"?>
<sst xmlns="http://schemas.openxmlformats.org/spreadsheetml/2006/main" count="8300" uniqueCount="1844">
  <si>
    <t>序号</t>
  </si>
  <si>
    <t>管辖小区</t>
  </si>
  <si>
    <t>楼栋</t>
  </si>
  <si>
    <t>单元</t>
  </si>
  <si>
    <t>门牌</t>
  </si>
  <si>
    <t>系统编码</t>
  </si>
  <si>
    <t>住户名称</t>
  </si>
  <si>
    <t>易投诉客户标签</t>
  </si>
  <si>
    <t>身份证编码</t>
  </si>
  <si>
    <t>住户联系方式</t>
  </si>
  <si>
    <t>建筑面积</t>
  </si>
  <si>
    <t>供热状态</t>
  </si>
  <si>
    <t>供热压区</t>
  </si>
  <si>
    <t>供热管网</t>
  </si>
  <si>
    <t>供热设备</t>
  </si>
  <si>
    <t>备注</t>
  </si>
  <si>
    <t>仪表编码</t>
  </si>
  <si>
    <t>仪表类型</t>
  </si>
  <si>
    <t>仪表口径</t>
  </si>
  <si>
    <t>安装方式</t>
  </si>
  <si>
    <t>是否为边顶</t>
  </si>
  <si>
    <t>是否为计量仪器</t>
  </si>
  <si>
    <t>是否为控制仪器</t>
  </si>
  <si>
    <t>是否为温控仪器</t>
  </si>
  <si>
    <t>仪表故障标志</t>
  </si>
  <si>
    <t>仪表疑问重点关注</t>
  </si>
  <si>
    <t>网关编码</t>
  </si>
  <si>
    <t>IOT网关编码</t>
  </si>
  <si>
    <t>住户备注</t>
  </si>
  <si>
    <t>仪表备注</t>
  </si>
  <si>
    <t>辅助排序</t>
  </si>
  <si>
    <t>创建员</t>
  </si>
  <si>
    <t>创建时间</t>
  </si>
  <si>
    <t>公交大厦</t>
  </si>
  <si>
    <t>序号</t>
    <phoneticPr fontId="6" type="noConversion"/>
  </si>
  <si>
    <t>30834490</t>
  </si>
  <si>
    <t>编码前段</t>
    <phoneticPr fontId="6" type="noConversion"/>
  </si>
  <si>
    <t>编码后段</t>
    <phoneticPr fontId="6" type="noConversion"/>
  </si>
  <si>
    <t>1号楼</t>
  </si>
  <si>
    <t>53号楼</t>
  </si>
  <si>
    <t>52号楼</t>
  </si>
  <si>
    <t>51号楼</t>
  </si>
  <si>
    <t>6号楼</t>
  </si>
  <si>
    <t>3号楼</t>
  </si>
  <si>
    <t>10号楼</t>
  </si>
  <si>
    <t>9号楼</t>
  </si>
  <si>
    <t>低压区</t>
  </si>
  <si>
    <t>30834494</t>
  </si>
  <si>
    <t>30834439</t>
  </si>
  <si>
    <t>30834493</t>
  </si>
  <si>
    <t>30834294</t>
  </si>
  <si>
    <t>30834967</t>
  </si>
  <si>
    <t>30834290</t>
  </si>
  <si>
    <t>30834293</t>
  </si>
  <si>
    <t>30834968</t>
  </si>
  <si>
    <t>30833387</t>
  </si>
  <si>
    <t>30833383</t>
  </si>
  <si>
    <t>30833388</t>
  </si>
  <si>
    <t>30833385</t>
  </si>
  <si>
    <t>30834298</t>
  </si>
  <si>
    <t>30834299</t>
  </si>
  <si>
    <t>30833390</t>
  </si>
  <si>
    <t>30834492</t>
  </si>
  <si>
    <t>30834416</t>
  </si>
  <si>
    <t>30834491</t>
  </si>
  <si>
    <t>30790958</t>
  </si>
  <si>
    <t>30834319</t>
  </si>
  <si>
    <t>30834321</t>
  </si>
  <si>
    <t>30834326</t>
  </si>
  <si>
    <t>30834320</t>
  </si>
  <si>
    <t>30834377</t>
  </si>
  <si>
    <t>30790767</t>
  </si>
  <si>
    <t>30790764</t>
  </si>
  <si>
    <t>30834369</t>
  </si>
  <si>
    <t>30834367</t>
  </si>
  <si>
    <t>30834368</t>
  </si>
  <si>
    <t>30834379</t>
  </si>
  <si>
    <t>30834374</t>
  </si>
  <si>
    <t>30834372</t>
  </si>
  <si>
    <t>30834357</t>
  </si>
  <si>
    <t>30834364</t>
  </si>
  <si>
    <t>30834358</t>
  </si>
  <si>
    <t>30833462</t>
  </si>
  <si>
    <t>30833409</t>
  </si>
  <si>
    <t>30833425</t>
  </si>
  <si>
    <t>30833421</t>
  </si>
  <si>
    <t>30833463</t>
  </si>
  <si>
    <t>30833457</t>
  </si>
  <si>
    <t>30834443</t>
  </si>
  <si>
    <t>30833461</t>
  </si>
  <si>
    <t>30834438</t>
  </si>
  <si>
    <t>30833464</t>
  </si>
  <si>
    <t>30834436</t>
  </si>
  <si>
    <t>30834435</t>
  </si>
  <si>
    <t>30833407</t>
  </si>
  <si>
    <t>30834418</t>
  </si>
  <si>
    <t>30834417</t>
  </si>
  <si>
    <t>30833403</t>
  </si>
  <si>
    <t>30834419</t>
  </si>
  <si>
    <t>30833406</t>
  </si>
  <si>
    <t>30833402</t>
  </si>
  <si>
    <t>30834954</t>
  </si>
  <si>
    <t>30834952</t>
  </si>
  <si>
    <t>30834953</t>
  </si>
  <si>
    <t>30834951</t>
  </si>
  <si>
    <t>30790964</t>
  </si>
  <si>
    <t>30790965</t>
  </si>
  <si>
    <t>30834288</t>
  </si>
  <si>
    <t>30790963</t>
  </si>
  <si>
    <t>30834948</t>
  </si>
  <si>
    <t>30834955</t>
  </si>
  <si>
    <t>30834525</t>
  </si>
  <si>
    <t>30834956</t>
  </si>
  <si>
    <t>30834287</t>
  </si>
  <si>
    <t>30834283</t>
  </si>
  <si>
    <t>30834949</t>
  </si>
  <si>
    <t>30790961</t>
  </si>
  <si>
    <t>30834304</t>
  </si>
  <si>
    <t>30834330</t>
  </si>
  <si>
    <t>30834327</t>
  </si>
  <si>
    <t>30834338</t>
  </si>
  <si>
    <t>30834445</t>
  </si>
  <si>
    <t>30834447</t>
  </si>
  <si>
    <t>30834446</t>
  </si>
  <si>
    <t>30834403</t>
  </si>
  <si>
    <t>30834397</t>
  </si>
  <si>
    <t>30834398</t>
  </si>
  <si>
    <t>30834451</t>
  </si>
  <si>
    <t>30834448</t>
  </si>
  <si>
    <t>30835164</t>
  </si>
  <si>
    <t>30833427</t>
  </si>
  <si>
    <t>30834318</t>
  </si>
  <si>
    <t>30834322</t>
  </si>
  <si>
    <t>30834496</t>
  </si>
  <si>
    <t>30834489</t>
  </si>
  <si>
    <t>30834458</t>
  </si>
  <si>
    <t>30834495</t>
  </si>
  <si>
    <t>30834970</t>
  </si>
  <si>
    <t>30834969</t>
  </si>
  <si>
    <t>30834971</t>
  </si>
  <si>
    <t>30834515</t>
  </si>
  <si>
    <t>30834512</t>
  </si>
  <si>
    <t>30834514</t>
  </si>
  <si>
    <t>30834513</t>
  </si>
  <si>
    <t>30834966</t>
  </si>
  <si>
    <t>30834331</t>
  </si>
  <si>
    <t>30790769</t>
  </si>
  <si>
    <t>30790774</t>
  </si>
  <si>
    <t>30834323</t>
  </si>
  <si>
    <t>30834391</t>
  </si>
  <si>
    <t>30834396</t>
  </si>
  <si>
    <t>30834286</t>
  </si>
  <si>
    <t>30834333</t>
  </si>
  <si>
    <t>30944129</t>
  </si>
  <si>
    <t>30834313</t>
  </si>
  <si>
    <t>30944112</t>
  </si>
  <si>
    <t>30944106</t>
  </si>
  <si>
    <t>30944110</t>
  </si>
  <si>
    <t>30944105</t>
  </si>
  <si>
    <t>30834316</t>
  </si>
  <si>
    <t>30944107</t>
  </si>
  <si>
    <t>30834332</t>
  </si>
  <si>
    <t>30834311</t>
  </si>
  <si>
    <t>30834317</t>
  </si>
  <si>
    <t>30834285</t>
  </si>
  <si>
    <t>30834310</t>
  </si>
  <si>
    <t>30834334</t>
  </si>
  <si>
    <t>30834312</t>
  </si>
  <si>
    <t>30834530</t>
  </si>
  <si>
    <t>30834284</t>
  </si>
  <si>
    <t>30834531</t>
  </si>
  <si>
    <t>30834931</t>
  </si>
  <si>
    <t>30834526</t>
  </si>
  <si>
    <t>30834557</t>
  </si>
  <si>
    <t>30834532</t>
  </si>
  <si>
    <t>30834533</t>
  </si>
  <si>
    <t>30834936</t>
  </si>
  <si>
    <t>30834527</t>
  </si>
  <si>
    <t>30834342</t>
  </si>
  <si>
    <t>30834343</t>
  </si>
  <si>
    <t>30834556</t>
  </si>
  <si>
    <t>30834552</t>
  </si>
  <si>
    <t>30834341</t>
  </si>
  <si>
    <t>30834938</t>
  </si>
  <si>
    <t>30834558</t>
  </si>
  <si>
    <t>30834553</t>
  </si>
  <si>
    <t>30834554</t>
  </si>
  <si>
    <t>30834466</t>
  </si>
  <si>
    <t>30834465</t>
  </si>
  <si>
    <t>30834464</t>
  </si>
  <si>
    <t>30834973</t>
  </si>
  <si>
    <t>30834350</t>
  </si>
  <si>
    <t>30834972</t>
  </si>
  <si>
    <t>30834486</t>
  </si>
  <si>
    <t>30834488</t>
  </si>
  <si>
    <t>30834483</t>
  </si>
  <si>
    <t>30834481</t>
  </si>
  <si>
    <t>30834974</t>
  </si>
  <si>
    <t>30944114</t>
  </si>
  <si>
    <t>30944116</t>
  </si>
  <si>
    <t>30944115</t>
  </si>
  <si>
    <t>30834344</t>
  </si>
  <si>
    <t>30834482</t>
  </si>
  <si>
    <t>30834945</t>
  </si>
  <si>
    <t>30833458</t>
  </si>
  <si>
    <t>30833456</t>
  </si>
  <si>
    <t>30834487</t>
  </si>
  <si>
    <t>30834976</t>
  </si>
  <si>
    <t>30834983</t>
  </si>
  <si>
    <t>30834979</t>
  </si>
  <si>
    <t>30834977</t>
  </si>
  <si>
    <t>30834980</t>
  </si>
  <si>
    <t>30834978</t>
  </si>
  <si>
    <t>30834485</t>
  </si>
  <si>
    <t>30944108</t>
  </si>
  <si>
    <t>30834981</t>
  </si>
  <si>
    <t>30790775</t>
  </si>
  <si>
    <t>30790772</t>
  </si>
  <si>
    <t>30790773</t>
  </si>
  <si>
    <t>30790776</t>
  </si>
  <si>
    <t>30790768</t>
  </si>
  <si>
    <t>30790770</t>
  </si>
  <si>
    <t>30834325</t>
  </si>
  <si>
    <t>30834324</t>
  </si>
  <si>
    <t>30790771</t>
  </si>
  <si>
    <t>30834409</t>
  </si>
  <si>
    <t>30834408</t>
  </si>
  <si>
    <t>30834297</t>
  </si>
  <si>
    <t>30834940</t>
  </si>
  <si>
    <t>30834410</t>
  </si>
  <si>
    <t>30834413</t>
  </si>
  <si>
    <t>30834414</t>
  </si>
  <si>
    <t>30834412</t>
  </si>
  <si>
    <t>30834411</t>
  </si>
  <si>
    <t>30834469</t>
  </si>
  <si>
    <t>30834509</t>
  </si>
  <si>
    <t>30834511</t>
  </si>
  <si>
    <t>30834510</t>
  </si>
  <si>
    <t>30834468</t>
  </si>
  <si>
    <t>30834982</t>
  </si>
  <si>
    <t>30834467</t>
  </si>
  <si>
    <t>30834476</t>
  </si>
  <si>
    <t>30834507</t>
  </si>
  <si>
    <t>30834431</t>
  </si>
  <si>
    <t>30834429</t>
  </si>
  <si>
    <t>30834508</t>
  </si>
  <si>
    <t>30834432</t>
  </si>
  <si>
    <t>30833460</t>
  </si>
  <si>
    <t>30833459</t>
  </si>
  <si>
    <t>30834434</t>
  </si>
  <si>
    <t>30834433</t>
  </si>
  <si>
    <t>30834430</t>
  </si>
  <si>
    <t>30834426</t>
  </si>
  <si>
    <t>30834404</t>
  </si>
  <si>
    <t>30834427</t>
  </si>
  <si>
    <t>30834450</t>
  </si>
  <si>
    <t>30834444</t>
  </si>
  <si>
    <t>30834452</t>
  </si>
  <si>
    <t>30834395</t>
  </si>
  <si>
    <t>30834401</t>
  </si>
  <si>
    <t>30944118</t>
  </si>
  <si>
    <t>30944144</t>
  </si>
  <si>
    <t>30834449</t>
  </si>
  <si>
    <t>30834428</t>
  </si>
  <si>
    <t>30944142</t>
  </si>
  <si>
    <t>30944143</t>
  </si>
  <si>
    <t>30944119</t>
  </si>
  <si>
    <t>30944140</t>
  </si>
  <si>
    <t>30944179</t>
  </si>
  <si>
    <t>30944184</t>
  </si>
  <si>
    <t>30944210</t>
  </si>
  <si>
    <t>30944120</t>
  </si>
  <si>
    <t>30835073</t>
  </si>
  <si>
    <t>30835231</t>
  </si>
  <si>
    <t>30835250</t>
  </si>
  <si>
    <t>30835232</t>
  </si>
  <si>
    <t>30835235</t>
  </si>
  <si>
    <t>30835227</t>
  </si>
  <si>
    <t>30835233</t>
  </si>
  <si>
    <t>30835061</t>
  </si>
  <si>
    <t>30835037</t>
  </si>
  <si>
    <t>30835136</t>
  </si>
  <si>
    <t>30835130</t>
  </si>
  <si>
    <t>30835133</t>
  </si>
  <si>
    <t>30835051</t>
  </si>
  <si>
    <t>30835029</t>
  </si>
  <si>
    <t>30833600</t>
  </si>
  <si>
    <t>30835038</t>
  </si>
  <si>
    <t>30833597</t>
  </si>
  <si>
    <t>30835034</t>
  </si>
  <si>
    <t>30835030</t>
  </si>
  <si>
    <t>30835035</t>
  </si>
  <si>
    <t>30834933</t>
  </si>
  <si>
    <t>30834934</t>
  </si>
  <si>
    <t>30834337</t>
  </si>
  <si>
    <t>30834340</t>
  </si>
  <si>
    <t>30834339</t>
  </si>
  <si>
    <t>30834937</t>
  </si>
  <si>
    <t>30834935</t>
  </si>
  <si>
    <t>30944128</t>
  </si>
  <si>
    <t>30834930</t>
  </si>
  <si>
    <t>30834932</t>
  </si>
  <si>
    <t>30944125</t>
  </si>
  <si>
    <t>30944130</t>
  </si>
  <si>
    <t>30944123</t>
  </si>
  <si>
    <t>30944124</t>
  </si>
  <si>
    <t>30944146</t>
  </si>
  <si>
    <t>30944147</t>
  </si>
  <si>
    <t>30944145</t>
  </si>
  <si>
    <t>30944126</t>
  </si>
  <si>
    <t>30944148</t>
  </si>
  <si>
    <t>30835026</t>
  </si>
  <si>
    <t>30835246</t>
  </si>
  <si>
    <t>30835239</t>
  </si>
  <si>
    <t>30835216</t>
  </si>
  <si>
    <t>30835215</t>
  </si>
  <si>
    <t>30835240</t>
  </si>
  <si>
    <t>30835156</t>
  </si>
  <si>
    <t>30835157</t>
  </si>
  <si>
    <t>30835151</t>
  </si>
  <si>
    <t>30833958</t>
  </si>
  <si>
    <t>30835077</t>
  </si>
  <si>
    <t>30835082</t>
  </si>
  <si>
    <t>30835149</t>
  </si>
  <si>
    <t>30835079</t>
  </si>
  <si>
    <t>30835076</t>
  </si>
  <si>
    <t>30835152</t>
  </si>
  <si>
    <t>30833928</t>
  </si>
  <si>
    <t>30833954</t>
  </si>
  <si>
    <t>30835158</t>
  </si>
  <si>
    <t>30835207</t>
  </si>
  <si>
    <t>30835021</t>
  </si>
  <si>
    <t>30835208</t>
  </si>
  <si>
    <t>30835163</t>
  </si>
  <si>
    <t>30835203</t>
  </si>
  <si>
    <t>30835206</t>
  </si>
  <si>
    <t>30835155</t>
  </si>
  <si>
    <t>30835202</t>
  </si>
  <si>
    <t>30835159</t>
  </si>
  <si>
    <t>30833967</t>
  </si>
  <si>
    <t>30833968</t>
  </si>
  <si>
    <t>30835205</t>
  </si>
  <si>
    <t>30835121</t>
  </si>
  <si>
    <t>30835204</t>
  </si>
  <si>
    <t>30833969</t>
  </si>
  <si>
    <t>30833945</t>
  </si>
  <si>
    <t>30833950</t>
  </si>
  <si>
    <t>30833951</t>
  </si>
  <si>
    <t>30833946</t>
  </si>
  <si>
    <t>30834392</t>
  </si>
  <si>
    <t>30834307</t>
  </si>
  <si>
    <t>30790960</t>
  </si>
  <si>
    <t>30790762</t>
  </si>
  <si>
    <t>30790763</t>
  </si>
  <si>
    <t>30790765</t>
  </si>
  <si>
    <t>30830760</t>
  </si>
  <si>
    <t>30840761</t>
  </si>
  <si>
    <t>30850766</t>
  </si>
  <si>
    <t>30834309</t>
  </si>
  <si>
    <t>30834315</t>
  </si>
  <si>
    <t>30834314</t>
  </si>
  <si>
    <t>30890759</t>
  </si>
  <si>
    <t>30834303</t>
  </si>
  <si>
    <t>30833398</t>
  </si>
  <si>
    <t>30834308</t>
  </si>
  <si>
    <t>30790962</t>
  </si>
  <si>
    <t>30834301</t>
  </si>
  <si>
    <t>30834302</t>
  </si>
  <si>
    <t>30834306</t>
  </si>
  <si>
    <t>30834300</t>
  </si>
  <si>
    <t>30834518</t>
  </si>
  <si>
    <t>30834517</t>
  </si>
  <si>
    <t>30834462</t>
  </si>
  <si>
    <t>30834537</t>
  </si>
  <si>
    <t>30834570</t>
  </si>
  <si>
    <t>30834516</t>
  </si>
  <si>
    <t>30834519</t>
  </si>
  <si>
    <t>30834571</t>
  </si>
  <si>
    <t>30834523</t>
  </si>
  <si>
    <t>30834463</t>
  </si>
  <si>
    <t>30834520</t>
  </si>
  <si>
    <t>30834578</t>
  </si>
  <si>
    <t>30834577</t>
  </si>
  <si>
    <t>30834576</t>
  </si>
  <si>
    <t>30834575</t>
  </si>
  <si>
    <t>30834572</t>
  </si>
  <si>
    <t>30834524</t>
  </si>
  <si>
    <t>30834521</t>
  </si>
  <si>
    <t>30834522</t>
  </si>
  <si>
    <t>30834574</t>
  </si>
  <si>
    <t>30830959</t>
  </si>
  <si>
    <t>30834950</t>
  </si>
  <si>
    <t>30834282</t>
  </si>
  <si>
    <t>99999999</t>
  </si>
  <si>
    <t>30834473</t>
  </si>
  <si>
    <t>30834477</t>
  </si>
  <si>
    <t>30834475</t>
  </si>
  <si>
    <t>30834472</t>
  </si>
  <si>
    <t>30834471</t>
  </si>
  <si>
    <t>30834366</t>
  </si>
  <si>
    <t>30834365</t>
  </si>
  <si>
    <t>30834422</t>
  </si>
  <si>
    <t>30834474</t>
  </si>
  <si>
    <t>30834371</t>
  </si>
  <si>
    <t>30834424</t>
  </si>
  <si>
    <t>30834375</t>
  </si>
  <si>
    <t>30834376</t>
  </si>
  <si>
    <t>30834370</t>
  </si>
  <si>
    <t>30834373</t>
  </si>
  <si>
    <t>30834363</t>
  </si>
  <si>
    <t>30834380</t>
  </si>
  <si>
    <t>30834378</t>
  </si>
  <si>
    <t>30834423</t>
  </si>
  <si>
    <t>30834915</t>
  </si>
  <si>
    <t>30834393</t>
  </si>
  <si>
    <t>30834440</t>
  </si>
  <si>
    <t>30834441</t>
  </si>
  <si>
    <t>30834346</t>
  </si>
  <si>
    <t>30790777</t>
  </si>
  <si>
    <t>30834442</t>
  </si>
  <si>
    <t>30834348</t>
  </si>
  <si>
    <t>30834352</t>
  </si>
  <si>
    <t>30834555</t>
  </si>
  <si>
    <t>30834347</t>
  </si>
  <si>
    <t>30834353</t>
  </si>
  <si>
    <t>30834121</t>
  </si>
  <si>
    <t>30834109</t>
  </si>
  <si>
    <t>30834345</t>
  </si>
  <si>
    <t>30834349</t>
  </si>
  <si>
    <t>30834281</t>
  </si>
  <si>
    <t>30834390</t>
  </si>
  <si>
    <t>30834394</t>
  </si>
  <si>
    <t>30790783</t>
  </si>
  <si>
    <t>30780785</t>
  </si>
  <si>
    <t>30834415</t>
  </si>
  <si>
    <t>30790782</t>
  </si>
  <si>
    <t>30790780</t>
  </si>
  <si>
    <t>30834406</t>
  </si>
  <si>
    <t>30834405</t>
  </si>
  <si>
    <t>30790779</t>
  </si>
  <si>
    <t>30790778</t>
  </si>
  <si>
    <t>30834407</t>
  </si>
  <si>
    <t>30834455</t>
  </si>
  <si>
    <t>30834459</t>
  </si>
  <si>
    <t>30834460</t>
  </si>
  <si>
    <t>30834461</t>
  </si>
  <si>
    <t>30834456</t>
  </si>
  <si>
    <t>30834457</t>
  </si>
  <si>
    <t>30834479</t>
  </si>
  <si>
    <t>30834454</t>
  </si>
  <si>
    <t>30834478</t>
  </si>
  <si>
    <t>30834453</t>
  </si>
  <si>
    <t>30833395</t>
  </si>
  <si>
    <t>30833397</t>
  </si>
  <si>
    <t>30834420</t>
  </si>
  <si>
    <t>30834289</t>
  </si>
  <si>
    <t>30833392</t>
  </si>
  <si>
    <t>30834389</t>
  </si>
  <si>
    <t>30833376</t>
  </si>
  <si>
    <t>30833972</t>
  </si>
  <si>
    <t>30835183</t>
  </si>
  <si>
    <t>30835106</t>
  </si>
  <si>
    <t>30834400</t>
  </si>
  <si>
    <t>30834399</t>
  </si>
  <si>
    <t>30833879</t>
  </si>
  <si>
    <t>30790781</t>
  </si>
  <si>
    <t>30834016</t>
  </si>
  <si>
    <t>30944172</t>
  </si>
  <si>
    <t>30944176</t>
  </si>
  <si>
    <t>30944213</t>
  </si>
  <si>
    <t>30944173</t>
  </si>
  <si>
    <t>30944174</t>
  </si>
  <si>
    <t>30944205</t>
  </si>
  <si>
    <t>30944217</t>
  </si>
  <si>
    <t>30944207</t>
  </si>
  <si>
    <t>30833396</t>
  </si>
  <si>
    <t>30833393</t>
  </si>
  <si>
    <t>30834296</t>
  </si>
  <si>
    <t>30833399</t>
  </si>
  <si>
    <t>30833386</t>
  </si>
  <si>
    <t>30833389</t>
  </si>
  <si>
    <t>30833394</t>
  </si>
  <si>
    <t>30833384</t>
  </si>
  <si>
    <t>30833408</t>
  </si>
  <si>
    <t>30833391</t>
  </si>
  <si>
    <t>30834354</t>
  </si>
  <si>
    <t>30834292</t>
  </si>
  <si>
    <t>30834295</t>
  </si>
  <si>
    <t>30834355</t>
  </si>
  <si>
    <t>30834291</t>
  </si>
  <si>
    <t>30834356</t>
  </si>
  <si>
    <t>30833401</t>
  </si>
  <si>
    <t>30834362</t>
  </si>
  <si>
    <t>30833404</t>
  </si>
  <si>
    <t>30834360</t>
  </si>
  <si>
    <t>30834361</t>
  </si>
  <si>
    <t>30834359</t>
  </si>
  <si>
    <t>30833405</t>
  </si>
  <si>
    <t>30835131</t>
  </si>
  <si>
    <t>30835066</t>
  </si>
  <si>
    <t>30835135</t>
  </si>
  <si>
    <t>30835144</t>
  </si>
  <si>
    <t>30835258</t>
  </si>
  <si>
    <t>30835081</t>
  </si>
  <si>
    <t>30835070</t>
  </si>
  <si>
    <t>30835067</t>
  </si>
  <si>
    <t>30835137</t>
  </si>
  <si>
    <t>30835039</t>
  </si>
  <si>
    <t>30835080</t>
  </si>
  <si>
    <t>30835075</t>
  </si>
  <si>
    <t>30835043</t>
  </si>
  <si>
    <t>30835041</t>
  </si>
  <si>
    <t>30835047</t>
  </si>
  <si>
    <t>30835145</t>
  </si>
  <si>
    <t>30835044</t>
  </si>
  <si>
    <t>30835046</t>
  </si>
  <si>
    <t>30835049</t>
  </si>
  <si>
    <t>30835042</t>
  </si>
  <si>
    <t>30835252</t>
  </si>
  <si>
    <t>30833596</t>
  </si>
  <si>
    <t>30835114</t>
  </si>
  <si>
    <t>30833939</t>
  </si>
  <si>
    <t>30835198</t>
  </si>
  <si>
    <t>30835112</t>
  </si>
  <si>
    <t>30833934</t>
  </si>
  <si>
    <t>30833598</t>
  </si>
  <si>
    <t>30835139</t>
  </si>
  <si>
    <t>30835140</t>
  </si>
  <si>
    <t>30835261</t>
  </si>
  <si>
    <t>30835193</t>
  </si>
  <si>
    <t>30835196</t>
  </si>
  <si>
    <t>30835256</t>
  </si>
  <si>
    <t>30835257</t>
  </si>
  <si>
    <t>30835262</t>
  </si>
  <si>
    <t>30835071</t>
  </si>
  <si>
    <t>30835129</t>
  </si>
  <si>
    <t>30835260</t>
  </si>
  <si>
    <t>30835068</t>
  </si>
  <si>
    <t>30835023</t>
  </si>
  <si>
    <t>30835024</t>
  </si>
  <si>
    <t>30835209</t>
  </si>
  <si>
    <t>30835022</t>
  </si>
  <si>
    <t>30835025</t>
  </si>
  <si>
    <t>30835032</t>
  </si>
  <si>
    <t>30835031</t>
  </si>
  <si>
    <t>30835033</t>
  </si>
  <si>
    <t>30835020</t>
  </si>
  <si>
    <t>30835036</t>
  </si>
  <si>
    <t>30835027</t>
  </si>
  <si>
    <t>30835028</t>
  </si>
  <si>
    <t>30835223</t>
  </si>
  <si>
    <t>30835054</t>
  </si>
  <si>
    <t>30835055</t>
  </si>
  <si>
    <t>30835052</t>
  </si>
  <si>
    <t>30835230</t>
  </si>
  <si>
    <t>30835060</t>
  </si>
  <si>
    <t>30835056</t>
  </si>
  <si>
    <t>30835059</t>
  </si>
  <si>
    <t>30835064</t>
  </si>
  <si>
    <t>30835229</t>
  </si>
  <si>
    <t>30835228</t>
  </si>
  <si>
    <t>30835058</t>
  </si>
  <si>
    <t>30835063</t>
  </si>
  <si>
    <t>30835234</t>
  </si>
  <si>
    <t>30835218</t>
  </si>
  <si>
    <t>30835225</t>
  </si>
  <si>
    <t>30835226</t>
  </si>
  <si>
    <t>30835220</t>
  </si>
  <si>
    <t>30835219</t>
  </si>
  <si>
    <t>30835053</t>
  </si>
  <si>
    <t>30835143</t>
  </si>
  <si>
    <t>30835124</t>
  </si>
  <si>
    <t>30833976</t>
  </si>
  <si>
    <t>30833942</t>
  </si>
  <si>
    <t>30835126</t>
  </si>
  <si>
    <t>30835255</t>
  </si>
  <si>
    <t>30835127</t>
  </si>
  <si>
    <t>30833977</t>
  </si>
  <si>
    <t>30835254</t>
  </si>
  <si>
    <t>30835142</t>
  </si>
  <si>
    <t>30833933</t>
  </si>
  <si>
    <t>30835259</t>
  </si>
  <si>
    <t>30835138</t>
  </si>
  <si>
    <t>30835045</t>
  </si>
  <si>
    <t>30835141</t>
  </si>
  <si>
    <t>30835132</t>
  </si>
  <si>
    <t>30833966</t>
  </si>
  <si>
    <t>30835069</t>
  </si>
  <si>
    <t>30835128</t>
  </si>
  <si>
    <t>30835134</t>
  </si>
  <si>
    <t>30835237</t>
  </si>
  <si>
    <t>30833947</t>
  </si>
  <si>
    <t>30833949</t>
  </si>
  <si>
    <t>30833948</t>
  </si>
  <si>
    <t>30833938</t>
  </si>
  <si>
    <t>30833936</t>
  </si>
  <si>
    <t>30833937</t>
  </si>
  <si>
    <t>30833935</t>
  </si>
  <si>
    <t>30833974</t>
  </si>
  <si>
    <t>30833941</t>
  </si>
  <si>
    <t>30833940</t>
  </si>
  <si>
    <t>30835065</t>
  </si>
  <si>
    <t>30833971</t>
  </si>
  <si>
    <t>30833970</t>
  </si>
  <si>
    <t>30835199</t>
  </si>
  <si>
    <t>30833927</t>
  </si>
  <si>
    <t>30833961</t>
  </si>
  <si>
    <t>30835214</t>
  </si>
  <si>
    <t>30835040</t>
  </si>
  <si>
    <t>30835241</t>
  </si>
  <si>
    <t>30833978</t>
  </si>
  <si>
    <t>30833973</t>
  </si>
  <si>
    <t>30833944</t>
  </si>
  <si>
    <t>30835160</t>
  </si>
  <si>
    <t>30835247</t>
  </si>
  <si>
    <t>30835201</t>
  </si>
  <si>
    <t>30835153</t>
  </si>
  <si>
    <t>30833929</t>
  </si>
  <si>
    <t>30835148</t>
  </si>
  <si>
    <t>30835119</t>
  </si>
  <si>
    <t>30835057</t>
  </si>
  <si>
    <t>30835213</t>
  </si>
  <si>
    <t>30835120</t>
  </si>
  <si>
    <t>30835146</t>
  </si>
  <si>
    <t>30835162</t>
  </si>
  <si>
    <t>30835122</t>
  </si>
  <si>
    <t>30835161</t>
  </si>
  <si>
    <t>30835048</t>
  </si>
  <si>
    <t>30833953</t>
  </si>
  <si>
    <t>30835200</t>
  </si>
  <si>
    <t>30833599</t>
  </si>
  <si>
    <t>30833959</t>
  </si>
  <si>
    <t>30835150</t>
  </si>
  <si>
    <t>30835123</t>
  </si>
  <si>
    <t>30833962</t>
  </si>
  <si>
    <t>30835050</t>
  </si>
  <si>
    <t>00008525</t>
  </si>
  <si>
    <t>30833956</t>
  </si>
  <si>
    <t>30835113</t>
  </si>
  <si>
    <t>30833601</t>
  </si>
  <si>
    <t>30835222</t>
  </si>
  <si>
    <t>30835111</t>
  </si>
  <si>
    <t>30833960</t>
  </si>
  <si>
    <t>30833952</t>
  </si>
  <si>
    <t>30833925</t>
  </si>
  <si>
    <t>30833926</t>
  </si>
  <si>
    <t>30833964</t>
  </si>
  <si>
    <t>30835211</t>
  </si>
  <si>
    <t>30833930</t>
  </si>
  <si>
    <t>30833931</t>
  </si>
  <si>
    <t>30833943</t>
  </si>
  <si>
    <t>30835243</t>
  </si>
  <si>
    <t>30835147</t>
  </si>
  <si>
    <t>30835078</t>
  </si>
  <si>
    <t>30835245</t>
  </si>
  <si>
    <t>30835253</t>
  </si>
  <si>
    <t>30835221</t>
  </si>
  <si>
    <t>30835242</t>
  </si>
  <si>
    <t>30835154</t>
  </si>
  <si>
    <t>30835212</t>
  </si>
  <si>
    <t>30835236</t>
  </si>
  <si>
    <t>30835248</t>
  </si>
  <si>
    <t>30835116</t>
  </si>
  <si>
    <t>30835117</t>
  </si>
  <si>
    <t>30833602</t>
  </si>
  <si>
    <t>30835110</t>
  </si>
  <si>
    <t>30833965</t>
  </si>
  <si>
    <t>30833932</t>
  </si>
  <si>
    <t>30835118</t>
  </si>
  <si>
    <t>30833957</t>
  </si>
  <si>
    <t>30835125</t>
  </si>
  <si>
    <t>30835115</t>
  </si>
  <si>
    <t>30833963</t>
  </si>
  <si>
    <t>30834470</t>
  </si>
  <si>
    <t>30944113</t>
  </si>
  <si>
    <t>30944117</t>
  </si>
  <si>
    <t>30834351</t>
  </si>
  <si>
    <t>30834484</t>
  </si>
  <si>
    <t>30944111</t>
  </si>
  <si>
    <t>2号楼</t>
  </si>
  <si>
    <t>7号楼</t>
  </si>
  <si>
    <t>11号楼</t>
  </si>
  <si>
    <t>13A号楼</t>
  </si>
  <si>
    <t>13B号楼</t>
  </si>
  <si>
    <t>13C号楼</t>
  </si>
  <si>
    <t>单元</t>
    <phoneticPr fontId="6" type="noConversion"/>
  </si>
  <si>
    <t>一单元</t>
  </si>
  <si>
    <t>二单元</t>
  </si>
  <si>
    <t>三单元</t>
  </si>
  <si>
    <t>5号楼</t>
  </si>
  <si>
    <t>操作员</t>
  </si>
  <si>
    <t>面积收费(民用)</t>
  </si>
  <si>
    <t>按面积预付费</t>
  </si>
  <si>
    <t>水平安装(供水)</t>
  </si>
  <si>
    <t>等比例调节阀(21款无线温控SDJP)</t>
  </si>
  <si>
    <t>DN25</t>
  </si>
  <si>
    <t>100</t>
  </si>
  <si>
    <t>南京测试</t>
  </si>
  <si>
    <t>网关</t>
  </si>
  <si>
    <t>优惠政策</t>
  </si>
  <si>
    <t>物价名称</t>
  </si>
  <si>
    <t>付费方式</t>
  </si>
  <si>
    <t>口径</t>
  </si>
  <si>
    <t>仪表表号</t>
  </si>
  <si>
    <t>手机号</t>
  </si>
  <si>
    <t>固定电话</t>
  </si>
  <si>
    <t>房产证共有人</t>
  </si>
  <si>
    <t>房产证编码</t>
  </si>
  <si>
    <t>身份证号</t>
  </si>
  <si>
    <t>姓名</t>
  </si>
  <si>
    <t>用户信息</t>
  </si>
  <si>
    <t>陈军</t>
    <phoneticPr fontId="12" type="noConversion"/>
  </si>
  <si>
    <t>2205</t>
    <phoneticPr fontId="6" type="noConversion"/>
  </si>
  <si>
    <t>2160</t>
    <phoneticPr fontId="6" type="noConversion"/>
  </si>
  <si>
    <t>1915</t>
    <phoneticPr fontId="6" type="noConversion"/>
  </si>
  <si>
    <t>2000</t>
    <phoneticPr fontId="6" type="noConversion"/>
  </si>
  <si>
    <t>2284</t>
    <phoneticPr fontId="6" type="noConversion"/>
  </si>
  <si>
    <t>1853</t>
    <phoneticPr fontId="6" type="noConversion"/>
  </si>
  <si>
    <t>2516</t>
    <phoneticPr fontId="6" type="noConversion"/>
  </si>
  <si>
    <t>1952</t>
    <phoneticPr fontId="6" type="noConversion"/>
  </si>
  <si>
    <t>2444</t>
    <phoneticPr fontId="6" type="noConversion"/>
  </si>
  <si>
    <t>2273</t>
    <phoneticPr fontId="6" type="noConversion"/>
  </si>
  <si>
    <t>2323</t>
    <phoneticPr fontId="6" type="noConversion"/>
  </si>
  <si>
    <t>1994</t>
    <phoneticPr fontId="6" type="noConversion"/>
  </si>
  <si>
    <t>1911</t>
    <phoneticPr fontId="6" type="noConversion"/>
  </si>
  <si>
    <t>2629</t>
    <phoneticPr fontId="6" type="noConversion"/>
  </si>
  <si>
    <t>2018</t>
    <phoneticPr fontId="6" type="noConversion"/>
  </si>
  <si>
    <t>2079</t>
    <phoneticPr fontId="6" type="noConversion"/>
  </si>
  <si>
    <t>2075</t>
    <phoneticPr fontId="6" type="noConversion"/>
  </si>
  <si>
    <t>1899</t>
    <phoneticPr fontId="6" type="noConversion"/>
  </si>
  <si>
    <t>2070</t>
    <phoneticPr fontId="6" type="noConversion"/>
  </si>
  <si>
    <t>2441</t>
    <phoneticPr fontId="6" type="noConversion"/>
  </si>
  <si>
    <t>1808</t>
    <phoneticPr fontId="6" type="noConversion"/>
  </si>
  <si>
    <t>40187177</t>
  </si>
  <si>
    <t>陈军</t>
  </si>
  <si>
    <t>40131811</t>
  </si>
  <si>
    <t>40169100</t>
  </si>
  <si>
    <t>40185486</t>
  </si>
  <si>
    <t>40206787</t>
  </si>
  <si>
    <t>40133957</t>
  </si>
  <si>
    <t>40118966</t>
  </si>
  <si>
    <t>40118685</t>
  </si>
  <si>
    <t>40198380</t>
  </si>
  <si>
    <t>40177038</t>
  </si>
  <si>
    <t>40205771</t>
  </si>
  <si>
    <t>40174175</t>
  </si>
  <si>
    <t>40168490</t>
  </si>
  <si>
    <t>40132660</t>
  </si>
  <si>
    <t>40165199</t>
  </si>
  <si>
    <t>40179000</t>
  </si>
  <si>
    <t>40161701</t>
  </si>
  <si>
    <t>40193290</t>
  </si>
  <si>
    <t>40175842</t>
  </si>
  <si>
    <t>40122117</t>
  </si>
  <si>
    <t>40198117</t>
  </si>
  <si>
    <t>40158137</t>
  </si>
  <si>
    <t>40122430</t>
  </si>
  <si>
    <t>40159770</t>
  </si>
  <si>
    <t>40139913</t>
  </si>
  <si>
    <t>40159335</t>
  </si>
  <si>
    <t>40195758</t>
  </si>
  <si>
    <t>40190841</t>
  </si>
  <si>
    <t>40158863</t>
  </si>
  <si>
    <t>40152205</t>
  </si>
  <si>
    <t>40182160</t>
  </si>
  <si>
    <t>40199446</t>
  </si>
  <si>
    <t>40176188</t>
  </si>
  <si>
    <t>40181915</t>
  </si>
  <si>
    <t>40164267</t>
  </si>
  <si>
    <t>40206423</t>
  </si>
  <si>
    <t>40161784</t>
  </si>
  <si>
    <t>40122000</t>
  </si>
  <si>
    <t>40135670</t>
  </si>
  <si>
    <t>40187102</t>
  </si>
  <si>
    <t>40158368</t>
  </si>
  <si>
    <t>40176782</t>
  </si>
  <si>
    <t>40167666</t>
  </si>
  <si>
    <t>40192904</t>
  </si>
  <si>
    <t>40178747</t>
  </si>
  <si>
    <t>40168201</t>
  </si>
  <si>
    <t>40121713</t>
  </si>
  <si>
    <t>40111086</t>
  </si>
  <si>
    <t>40205748</t>
  </si>
  <si>
    <t>40128536</t>
  </si>
  <si>
    <t>40133290</t>
  </si>
  <si>
    <t>40153666</t>
  </si>
  <si>
    <t>40192284</t>
  </si>
  <si>
    <t>40132843</t>
  </si>
  <si>
    <t>40121853</t>
  </si>
  <si>
    <t>40185585</t>
  </si>
  <si>
    <t>40178684</t>
  </si>
  <si>
    <t>40192516</t>
  </si>
  <si>
    <t>40118826</t>
  </si>
  <si>
    <t>40137396</t>
  </si>
  <si>
    <t>40190767</t>
  </si>
  <si>
    <t>40159754</t>
  </si>
  <si>
    <t>40133411</t>
  </si>
  <si>
    <t>40175107</t>
  </si>
  <si>
    <t>40128379</t>
  </si>
  <si>
    <t>40190734</t>
  </si>
  <si>
    <t>40121952</t>
  </si>
  <si>
    <t>40199354</t>
  </si>
  <si>
    <t>40138105</t>
  </si>
  <si>
    <t>40175834</t>
  </si>
  <si>
    <t>40167732</t>
  </si>
  <si>
    <t>40162444</t>
  </si>
  <si>
    <t>40122273</t>
  </si>
  <si>
    <t>40189037</t>
  </si>
  <si>
    <t>40185494</t>
  </si>
  <si>
    <t>40196897</t>
  </si>
  <si>
    <t>40163673</t>
  </si>
  <si>
    <t>40175271</t>
  </si>
  <si>
    <t>40199727</t>
  </si>
  <si>
    <t>40158061</t>
  </si>
  <si>
    <t>40204717</t>
  </si>
  <si>
    <t>40122323</t>
  </si>
  <si>
    <t>40175537</t>
  </si>
  <si>
    <t>40158194</t>
  </si>
  <si>
    <t>40158124</t>
  </si>
  <si>
    <t>40128353</t>
  </si>
  <si>
    <t>40169092</t>
  </si>
  <si>
    <t>40118727</t>
  </si>
  <si>
    <t>40121994</t>
  </si>
  <si>
    <t>40176121</t>
  </si>
  <si>
    <t>40188316</t>
  </si>
  <si>
    <t>40161727</t>
  </si>
  <si>
    <t>40176220</t>
  </si>
  <si>
    <t>40207272</t>
  </si>
  <si>
    <t>40187920</t>
  </si>
  <si>
    <t>40121911</t>
  </si>
  <si>
    <t>40160620</t>
  </si>
  <si>
    <t>40161370</t>
  </si>
  <si>
    <t>40175339</t>
  </si>
  <si>
    <t>40118925</t>
  </si>
  <si>
    <t>40132629</t>
  </si>
  <si>
    <t>40136018</t>
  </si>
  <si>
    <t>40176287</t>
  </si>
  <si>
    <t>40176808</t>
  </si>
  <si>
    <t>40206928</t>
  </si>
  <si>
    <t>40159747</t>
  </si>
  <si>
    <t>40205664</t>
  </si>
  <si>
    <t>40176261</t>
  </si>
  <si>
    <t>40139814</t>
  </si>
  <si>
    <t>40159861</t>
  </si>
  <si>
    <t>40122018</t>
  </si>
  <si>
    <t>40128564</t>
  </si>
  <si>
    <t>40189132</t>
  </si>
  <si>
    <t>40188308</t>
  </si>
  <si>
    <t>40181923</t>
  </si>
  <si>
    <t>40188167</t>
  </si>
  <si>
    <t>40200053</t>
  </si>
  <si>
    <t>40175354</t>
  </si>
  <si>
    <t>40187789</t>
  </si>
  <si>
    <t>40182079</t>
  </si>
  <si>
    <t>40178762</t>
  </si>
  <si>
    <t>40121697</t>
  </si>
  <si>
    <t>40199750</t>
  </si>
  <si>
    <t>40193449</t>
  </si>
  <si>
    <t>40133205</t>
  </si>
  <si>
    <t>40164382</t>
  </si>
  <si>
    <t>40175735</t>
  </si>
  <si>
    <t>40122075</t>
  </si>
  <si>
    <t>40181899</t>
  </si>
  <si>
    <t>40167468</t>
  </si>
  <si>
    <t>40161552</t>
  </si>
  <si>
    <t>40172070</t>
  </si>
  <si>
    <t>40130698</t>
  </si>
  <si>
    <t>40179075</t>
  </si>
  <si>
    <t>40150738</t>
  </si>
  <si>
    <t>40176196</t>
  </si>
  <si>
    <t>40193928</t>
  </si>
  <si>
    <t>40121960</t>
  </si>
  <si>
    <t>40181600</t>
  </si>
  <si>
    <t>40206902</t>
  </si>
  <si>
    <t>40204295</t>
  </si>
  <si>
    <t>40175529</t>
  </si>
  <si>
    <t>40192441</t>
  </si>
  <si>
    <t>40121143</t>
  </si>
  <si>
    <t>40119089</t>
  </si>
  <si>
    <t>40119352</t>
  </si>
  <si>
    <t>40199651</t>
  </si>
  <si>
    <t>40181758</t>
  </si>
  <si>
    <t>40200277</t>
  </si>
  <si>
    <t>40181808</t>
  </si>
  <si>
    <t>门牌</t>
    <phoneticPr fontId="6" type="noConversion"/>
  </si>
  <si>
    <t>2409</t>
    <phoneticPr fontId="6" type="noConversion"/>
  </si>
  <si>
    <t>0376</t>
    <phoneticPr fontId="6" type="noConversion"/>
  </si>
  <si>
    <t>0513</t>
    <phoneticPr fontId="6" type="noConversion"/>
  </si>
  <si>
    <t>0512</t>
    <phoneticPr fontId="6" type="noConversion"/>
  </si>
  <si>
    <t>0358</t>
    <phoneticPr fontId="6" type="noConversion"/>
  </si>
  <si>
    <t>0351</t>
    <phoneticPr fontId="6" type="noConversion"/>
  </si>
  <si>
    <t>0535</t>
    <phoneticPr fontId="6" type="noConversion"/>
  </si>
  <si>
    <t>0526</t>
    <phoneticPr fontId="6" type="noConversion"/>
  </si>
  <si>
    <t>0413</t>
    <phoneticPr fontId="6" type="noConversion"/>
  </si>
  <si>
    <t>0341</t>
    <phoneticPr fontId="6" type="noConversion"/>
  </si>
  <si>
    <t>0355</t>
    <phoneticPr fontId="6" type="noConversion"/>
  </si>
  <si>
    <t>0337</t>
    <phoneticPr fontId="6" type="noConversion"/>
  </si>
  <si>
    <t>0363</t>
    <phoneticPr fontId="6" type="noConversion"/>
  </si>
  <si>
    <t>0534</t>
    <phoneticPr fontId="6" type="noConversion"/>
  </si>
  <si>
    <t>0518</t>
    <phoneticPr fontId="6" type="noConversion"/>
  </si>
  <si>
    <t>0349</t>
    <phoneticPr fontId="6" type="noConversion"/>
  </si>
  <si>
    <t>0537</t>
    <phoneticPr fontId="6" type="noConversion"/>
  </si>
  <si>
    <t>0429</t>
    <phoneticPr fontId="6" type="noConversion"/>
  </si>
  <si>
    <t>0416</t>
    <phoneticPr fontId="6" type="noConversion"/>
  </si>
  <si>
    <t>0452</t>
    <phoneticPr fontId="6" type="noConversion"/>
  </si>
  <si>
    <t>0471</t>
    <phoneticPr fontId="6" type="noConversion"/>
  </si>
  <si>
    <t>0492</t>
    <phoneticPr fontId="6" type="noConversion"/>
  </si>
  <si>
    <t>0472</t>
    <phoneticPr fontId="6" type="noConversion"/>
  </si>
  <si>
    <t>0459</t>
    <phoneticPr fontId="6" type="noConversion"/>
  </si>
  <si>
    <t>0425</t>
    <phoneticPr fontId="6" type="noConversion"/>
  </si>
  <si>
    <t>0454</t>
    <phoneticPr fontId="6" type="noConversion"/>
  </si>
  <si>
    <t>0462</t>
    <phoneticPr fontId="6" type="noConversion"/>
  </si>
  <si>
    <t>0390</t>
    <phoneticPr fontId="6" type="noConversion"/>
  </si>
  <si>
    <t>0479</t>
    <phoneticPr fontId="6" type="noConversion"/>
  </si>
  <si>
    <t>0369</t>
    <phoneticPr fontId="6" type="noConversion"/>
  </si>
  <si>
    <t>0527</t>
    <phoneticPr fontId="6" type="noConversion"/>
  </si>
  <si>
    <t>0401</t>
    <phoneticPr fontId="6" type="noConversion"/>
  </si>
  <si>
    <t>0387</t>
    <phoneticPr fontId="6" type="noConversion"/>
  </si>
  <si>
    <t>0405</t>
    <phoneticPr fontId="6" type="noConversion"/>
  </si>
  <si>
    <t>0367</t>
    <phoneticPr fontId="6" type="noConversion"/>
  </si>
  <si>
    <t>0396</t>
    <phoneticPr fontId="6" type="noConversion"/>
  </si>
  <si>
    <t>0356</t>
    <phoneticPr fontId="6" type="noConversion"/>
  </si>
  <si>
    <t>0528</t>
    <phoneticPr fontId="6" type="noConversion"/>
  </si>
  <si>
    <t>0501</t>
    <phoneticPr fontId="6" type="noConversion"/>
  </si>
  <si>
    <t>0398</t>
    <phoneticPr fontId="6" type="noConversion"/>
  </si>
  <si>
    <t>0395</t>
    <phoneticPr fontId="6" type="noConversion"/>
  </si>
  <si>
    <t>0409</t>
    <phoneticPr fontId="6" type="noConversion"/>
  </si>
  <si>
    <t>0394</t>
    <phoneticPr fontId="6" type="noConversion"/>
  </si>
  <si>
    <t>0533</t>
    <phoneticPr fontId="6" type="noConversion"/>
  </si>
  <si>
    <t>0384</t>
    <phoneticPr fontId="6" type="noConversion"/>
  </si>
  <si>
    <t>0339</t>
    <phoneticPr fontId="6" type="noConversion"/>
  </si>
  <si>
    <t>0431</t>
    <phoneticPr fontId="6" type="noConversion"/>
  </si>
  <si>
    <t>0382</t>
    <phoneticPr fontId="6" type="noConversion"/>
  </si>
  <si>
    <t>0426</t>
    <phoneticPr fontId="6" type="noConversion"/>
  </si>
  <si>
    <t>0483</t>
    <phoneticPr fontId="6" type="noConversion"/>
  </si>
  <si>
    <t>0418</t>
    <phoneticPr fontId="6" type="noConversion"/>
  </si>
  <si>
    <t>0446</t>
    <phoneticPr fontId="6" type="noConversion"/>
  </si>
  <si>
    <t>0508</t>
    <phoneticPr fontId="6" type="noConversion"/>
  </si>
  <si>
    <t>0444</t>
    <phoneticPr fontId="6" type="noConversion"/>
  </si>
  <si>
    <t>0430</t>
    <phoneticPr fontId="6" type="noConversion"/>
  </si>
  <si>
    <t>0488</t>
    <phoneticPr fontId="6" type="noConversion"/>
  </si>
  <si>
    <t>0504</t>
    <phoneticPr fontId="6" type="noConversion"/>
  </si>
  <si>
    <t>0441</t>
    <phoneticPr fontId="6" type="noConversion"/>
  </si>
  <si>
    <t>0423</t>
    <phoneticPr fontId="6" type="noConversion"/>
  </si>
  <si>
    <t>0381</t>
    <phoneticPr fontId="6" type="noConversion"/>
  </si>
  <si>
    <t>0399</t>
    <phoneticPr fontId="6" type="noConversion"/>
  </si>
  <si>
    <t>0502</t>
    <phoneticPr fontId="6" type="noConversion"/>
  </si>
  <si>
    <t>0361</t>
    <phoneticPr fontId="6" type="noConversion"/>
  </si>
  <si>
    <t>0514</t>
    <phoneticPr fontId="6" type="noConversion"/>
  </si>
  <si>
    <t>0516</t>
    <phoneticPr fontId="6" type="noConversion"/>
  </si>
  <si>
    <t>0511</t>
    <phoneticPr fontId="6" type="noConversion"/>
  </si>
  <si>
    <t>0373</t>
    <phoneticPr fontId="6" type="noConversion"/>
  </si>
  <si>
    <t>0520</t>
    <phoneticPr fontId="6" type="noConversion"/>
  </si>
  <si>
    <t>0347</t>
    <phoneticPr fontId="6" type="noConversion"/>
  </si>
  <si>
    <t>0372</t>
    <phoneticPr fontId="6" type="noConversion"/>
  </si>
  <si>
    <t>0378</t>
    <phoneticPr fontId="6" type="noConversion"/>
  </si>
  <si>
    <t>0503</t>
    <phoneticPr fontId="6" type="noConversion"/>
  </si>
  <si>
    <t>0530</t>
    <phoneticPr fontId="6" type="noConversion"/>
  </si>
  <si>
    <t>0366</t>
    <phoneticPr fontId="6" type="noConversion"/>
  </si>
  <si>
    <t>0383</t>
    <phoneticPr fontId="6" type="noConversion"/>
  </si>
  <si>
    <t>0374</t>
    <phoneticPr fontId="6" type="noConversion"/>
  </si>
  <si>
    <t>0515</t>
    <phoneticPr fontId="6" type="noConversion"/>
  </si>
  <si>
    <t>0368</t>
    <phoneticPr fontId="6" type="noConversion"/>
  </si>
  <si>
    <t>0487</t>
    <phoneticPr fontId="6" type="noConversion"/>
  </si>
  <si>
    <t>0477</t>
    <phoneticPr fontId="6" type="noConversion"/>
  </si>
  <si>
    <t>0467</t>
    <phoneticPr fontId="6" type="noConversion"/>
  </si>
  <si>
    <t>0474</t>
    <phoneticPr fontId="6" type="noConversion"/>
  </si>
  <si>
    <t>0468</t>
    <phoneticPr fontId="6" type="noConversion"/>
  </si>
  <si>
    <t>0469</t>
    <phoneticPr fontId="6" type="noConversion"/>
  </si>
  <si>
    <t>0447</t>
    <phoneticPr fontId="6" type="noConversion"/>
  </si>
  <si>
    <t>0458</t>
    <phoneticPr fontId="6" type="noConversion"/>
  </si>
  <si>
    <t>0499</t>
    <phoneticPr fontId="6" type="noConversion"/>
  </si>
  <si>
    <t>0432</t>
    <phoneticPr fontId="6" type="noConversion"/>
  </si>
  <si>
    <t>0486</t>
    <phoneticPr fontId="6" type="noConversion"/>
  </si>
  <si>
    <t>0443</t>
    <phoneticPr fontId="6" type="noConversion"/>
  </si>
  <si>
    <t>0449</t>
    <phoneticPr fontId="6" type="noConversion"/>
  </si>
  <si>
    <t>0400</t>
    <phoneticPr fontId="6" type="noConversion"/>
  </si>
  <si>
    <t>地下室</t>
    <phoneticPr fontId="6" type="noConversion"/>
  </si>
  <si>
    <t>2338</t>
    <phoneticPr fontId="6" type="noConversion"/>
  </si>
  <si>
    <t>0485</t>
    <phoneticPr fontId="6" type="noConversion"/>
  </si>
  <si>
    <t>0442</t>
    <phoneticPr fontId="6" type="noConversion"/>
  </si>
  <si>
    <t>0465</t>
    <phoneticPr fontId="6" type="noConversion"/>
  </si>
  <si>
    <t>0495</t>
    <phoneticPr fontId="6" type="noConversion"/>
  </si>
  <si>
    <t>0357</t>
    <phoneticPr fontId="6" type="noConversion"/>
  </si>
  <si>
    <t>0524</t>
    <phoneticPr fontId="6" type="noConversion"/>
  </si>
  <si>
    <t>0517</t>
    <phoneticPr fontId="6" type="noConversion"/>
  </si>
  <si>
    <t>0473</t>
    <phoneticPr fontId="6" type="noConversion"/>
  </si>
  <si>
    <t>2522</t>
    <phoneticPr fontId="6" type="noConversion"/>
  </si>
  <si>
    <t>0338</t>
    <phoneticPr fontId="6" type="noConversion"/>
  </si>
  <si>
    <t>0375</t>
    <phoneticPr fontId="6" type="noConversion"/>
  </si>
  <si>
    <t>0461</t>
    <phoneticPr fontId="6" type="noConversion"/>
  </si>
  <si>
    <t>0421</t>
    <phoneticPr fontId="6" type="noConversion"/>
  </si>
  <si>
    <t>0427</t>
    <phoneticPr fontId="6" type="noConversion"/>
  </si>
  <si>
    <t>0353</t>
    <phoneticPr fontId="6" type="noConversion"/>
  </si>
  <si>
    <t>0345</t>
    <phoneticPr fontId="6" type="noConversion"/>
  </si>
  <si>
    <t>0342</t>
    <phoneticPr fontId="6" type="noConversion"/>
  </si>
  <si>
    <t>0433</t>
    <phoneticPr fontId="6" type="noConversion"/>
  </si>
  <si>
    <t>0437</t>
    <phoneticPr fontId="6" type="noConversion"/>
  </si>
  <si>
    <t>0422</t>
    <phoneticPr fontId="6" type="noConversion"/>
  </si>
  <si>
    <t>0436</t>
    <phoneticPr fontId="6" type="noConversion"/>
  </si>
  <si>
    <t>0531</t>
    <phoneticPr fontId="6" type="noConversion"/>
  </si>
  <si>
    <t>0536</t>
    <phoneticPr fontId="6" type="noConversion"/>
  </si>
  <si>
    <t>0371</t>
    <phoneticPr fontId="6" type="noConversion"/>
  </si>
  <si>
    <t>0364</t>
    <phoneticPr fontId="6" type="noConversion"/>
  </si>
  <si>
    <t>0340</t>
    <phoneticPr fontId="6" type="noConversion"/>
  </si>
  <si>
    <t>0507</t>
    <phoneticPr fontId="6" type="noConversion"/>
  </si>
  <si>
    <t>0403</t>
    <phoneticPr fontId="6" type="noConversion"/>
  </si>
  <si>
    <t>0389</t>
    <phoneticPr fontId="6" type="noConversion"/>
  </si>
  <si>
    <t>0411</t>
    <phoneticPr fontId="6" type="noConversion"/>
  </si>
  <si>
    <t>0455</t>
    <phoneticPr fontId="6" type="noConversion"/>
  </si>
  <si>
    <t>0490</t>
    <phoneticPr fontId="6" type="noConversion"/>
  </si>
  <si>
    <t>0428</t>
    <phoneticPr fontId="6" type="noConversion"/>
  </si>
  <si>
    <t>0404</t>
    <phoneticPr fontId="6" type="noConversion"/>
  </si>
  <si>
    <t>0406</t>
    <phoneticPr fontId="6" type="noConversion"/>
  </si>
  <si>
    <t>0521</t>
    <phoneticPr fontId="6" type="noConversion"/>
  </si>
  <si>
    <t>0385</t>
    <phoneticPr fontId="6" type="noConversion"/>
  </si>
  <si>
    <t>0470</t>
    <phoneticPr fontId="6" type="noConversion"/>
  </si>
  <si>
    <t>0498</t>
    <phoneticPr fontId="6" type="noConversion"/>
  </si>
  <si>
    <t>0354</t>
    <phoneticPr fontId="6" type="noConversion"/>
  </si>
  <si>
    <t>0350</t>
    <phoneticPr fontId="6" type="noConversion"/>
  </si>
  <si>
    <t>0352</t>
    <phoneticPr fontId="6" type="noConversion"/>
  </si>
  <si>
    <t>0439</t>
    <phoneticPr fontId="6" type="noConversion"/>
  </si>
  <si>
    <t>0506</t>
    <phoneticPr fontId="6" type="noConversion"/>
  </si>
  <si>
    <t>0419</t>
    <phoneticPr fontId="6" type="noConversion"/>
  </si>
  <si>
    <t>0435</t>
    <phoneticPr fontId="6" type="noConversion"/>
  </si>
  <si>
    <t>0448</t>
    <phoneticPr fontId="6" type="noConversion"/>
  </si>
  <si>
    <t>0408</t>
    <phoneticPr fontId="6" type="noConversion"/>
  </si>
  <si>
    <t>0336</t>
    <phoneticPr fontId="6" type="noConversion"/>
  </si>
  <si>
    <t>0450</t>
    <phoneticPr fontId="6" type="noConversion"/>
  </si>
  <si>
    <t>0434</t>
    <phoneticPr fontId="6" type="noConversion"/>
  </si>
  <si>
    <t>0466</t>
    <phoneticPr fontId="6" type="noConversion"/>
  </si>
  <si>
    <t>0481</t>
    <phoneticPr fontId="6" type="noConversion"/>
  </si>
  <si>
    <t>0414</t>
    <phoneticPr fontId="6" type="noConversion"/>
  </si>
  <si>
    <t>0417</t>
    <phoneticPr fontId="6" type="noConversion"/>
  </si>
  <si>
    <t>0493</t>
    <phoneticPr fontId="6" type="noConversion"/>
  </si>
  <si>
    <t>0489</t>
    <phoneticPr fontId="6" type="noConversion"/>
  </si>
  <si>
    <t>0525</t>
    <phoneticPr fontId="6" type="noConversion"/>
  </si>
  <si>
    <t>0505</t>
    <phoneticPr fontId="6" type="noConversion"/>
  </si>
  <si>
    <t>0346</t>
    <phoneticPr fontId="6" type="noConversion"/>
  </si>
  <si>
    <t>0377</t>
    <phoneticPr fontId="6" type="noConversion"/>
  </si>
  <si>
    <t>0348</t>
    <phoneticPr fontId="6" type="noConversion"/>
  </si>
  <si>
    <t>0510</t>
    <phoneticPr fontId="6" type="noConversion"/>
  </si>
  <si>
    <t>0370</t>
    <phoneticPr fontId="6" type="noConversion"/>
  </si>
  <si>
    <t>0509</t>
    <phoneticPr fontId="6" type="noConversion"/>
  </si>
  <si>
    <t>0388</t>
    <phoneticPr fontId="6" type="noConversion"/>
  </si>
  <si>
    <t>0359</t>
    <phoneticPr fontId="6" type="noConversion"/>
  </si>
  <si>
    <t>0484</t>
    <phoneticPr fontId="6" type="noConversion"/>
  </si>
  <si>
    <t>0457</t>
    <phoneticPr fontId="6" type="noConversion"/>
  </si>
  <si>
    <t>0440</t>
    <phoneticPr fontId="6" type="noConversion"/>
  </si>
  <si>
    <t>0415</t>
    <phoneticPr fontId="6" type="noConversion"/>
  </si>
  <si>
    <t>0424</t>
    <phoneticPr fontId="6" type="noConversion"/>
  </si>
  <si>
    <t>0497</t>
    <phoneticPr fontId="6" type="noConversion"/>
  </si>
  <si>
    <t>0491</t>
    <phoneticPr fontId="6" type="noConversion"/>
  </si>
  <si>
    <t>0402</t>
    <phoneticPr fontId="6" type="noConversion"/>
  </si>
  <si>
    <t>0480</t>
    <phoneticPr fontId="6" type="noConversion"/>
  </si>
  <si>
    <t>0463</t>
    <phoneticPr fontId="6" type="noConversion"/>
  </si>
  <si>
    <t>0344</t>
    <phoneticPr fontId="6" type="noConversion"/>
  </si>
  <si>
    <t>0362</t>
    <phoneticPr fontId="6" type="noConversion"/>
  </si>
  <si>
    <t>0393</t>
    <phoneticPr fontId="6" type="noConversion"/>
  </si>
  <si>
    <t>0365</t>
    <phoneticPr fontId="6" type="noConversion"/>
  </si>
  <si>
    <t>0420</t>
    <phoneticPr fontId="6" type="noConversion"/>
  </si>
  <si>
    <t>0451</t>
    <phoneticPr fontId="6" type="noConversion"/>
  </si>
  <si>
    <t>0478</t>
    <phoneticPr fontId="6" type="noConversion"/>
  </si>
  <si>
    <t>0482</t>
    <phoneticPr fontId="6" type="noConversion"/>
  </si>
  <si>
    <t>0453</t>
    <phoneticPr fontId="6" type="noConversion"/>
  </si>
  <si>
    <t>0464</t>
    <phoneticPr fontId="6" type="noConversion"/>
  </si>
  <si>
    <t>0476</t>
    <phoneticPr fontId="6" type="noConversion"/>
  </si>
  <si>
    <t>0412</t>
    <phoneticPr fontId="6" type="noConversion"/>
  </si>
  <si>
    <t>0380</t>
    <phoneticPr fontId="6" type="noConversion"/>
  </si>
  <si>
    <t>0410</t>
    <phoneticPr fontId="6" type="noConversion"/>
  </si>
  <si>
    <t>0392</t>
    <phoneticPr fontId="6" type="noConversion"/>
  </si>
  <si>
    <t>0522</t>
    <phoneticPr fontId="6" type="noConversion"/>
  </si>
  <si>
    <t>0391</t>
    <phoneticPr fontId="6" type="noConversion"/>
  </si>
  <si>
    <t>0379</t>
    <phoneticPr fontId="6" type="noConversion"/>
  </si>
  <si>
    <t>0532</t>
    <phoneticPr fontId="6" type="noConversion"/>
  </si>
  <si>
    <t>0438</t>
    <phoneticPr fontId="6" type="noConversion"/>
  </si>
  <si>
    <t>0343</t>
    <phoneticPr fontId="6" type="noConversion"/>
  </si>
  <si>
    <t>0407</t>
    <phoneticPr fontId="6" type="noConversion"/>
  </si>
  <si>
    <t>0475</t>
    <phoneticPr fontId="6" type="noConversion"/>
  </si>
  <si>
    <t>0360</t>
    <phoneticPr fontId="6" type="noConversion"/>
  </si>
  <si>
    <t>0386</t>
    <phoneticPr fontId="6" type="noConversion"/>
  </si>
  <si>
    <t>0523</t>
    <phoneticPr fontId="6" type="noConversion"/>
  </si>
  <si>
    <t>0397</t>
    <phoneticPr fontId="6" type="noConversion"/>
  </si>
  <si>
    <t>0529</t>
    <phoneticPr fontId="6" type="noConversion"/>
  </si>
  <si>
    <t>1867</t>
    <phoneticPr fontId="6" type="noConversion"/>
  </si>
  <si>
    <t>2109</t>
    <phoneticPr fontId="6" type="noConversion"/>
  </si>
  <si>
    <t>1864</t>
    <phoneticPr fontId="6" type="noConversion"/>
  </si>
  <si>
    <t>2103</t>
    <phoneticPr fontId="6" type="noConversion"/>
  </si>
  <si>
    <t>2101</t>
    <phoneticPr fontId="6" type="noConversion"/>
  </si>
  <si>
    <t>1908</t>
    <phoneticPr fontId="6" type="noConversion"/>
  </si>
  <si>
    <t>1862</t>
    <phoneticPr fontId="6" type="noConversion"/>
  </si>
  <si>
    <t>2131</t>
    <phoneticPr fontId="6" type="noConversion"/>
  </si>
  <si>
    <t>1906</t>
    <phoneticPr fontId="6" type="noConversion"/>
  </si>
  <si>
    <t>1910</t>
    <phoneticPr fontId="6" type="noConversion"/>
  </si>
  <si>
    <t>2565</t>
    <phoneticPr fontId="6" type="noConversion"/>
  </si>
  <si>
    <t>2411</t>
    <phoneticPr fontId="6" type="noConversion"/>
  </si>
  <si>
    <t>2594</t>
    <phoneticPr fontId="6" type="noConversion"/>
  </si>
  <si>
    <t>2600</t>
    <phoneticPr fontId="6" type="noConversion"/>
  </si>
  <si>
    <t>2595</t>
    <phoneticPr fontId="6" type="noConversion"/>
  </si>
  <si>
    <t>2597</t>
    <phoneticPr fontId="6" type="noConversion"/>
  </si>
  <si>
    <t>2570</t>
    <phoneticPr fontId="6" type="noConversion"/>
  </si>
  <si>
    <t>2617</t>
    <phoneticPr fontId="6" type="noConversion"/>
  </si>
  <si>
    <t>2377</t>
    <phoneticPr fontId="6" type="noConversion"/>
  </si>
  <si>
    <t>2416</t>
    <phoneticPr fontId="6" type="noConversion"/>
  </si>
  <si>
    <t>2391</t>
    <phoneticPr fontId="6" type="noConversion"/>
  </si>
  <si>
    <t>2484</t>
    <phoneticPr fontId="6" type="noConversion"/>
  </si>
  <si>
    <t>2442</t>
    <phoneticPr fontId="6" type="noConversion"/>
  </si>
  <si>
    <t>2625</t>
    <phoneticPr fontId="6" type="noConversion"/>
  </si>
  <si>
    <t>2443</t>
    <phoneticPr fontId="6" type="noConversion"/>
  </si>
  <si>
    <t>2430</t>
    <phoneticPr fontId="6" type="noConversion"/>
  </si>
  <si>
    <t>2500</t>
    <phoneticPr fontId="6" type="noConversion"/>
  </si>
  <si>
    <t>2395</t>
    <phoneticPr fontId="6" type="noConversion"/>
  </si>
  <si>
    <t>2586</t>
    <phoneticPr fontId="6" type="noConversion"/>
  </si>
  <si>
    <t>2472</t>
    <phoneticPr fontId="6" type="noConversion"/>
  </si>
  <si>
    <t>2628</t>
    <phoneticPr fontId="6" type="noConversion"/>
  </si>
  <si>
    <t>2426</t>
    <phoneticPr fontId="6" type="noConversion"/>
  </si>
  <si>
    <t>2569</t>
    <phoneticPr fontId="6" type="noConversion"/>
  </si>
  <si>
    <t>2590</t>
    <phoneticPr fontId="6" type="noConversion"/>
  </si>
  <si>
    <t>2403</t>
    <phoneticPr fontId="6" type="noConversion"/>
  </si>
  <si>
    <t>2580</t>
    <phoneticPr fontId="6" type="noConversion"/>
  </si>
  <si>
    <t>2407</t>
    <phoneticPr fontId="6" type="noConversion"/>
  </si>
  <si>
    <t>2400</t>
    <phoneticPr fontId="6" type="noConversion"/>
  </si>
  <si>
    <t>2082</t>
    <phoneticPr fontId="6" type="noConversion"/>
  </si>
  <si>
    <t>1948</t>
    <phoneticPr fontId="6" type="noConversion"/>
  </si>
  <si>
    <t>1845</t>
    <phoneticPr fontId="6" type="noConversion"/>
  </si>
  <si>
    <t>2094</t>
    <phoneticPr fontId="6" type="noConversion"/>
  </si>
  <si>
    <t>2096</t>
    <phoneticPr fontId="6" type="noConversion"/>
  </si>
  <si>
    <t>2090</t>
    <phoneticPr fontId="6" type="noConversion"/>
  </si>
  <si>
    <t>1844</t>
    <phoneticPr fontId="6" type="noConversion"/>
  </si>
  <si>
    <t>2087</t>
    <phoneticPr fontId="6" type="noConversion"/>
  </si>
  <si>
    <t>1855</t>
    <phoneticPr fontId="6" type="noConversion"/>
  </si>
  <si>
    <t>2352</t>
    <phoneticPr fontId="6" type="noConversion"/>
  </si>
  <si>
    <t>2540</t>
    <phoneticPr fontId="6" type="noConversion"/>
  </si>
  <si>
    <t>2531</t>
    <phoneticPr fontId="6" type="noConversion"/>
  </si>
  <si>
    <t>2535</t>
    <phoneticPr fontId="6" type="noConversion"/>
  </si>
  <si>
    <t>2344</t>
    <phoneticPr fontId="6" type="noConversion"/>
  </si>
  <si>
    <t>2347</t>
    <phoneticPr fontId="6" type="noConversion"/>
  </si>
  <si>
    <t>2355</t>
    <phoneticPr fontId="6" type="noConversion"/>
  </si>
  <si>
    <t>2538</t>
    <phoneticPr fontId="6" type="noConversion"/>
  </si>
  <si>
    <t>2341</t>
    <phoneticPr fontId="6" type="noConversion"/>
  </si>
  <si>
    <t>2207</t>
    <phoneticPr fontId="6" type="noConversion"/>
  </si>
  <si>
    <t>1965</t>
    <phoneticPr fontId="6" type="noConversion"/>
  </si>
  <si>
    <t>2346</t>
    <phoneticPr fontId="6" type="noConversion"/>
  </si>
  <si>
    <t>1964</t>
    <phoneticPr fontId="6" type="noConversion"/>
  </si>
  <si>
    <t>2028</t>
    <phoneticPr fontId="6" type="noConversion"/>
  </si>
  <si>
    <t>2215</t>
    <phoneticPr fontId="6" type="noConversion"/>
  </si>
  <si>
    <t>2209</t>
    <phoneticPr fontId="6" type="noConversion"/>
  </si>
  <si>
    <t>1966</t>
    <phoneticPr fontId="6" type="noConversion"/>
  </si>
  <si>
    <t>2033</t>
    <phoneticPr fontId="6" type="noConversion"/>
  </si>
  <si>
    <t>2030</t>
    <phoneticPr fontId="6" type="noConversion"/>
  </si>
  <si>
    <t>2539</t>
    <phoneticPr fontId="6" type="noConversion"/>
  </si>
  <si>
    <t>2278</t>
    <phoneticPr fontId="6" type="noConversion"/>
  </si>
  <si>
    <t>2551</t>
    <phoneticPr fontId="6" type="noConversion"/>
  </si>
  <si>
    <t>2349</t>
    <phoneticPr fontId="6" type="noConversion"/>
  </si>
  <si>
    <t>2542</t>
    <phoneticPr fontId="6" type="noConversion"/>
  </si>
  <si>
    <t>2362</t>
    <phoneticPr fontId="6" type="noConversion"/>
  </si>
  <si>
    <t>2337</t>
    <phoneticPr fontId="6" type="noConversion"/>
  </si>
  <si>
    <t>2035</t>
    <phoneticPr fontId="6" type="noConversion"/>
  </si>
  <si>
    <t>2274</t>
    <phoneticPr fontId="6" type="noConversion"/>
  </si>
  <si>
    <t>2022</t>
    <phoneticPr fontId="6" type="noConversion"/>
  </si>
  <si>
    <t>2010</t>
    <phoneticPr fontId="6" type="noConversion"/>
  </si>
  <si>
    <t>2260</t>
    <phoneticPr fontId="6" type="noConversion"/>
  </si>
  <si>
    <t>2268</t>
    <phoneticPr fontId="6" type="noConversion"/>
  </si>
  <si>
    <t>2269</t>
    <phoneticPr fontId="6" type="noConversion"/>
  </si>
  <si>
    <t>2602</t>
    <phoneticPr fontId="6" type="noConversion"/>
  </si>
  <si>
    <t>2612</t>
    <phoneticPr fontId="6" type="noConversion"/>
  </si>
  <si>
    <t>1857</t>
    <phoneticPr fontId="6" type="noConversion"/>
  </si>
  <si>
    <t>2428</t>
    <phoneticPr fontId="6" type="noConversion"/>
  </si>
  <si>
    <t>2574</t>
    <phoneticPr fontId="6" type="noConversion"/>
  </si>
  <si>
    <t>2621</t>
    <phoneticPr fontId="6" type="noConversion"/>
  </si>
  <si>
    <t>2394</t>
    <phoneticPr fontId="6" type="noConversion"/>
  </si>
  <si>
    <t>2605</t>
    <phoneticPr fontId="6" type="noConversion"/>
  </si>
  <si>
    <t>2603</t>
    <phoneticPr fontId="6" type="noConversion"/>
  </si>
  <si>
    <t>2608</t>
    <phoneticPr fontId="6" type="noConversion"/>
  </si>
  <si>
    <t>2100</t>
    <phoneticPr fontId="6" type="noConversion"/>
  </si>
  <si>
    <t>1842</t>
    <phoneticPr fontId="6" type="noConversion"/>
  </si>
  <si>
    <t>1849</t>
    <phoneticPr fontId="6" type="noConversion"/>
  </si>
  <si>
    <t>1854</t>
    <phoneticPr fontId="6" type="noConversion"/>
  </si>
  <si>
    <t>2085</t>
    <phoneticPr fontId="6" type="noConversion"/>
  </si>
  <si>
    <t>1838</t>
    <phoneticPr fontId="6" type="noConversion"/>
  </si>
  <si>
    <t>2081</t>
    <phoneticPr fontId="6" type="noConversion"/>
  </si>
  <si>
    <t>2078</t>
    <phoneticPr fontId="6" type="noConversion"/>
  </si>
  <si>
    <t>1843</t>
    <phoneticPr fontId="6" type="noConversion"/>
  </si>
  <si>
    <t>2080</t>
    <phoneticPr fontId="6" type="noConversion"/>
  </si>
  <si>
    <t>2643</t>
    <phoneticPr fontId="6" type="noConversion"/>
  </si>
  <si>
    <t>2424</t>
    <phoneticPr fontId="6" type="noConversion"/>
  </si>
  <si>
    <t>2305</t>
    <phoneticPr fontId="6" type="noConversion"/>
  </si>
  <si>
    <t>2640</t>
    <phoneticPr fontId="6" type="noConversion"/>
  </si>
  <si>
    <t>2654</t>
    <phoneticPr fontId="6" type="noConversion"/>
  </si>
  <si>
    <t>2494</t>
    <phoneticPr fontId="6" type="noConversion"/>
  </si>
  <si>
    <t>2379</t>
    <phoneticPr fontId="6" type="noConversion"/>
  </si>
  <si>
    <t>2466</t>
    <phoneticPr fontId="6" type="noConversion"/>
  </si>
  <si>
    <t>2648</t>
    <phoneticPr fontId="6" type="noConversion"/>
  </si>
  <si>
    <t>2124</t>
    <phoneticPr fontId="6" type="noConversion"/>
  </si>
  <si>
    <t>2609</t>
    <phoneticPr fontId="6" type="noConversion"/>
  </si>
  <si>
    <t>2653</t>
    <phoneticPr fontId="6" type="noConversion"/>
  </si>
  <si>
    <t>1878</t>
    <phoneticPr fontId="6" type="noConversion"/>
  </si>
  <si>
    <t>2450</t>
    <phoneticPr fontId="6" type="noConversion"/>
  </si>
  <si>
    <t>1858</t>
    <phoneticPr fontId="6" type="noConversion"/>
  </si>
  <si>
    <t>2072</t>
    <phoneticPr fontId="6" type="noConversion"/>
  </si>
  <si>
    <t>1957</t>
    <phoneticPr fontId="6" type="noConversion"/>
  </si>
  <si>
    <t>2456</t>
    <phoneticPr fontId="6" type="noConversion"/>
  </si>
  <si>
    <t>2401</t>
    <phoneticPr fontId="6" type="noConversion"/>
  </si>
  <si>
    <t>2685</t>
    <phoneticPr fontId="6" type="noConversion"/>
  </si>
  <si>
    <t>2458</t>
    <phoneticPr fontId="6" type="noConversion"/>
  </si>
  <si>
    <t>1834</t>
    <phoneticPr fontId="6" type="noConversion"/>
  </si>
  <si>
    <t>2647</t>
    <phoneticPr fontId="6" type="noConversion"/>
  </si>
  <si>
    <t>2480</t>
    <phoneticPr fontId="6" type="noConversion"/>
  </si>
  <si>
    <t>2666</t>
    <phoneticPr fontId="6" type="noConversion"/>
  </si>
  <si>
    <t>2463</t>
    <phoneticPr fontId="6" type="noConversion"/>
  </si>
  <si>
    <t>2448</t>
    <phoneticPr fontId="6" type="noConversion"/>
  </si>
  <si>
    <t>2661</t>
    <phoneticPr fontId="6" type="noConversion"/>
  </si>
  <si>
    <t>2356</t>
    <phoneticPr fontId="6" type="noConversion"/>
  </si>
  <si>
    <t>1996</t>
    <phoneticPr fontId="6" type="noConversion"/>
  </si>
  <si>
    <t>1811</t>
    <phoneticPr fontId="6" type="noConversion"/>
  </si>
  <si>
    <t>2350</t>
    <phoneticPr fontId="6" type="noConversion"/>
  </si>
  <si>
    <t>2530</t>
    <phoneticPr fontId="6" type="noConversion"/>
  </si>
  <si>
    <t>2351</t>
    <phoneticPr fontId="6" type="noConversion"/>
  </si>
  <si>
    <t>2529</t>
    <phoneticPr fontId="6" type="noConversion"/>
  </si>
  <si>
    <t>2336</t>
    <phoneticPr fontId="6" type="noConversion"/>
  </si>
  <si>
    <t>2671</t>
    <phoneticPr fontId="6" type="noConversion"/>
  </si>
  <si>
    <t>2460</t>
    <phoneticPr fontId="6" type="noConversion"/>
  </si>
  <si>
    <t>1829</t>
    <phoneticPr fontId="6" type="noConversion"/>
  </si>
  <si>
    <t>2639</t>
    <phoneticPr fontId="6" type="noConversion"/>
  </si>
  <si>
    <t>2123</t>
    <phoneticPr fontId="6" type="noConversion"/>
  </si>
  <si>
    <t>2673</t>
    <phoneticPr fontId="6" type="noConversion"/>
  </si>
  <si>
    <t>0494</t>
    <phoneticPr fontId="6" type="noConversion"/>
  </si>
  <si>
    <t>0456</t>
    <phoneticPr fontId="6" type="noConversion"/>
  </si>
  <si>
    <t>0460</t>
    <phoneticPr fontId="6" type="noConversion"/>
  </si>
  <si>
    <t>0445</t>
    <phoneticPr fontId="6" type="noConversion"/>
  </si>
  <si>
    <t>2359</t>
    <phoneticPr fontId="6" type="noConversion"/>
  </si>
  <si>
    <t>2014</t>
    <phoneticPr fontId="6" type="noConversion"/>
  </si>
  <si>
    <t>2111</t>
    <phoneticPr fontId="6" type="noConversion"/>
  </si>
  <si>
    <t>2255</t>
    <phoneticPr fontId="6" type="noConversion"/>
  </si>
  <si>
    <t>2003</t>
    <phoneticPr fontId="6" type="noConversion"/>
  </si>
  <si>
    <t>2257</t>
    <phoneticPr fontId="6" type="noConversion"/>
  </si>
  <si>
    <t>2040</t>
    <phoneticPr fontId="6" type="noConversion"/>
  </si>
  <si>
    <t>2259</t>
    <phoneticPr fontId="6" type="noConversion"/>
  </si>
  <si>
    <t>2009</t>
    <phoneticPr fontId="6" type="noConversion"/>
  </si>
  <si>
    <t>2258</t>
    <phoneticPr fontId="6" type="noConversion"/>
  </si>
  <si>
    <t>2005</t>
    <phoneticPr fontId="6" type="noConversion"/>
  </si>
  <si>
    <t>2020</t>
    <phoneticPr fontId="6" type="noConversion"/>
  </si>
  <si>
    <t>2296</t>
    <phoneticPr fontId="6" type="noConversion"/>
  </si>
  <si>
    <t>2645</t>
    <phoneticPr fontId="6" type="noConversion"/>
  </si>
  <si>
    <t>2387</t>
    <phoneticPr fontId="6" type="noConversion"/>
  </si>
  <si>
    <t>2592</t>
    <phoneticPr fontId="6" type="noConversion"/>
  </si>
  <si>
    <t>2561</t>
    <phoneticPr fontId="6" type="noConversion"/>
  </si>
  <si>
    <t>2381</t>
    <phoneticPr fontId="6" type="noConversion"/>
  </si>
  <si>
    <t>2588</t>
    <phoneticPr fontId="6" type="noConversion"/>
  </si>
  <si>
    <t>2476</t>
    <phoneticPr fontId="6" type="noConversion"/>
  </si>
  <si>
    <t>2655</t>
    <phoneticPr fontId="6" type="noConversion"/>
  </si>
  <si>
    <t>2646</t>
    <phoneticPr fontId="6" type="noConversion"/>
  </si>
  <si>
    <t>2619</t>
    <phoneticPr fontId="6" type="noConversion"/>
  </si>
  <si>
    <t>2370</t>
    <phoneticPr fontId="6" type="noConversion"/>
  </si>
  <si>
    <t>2371</t>
    <phoneticPr fontId="6" type="noConversion"/>
  </si>
  <si>
    <t>2575</t>
    <phoneticPr fontId="6" type="noConversion"/>
  </si>
  <si>
    <t>2438</t>
    <phoneticPr fontId="6" type="noConversion"/>
  </si>
  <si>
    <t>2328</t>
    <phoneticPr fontId="6" type="noConversion"/>
  </si>
  <si>
    <t>2304</t>
    <phoneticPr fontId="6" type="noConversion"/>
  </si>
  <si>
    <t>2485</t>
    <phoneticPr fontId="6" type="noConversion"/>
  </si>
  <si>
    <t>2369</t>
    <phoneticPr fontId="6" type="noConversion"/>
  </si>
  <si>
    <t>2519</t>
    <phoneticPr fontId="6" type="noConversion"/>
  </si>
  <si>
    <t>2598</t>
    <phoneticPr fontId="6" type="noConversion"/>
  </si>
  <si>
    <t>2125</t>
    <phoneticPr fontId="6" type="noConversion"/>
  </si>
  <si>
    <t>2389</t>
    <phoneticPr fontId="6" type="noConversion"/>
  </si>
  <si>
    <t>2474</t>
    <phoneticPr fontId="6" type="noConversion"/>
  </si>
  <si>
    <t>2245</t>
    <phoneticPr fontId="6" type="noConversion"/>
  </si>
  <si>
    <t>2223</t>
    <phoneticPr fontId="6" type="noConversion"/>
  </si>
  <si>
    <t>1974</t>
    <phoneticPr fontId="6" type="noConversion"/>
  </si>
  <si>
    <t>2320</t>
    <phoneticPr fontId="6" type="noConversion"/>
  </si>
  <si>
    <t>2001</t>
    <phoneticPr fontId="6" type="noConversion"/>
  </si>
  <si>
    <t>2062</t>
    <phoneticPr fontId="6" type="noConversion"/>
  </si>
  <si>
    <t>2229</t>
    <phoneticPr fontId="6" type="noConversion"/>
  </si>
  <si>
    <t>2250</t>
    <phoneticPr fontId="6" type="noConversion"/>
  </si>
  <si>
    <t>2331</t>
    <phoneticPr fontId="6" type="noConversion"/>
  </si>
  <si>
    <t>2152</t>
    <phoneticPr fontId="6" type="noConversion"/>
  </si>
  <si>
    <t>2201</t>
    <phoneticPr fontId="6" type="noConversion"/>
  </si>
  <si>
    <t>2329</t>
    <phoneticPr fontId="6" type="noConversion"/>
  </si>
  <si>
    <t>2427</t>
    <phoneticPr fontId="6" type="noConversion"/>
  </si>
  <si>
    <t>2380</t>
    <phoneticPr fontId="6" type="noConversion"/>
  </si>
  <si>
    <t>2327</t>
    <phoneticPr fontId="6" type="noConversion"/>
  </si>
  <si>
    <t>2563</t>
    <phoneticPr fontId="6" type="noConversion"/>
  </si>
  <si>
    <t>2390</t>
    <phoneticPr fontId="6" type="noConversion"/>
  </si>
  <si>
    <t>2434</t>
    <phoneticPr fontId="6" type="noConversion"/>
  </si>
  <si>
    <t>2635</t>
    <phoneticPr fontId="6" type="noConversion"/>
  </si>
  <si>
    <t>2507</t>
    <phoneticPr fontId="6" type="noConversion"/>
  </si>
  <si>
    <t>1846</t>
    <phoneticPr fontId="6" type="noConversion"/>
  </si>
  <si>
    <t>1833</t>
    <phoneticPr fontId="6" type="noConversion"/>
  </si>
  <si>
    <t>2095</t>
    <phoneticPr fontId="6" type="noConversion"/>
  </si>
  <si>
    <t>1847</t>
    <phoneticPr fontId="6" type="noConversion"/>
  </si>
  <si>
    <t>1850</t>
    <phoneticPr fontId="6" type="noConversion"/>
  </si>
  <si>
    <t>1840</t>
    <phoneticPr fontId="6" type="noConversion"/>
  </si>
  <si>
    <t>1837</t>
    <phoneticPr fontId="6" type="noConversion"/>
  </si>
  <si>
    <t>1828</t>
    <phoneticPr fontId="6" type="noConversion"/>
  </si>
  <si>
    <t>2405</t>
    <phoneticPr fontId="6" type="noConversion"/>
  </si>
  <si>
    <t>2584</t>
    <phoneticPr fontId="6" type="noConversion"/>
  </si>
  <si>
    <t>2410</t>
    <phoneticPr fontId="6" type="noConversion"/>
  </si>
  <si>
    <t>2560</t>
    <phoneticPr fontId="6" type="noConversion"/>
  </si>
  <si>
    <t>2408</t>
    <phoneticPr fontId="6" type="noConversion"/>
  </si>
  <si>
    <t>2591</t>
    <phoneticPr fontId="6" type="noConversion"/>
  </si>
  <si>
    <t>1830</t>
    <phoneticPr fontId="6" type="noConversion"/>
  </si>
  <si>
    <t>2490</t>
    <phoneticPr fontId="6" type="noConversion"/>
  </si>
  <si>
    <t>2501</t>
    <phoneticPr fontId="6" type="noConversion"/>
  </si>
  <si>
    <t>2567</t>
    <phoneticPr fontId="6" type="noConversion"/>
  </si>
  <si>
    <t>2564</t>
    <phoneticPr fontId="6" type="noConversion"/>
  </si>
  <si>
    <t>2483</t>
    <phoneticPr fontId="6" type="noConversion"/>
  </si>
  <si>
    <t>2299</t>
    <phoneticPr fontId="6" type="noConversion"/>
  </si>
  <si>
    <t>2306</t>
    <phoneticPr fontId="6" type="noConversion"/>
  </si>
  <si>
    <t>2439</t>
    <phoneticPr fontId="6" type="noConversion"/>
  </si>
  <si>
    <t>2365</t>
    <phoneticPr fontId="6" type="noConversion"/>
  </si>
  <si>
    <t>2514</t>
    <phoneticPr fontId="6" type="noConversion"/>
  </si>
  <si>
    <t>2554</t>
    <phoneticPr fontId="6" type="noConversion"/>
  </si>
  <si>
    <t>2396</t>
    <phoneticPr fontId="6" type="noConversion"/>
  </si>
  <si>
    <t>2517</t>
    <phoneticPr fontId="6" type="noConversion"/>
  </si>
  <si>
    <t>2303</t>
    <phoneticPr fontId="6" type="noConversion"/>
  </si>
  <si>
    <t>2382</t>
    <phoneticPr fontId="6" type="noConversion"/>
  </si>
  <si>
    <t>1859</t>
    <phoneticPr fontId="6" type="noConversion"/>
  </si>
  <si>
    <t>2578</t>
    <phoneticPr fontId="6" type="noConversion"/>
  </si>
  <si>
    <t>2656</t>
    <phoneticPr fontId="6" type="noConversion"/>
  </si>
  <si>
    <t>2334</t>
    <phoneticPr fontId="6" type="noConversion"/>
  </si>
  <si>
    <t>2234</t>
    <phoneticPr fontId="6" type="noConversion"/>
  </si>
  <si>
    <t>2121</t>
    <phoneticPr fontId="6" type="noConversion"/>
  </si>
  <si>
    <t>2248</t>
    <phoneticPr fontId="6" type="noConversion"/>
  </si>
  <si>
    <t>2249</t>
    <phoneticPr fontId="6" type="noConversion"/>
  </si>
  <si>
    <t>1989</t>
    <phoneticPr fontId="6" type="noConversion"/>
  </si>
  <si>
    <t>1822</t>
    <phoneticPr fontId="6" type="noConversion"/>
  </si>
  <si>
    <t>1813</t>
    <phoneticPr fontId="6" type="noConversion"/>
  </si>
  <si>
    <t>1825</t>
    <phoneticPr fontId="6" type="noConversion"/>
  </si>
  <si>
    <t>1810</t>
    <phoneticPr fontId="6" type="noConversion"/>
  </si>
  <si>
    <t>1815</t>
    <phoneticPr fontId="6" type="noConversion"/>
  </si>
  <si>
    <t>2521</t>
    <phoneticPr fontId="6" type="noConversion"/>
  </si>
  <si>
    <t>2527</t>
    <phoneticPr fontId="6" type="noConversion"/>
  </si>
  <si>
    <t>2532</t>
    <phoneticPr fontId="6" type="noConversion"/>
  </si>
  <si>
    <t>2340</t>
    <phoneticPr fontId="6" type="noConversion"/>
  </si>
  <si>
    <t>2343</t>
    <phoneticPr fontId="6" type="noConversion"/>
  </si>
  <si>
    <t>2354</t>
    <phoneticPr fontId="6" type="noConversion"/>
  </si>
  <si>
    <t>2536</t>
    <phoneticPr fontId="6" type="noConversion"/>
  </si>
  <si>
    <t>2523</t>
    <phoneticPr fontId="6" type="noConversion"/>
  </si>
  <si>
    <t>2453</t>
    <phoneticPr fontId="6" type="noConversion"/>
  </si>
  <si>
    <t>2348</t>
    <phoneticPr fontId="6" type="noConversion"/>
  </si>
  <si>
    <t>2210</t>
    <phoneticPr fontId="6" type="noConversion"/>
  </si>
  <si>
    <t>2183</t>
    <phoneticPr fontId="6" type="noConversion"/>
  </si>
  <si>
    <t>2199</t>
    <phoneticPr fontId="6" type="noConversion"/>
  </si>
  <si>
    <t>2193</t>
    <phoneticPr fontId="6" type="noConversion"/>
  </si>
  <si>
    <t>2191</t>
    <phoneticPr fontId="6" type="noConversion"/>
  </si>
  <si>
    <t>2192</t>
    <phoneticPr fontId="6" type="noConversion"/>
  </si>
  <si>
    <t>2184</t>
    <phoneticPr fontId="6" type="noConversion"/>
  </si>
  <si>
    <t>2186</t>
    <phoneticPr fontId="6" type="noConversion"/>
  </si>
  <si>
    <t>2626</t>
    <phoneticPr fontId="6" type="noConversion"/>
  </si>
  <si>
    <t>2571</t>
    <phoneticPr fontId="6" type="noConversion"/>
  </si>
  <si>
    <t>2487</t>
    <phoneticPr fontId="6" type="noConversion"/>
  </si>
  <si>
    <t>2508</t>
    <phoneticPr fontId="6" type="noConversion"/>
  </si>
  <si>
    <t>1999</t>
    <phoneticPr fontId="6" type="noConversion"/>
  </si>
  <si>
    <t>1916</t>
    <phoneticPr fontId="6" type="noConversion"/>
  </si>
  <si>
    <t>2518</t>
    <phoneticPr fontId="6" type="noConversion"/>
  </si>
  <si>
    <t>2513</t>
    <phoneticPr fontId="6" type="noConversion"/>
  </si>
  <si>
    <t>1812</t>
    <phoneticPr fontId="6" type="noConversion"/>
  </si>
  <si>
    <t>1814</t>
    <phoneticPr fontId="6" type="noConversion"/>
  </si>
  <si>
    <t>1818</t>
    <phoneticPr fontId="6" type="noConversion"/>
  </si>
  <si>
    <t>2241</t>
    <phoneticPr fontId="6" type="noConversion"/>
  </si>
  <si>
    <t>2061</t>
    <phoneticPr fontId="6" type="noConversion"/>
  </si>
  <si>
    <t>2244</t>
    <phoneticPr fontId="6" type="noConversion"/>
  </si>
  <si>
    <t>1997</t>
    <phoneticPr fontId="6" type="noConversion"/>
  </si>
  <si>
    <t>2178</t>
    <phoneticPr fontId="6" type="noConversion"/>
  </si>
  <si>
    <t>2174</t>
    <phoneticPr fontId="6" type="noConversion"/>
  </si>
  <si>
    <t>2167</t>
    <phoneticPr fontId="6" type="noConversion"/>
  </si>
  <si>
    <t>1889</t>
    <phoneticPr fontId="6" type="noConversion"/>
  </si>
  <si>
    <t>2149</t>
    <phoneticPr fontId="6" type="noConversion"/>
  </si>
  <si>
    <t>2151</t>
    <phoneticPr fontId="6" type="noConversion"/>
  </si>
  <si>
    <t>1901</t>
    <phoneticPr fontId="6" type="noConversion"/>
  </si>
  <si>
    <t>2176</t>
    <phoneticPr fontId="6" type="noConversion"/>
  </si>
  <si>
    <t>2099</t>
    <phoneticPr fontId="6" type="noConversion"/>
  </si>
  <si>
    <t>2171</t>
    <phoneticPr fontId="6" type="noConversion"/>
  </si>
  <si>
    <t>2172</t>
    <phoneticPr fontId="6" type="noConversion"/>
  </si>
  <si>
    <t>2627</t>
    <phoneticPr fontId="6" type="noConversion"/>
  </si>
  <si>
    <t>2332</t>
    <phoneticPr fontId="6" type="noConversion"/>
  </si>
  <si>
    <t>2489</t>
    <phoneticPr fontId="6" type="noConversion"/>
  </si>
  <si>
    <t>2211</t>
    <phoneticPr fontId="6" type="noConversion"/>
  </si>
  <si>
    <t>2486</t>
    <phoneticPr fontId="6" type="noConversion"/>
  </si>
  <si>
    <t>2505</t>
    <phoneticPr fontId="6" type="noConversion"/>
  </si>
  <si>
    <t>2958</t>
    <phoneticPr fontId="6" type="noConversion"/>
  </si>
  <si>
    <t>2220</t>
    <phoneticPr fontId="6" type="noConversion"/>
  </si>
  <si>
    <t>2219</t>
    <phoneticPr fontId="6" type="noConversion"/>
  </si>
  <si>
    <t>2282</t>
    <phoneticPr fontId="6" type="noConversion"/>
  </si>
  <si>
    <t>1954</t>
    <phoneticPr fontId="6" type="noConversion"/>
  </si>
  <si>
    <t>2206</t>
    <phoneticPr fontId="6" type="noConversion"/>
  </si>
  <si>
    <t>1968</t>
    <phoneticPr fontId="6" type="noConversion"/>
  </si>
  <si>
    <t>2212</t>
    <phoneticPr fontId="6" type="noConversion"/>
  </si>
  <si>
    <t>2038</t>
    <phoneticPr fontId="6" type="noConversion"/>
  </si>
  <si>
    <t>1807</t>
    <phoneticPr fontId="6" type="noConversion"/>
  </si>
  <si>
    <t>2039</t>
    <phoneticPr fontId="6" type="noConversion"/>
  </si>
  <si>
    <t>1806</t>
    <phoneticPr fontId="6" type="noConversion"/>
  </si>
  <si>
    <t>2286</t>
    <phoneticPr fontId="6" type="noConversion"/>
  </si>
  <si>
    <t>2288</t>
    <phoneticPr fontId="6" type="noConversion"/>
  </si>
  <si>
    <t>2042</t>
    <phoneticPr fontId="6" type="noConversion"/>
  </si>
  <si>
    <t>2055</t>
    <phoneticPr fontId="6" type="noConversion"/>
  </si>
  <si>
    <t>2189</t>
    <phoneticPr fontId="6" type="noConversion"/>
  </si>
  <si>
    <t>2228</t>
    <phoneticPr fontId="6" type="noConversion"/>
  </si>
  <si>
    <t>1949</t>
    <phoneticPr fontId="6" type="noConversion"/>
  </si>
  <si>
    <t>2195</t>
    <phoneticPr fontId="6" type="noConversion"/>
  </si>
  <si>
    <t>2397</t>
    <phoneticPr fontId="6" type="noConversion"/>
  </si>
  <si>
    <t>2582</t>
    <phoneticPr fontId="6" type="noConversion"/>
  </si>
  <si>
    <t>2658</t>
    <phoneticPr fontId="6" type="noConversion"/>
  </si>
  <si>
    <t>2469</t>
    <phoneticPr fontId="6" type="noConversion"/>
  </si>
  <si>
    <t>2404</t>
    <phoneticPr fontId="6" type="noConversion"/>
  </si>
  <si>
    <t>2623</t>
    <phoneticPr fontId="6" type="noConversion"/>
  </si>
  <si>
    <t>2399</t>
    <phoneticPr fontId="6" type="noConversion"/>
  </si>
  <si>
    <t>2475</t>
    <phoneticPr fontId="6" type="noConversion"/>
  </si>
  <si>
    <t>1801</t>
    <phoneticPr fontId="6" type="noConversion"/>
  </si>
  <si>
    <t>1969</t>
    <phoneticPr fontId="6" type="noConversion"/>
  </si>
  <si>
    <t>1976</t>
    <phoneticPr fontId="6" type="noConversion"/>
  </si>
  <si>
    <t>1971</t>
    <phoneticPr fontId="6" type="noConversion"/>
  </si>
  <si>
    <t>2247</t>
    <phoneticPr fontId="6" type="noConversion"/>
  </si>
  <si>
    <t>1803</t>
    <phoneticPr fontId="6" type="noConversion"/>
  </si>
  <si>
    <t>1802</t>
    <phoneticPr fontId="6" type="noConversion"/>
  </si>
  <si>
    <t>2225</t>
    <phoneticPr fontId="6" type="noConversion"/>
  </si>
  <si>
    <t>2113</t>
    <phoneticPr fontId="6" type="noConversion"/>
  </si>
  <si>
    <t>1882</t>
    <phoneticPr fontId="6" type="noConversion"/>
  </si>
  <si>
    <t>1809</t>
    <phoneticPr fontId="6" type="noConversion"/>
  </si>
  <si>
    <t>1817</t>
    <phoneticPr fontId="6" type="noConversion"/>
  </si>
  <si>
    <t>1885</t>
    <phoneticPr fontId="6" type="noConversion"/>
  </si>
  <si>
    <t>1872</t>
    <phoneticPr fontId="6" type="noConversion"/>
  </si>
  <si>
    <t>2066</t>
    <phoneticPr fontId="6" type="noConversion"/>
  </si>
  <si>
    <t>2120</t>
    <phoneticPr fontId="6" type="noConversion"/>
  </si>
  <si>
    <t>1819</t>
    <phoneticPr fontId="6" type="noConversion"/>
  </si>
  <si>
    <t>2069</t>
    <phoneticPr fontId="6" type="noConversion"/>
  </si>
  <si>
    <t>2119</t>
    <phoneticPr fontId="6" type="noConversion"/>
  </si>
  <si>
    <t>2162</t>
    <phoneticPr fontId="6" type="noConversion"/>
  </si>
  <si>
    <t>2106</t>
    <phoneticPr fontId="6" type="noConversion"/>
  </si>
  <si>
    <t>2157</t>
    <phoneticPr fontId="6" type="noConversion"/>
  </si>
  <si>
    <t>2134</t>
    <phoneticPr fontId="6" type="noConversion"/>
  </si>
  <si>
    <t>2105</t>
    <phoneticPr fontId="6" type="noConversion"/>
  </si>
  <si>
    <t>1861</t>
    <phoneticPr fontId="6" type="noConversion"/>
  </si>
  <si>
    <t>1863</t>
    <phoneticPr fontId="6" type="noConversion"/>
  </si>
  <si>
    <t>1866</t>
    <phoneticPr fontId="6" type="noConversion"/>
  </si>
  <si>
    <t>2525</t>
    <phoneticPr fontId="6" type="noConversion"/>
  </si>
  <si>
    <t>2204</t>
    <phoneticPr fontId="6" type="noConversion"/>
  </si>
  <si>
    <t>1943</t>
    <phoneticPr fontId="6" type="noConversion"/>
  </si>
  <si>
    <t>2277</t>
    <phoneticPr fontId="6" type="noConversion"/>
  </si>
  <si>
    <t>1937</t>
    <phoneticPr fontId="6" type="noConversion"/>
  </si>
  <si>
    <t>1944</t>
    <phoneticPr fontId="6" type="noConversion"/>
  </si>
  <si>
    <t>1942</t>
    <phoneticPr fontId="6" type="noConversion"/>
  </si>
  <si>
    <t>2196</t>
    <phoneticPr fontId="6" type="noConversion"/>
  </si>
  <si>
    <t>2242</t>
    <phoneticPr fontId="6" type="noConversion"/>
  </si>
  <si>
    <t>1998</t>
    <phoneticPr fontId="6" type="noConversion"/>
  </si>
  <si>
    <t>1990</t>
    <phoneticPr fontId="6" type="noConversion"/>
  </si>
  <si>
    <t>2230</t>
    <phoneticPr fontId="6" type="noConversion"/>
  </si>
  <si>
    <t>2071</t>
    <phoneticPr fontId="6" type="noConversion"/>
  </si>
  <si>
    <t>2059</t>
    <phoneticPr fontId="6" type="noConversion"/>
  </si>
  <si>
    <t>2240</t>
    <phoneticPr fontId="6" type="noConversion"/>
  </si>
  <si>
    <t>2067</t>
    <phoneticPr fontId="6" type="noConversion"/>
  </si>
  <si>
    <t>2064</t>
    <phoneticPr fontId="6" type="noConversion"/>
  </si>
  <si>
    <t>2266</t>
    <phoneticPr fontId="6" type="noConversion"/>
  </si>
  <si>
    <t>1991</t>
    <phoneticPr fontId="6" type="noConversion"/>
  </si>
  <si>
    <t>2271</t>
    <phoneticPr fontId="6" type="noConversion"/>
  </si>
  <si>
    <t>2267</t>
    <phoneticPr fontId="6" type="noConversion"/>
  </si>
  <si>
    <t>2011</t>
    <phoneticPr fontId="6" type="noConversion"/>
  </si>
  <si>
    <t>2021</t>
    <phoneticPr fontId="6" type="noConversion"/>
  </si>
  <si>
    <t>2013</t>
    <phoneticPr fontId="6" type="noConversion"/>
  </si>
  <si>
    <t>2264</t>
    <phoneticPr fontId="6" type="noConversion"/>
  </si>
  <si>
    <t>2402</t>
    <phoneticPr fontId="6" type="noConversion"/>
  </si>
  <si>
    <t>2292</t>
    <phoneticPr fontId="6" type="noConversion"/>
  </si>
  <si>
    <t>2550</t>
    <phoneticPr fontId="6" type="noConversion"/>
  </si>
  <si>
    <t>2667</t>
    <phoneticPr fontId="6" type="noConversion"/>
  </si>
  <si>
    <t>2459</t>
    <phoneticPr fontId="6" type="noConversion"/>
  </si>
  <si>
    <t>2246</t>
    <phoneticPr fontId="6" type="noConversion"/>
  </si>
  <si>
    <t>1820</t>
    <phoneticPr fontId="6" type="noConversion"/>
  </si>
  <si>
    <t>2065</t>
    <phoneticPr fontId="6" type="noConversion"/>
  </si>
  <si>
    <t>2546</t>
    <phoneticPr fontId="6" type="noConversion"/>
  </si>
  <si>
    <t>0496</t>
    <phoneticPr fontId="6" type="noConversion"/>
  </si>
  <si>
    <t>2222</t>
    <phoneticPr fontId="6" type="noConversion"/>
  </si>
  <si>
    <t>2051</t>
    <phoneticPr fontId="6" type="noConversion"/>
  </si>
  <si>
    <t>2232</t>
    <phoneticPr fontId="6" type="noConversion"/>
  </si>
  <si>
    <t>2052</t>
    <phoneticPr fontId="6" type="noConversion"/>
  </si>
  <si>
    <t>1970</t>
    <phoneticPr fontId="6" type="noConversion"/>
  </si>
  <si>
    <t>2224</t>
    <phoneticPr fontId="6" type="noConversion"/>
  </si>
  <si>
    <t>1981</t>
    <phoneticPr fontId="6" type="noConversion"/>
  </si>
  <si>
    <t>2226</t>
    <phoneticPr fontId="6" type="noConversion"/>
  </si>
  <si>
    <t>2620</t>
    <phoneticPr fontId="6" type="noConversion"/>
  </si>
  <si>
    <t>2373</t>
    <phoneticPr fontId="6" type="noConversion"/>
  </si>
  <si>
    <t>1973</t>
    <phoneticPr fontId="6" type="noConversion"/>
  </si>
  <si>
    <t>2054</t>
    <phoneticPr fontId="6" type="noConversion"/>
  </si>
  <si>
    <t>2556</t>
    <phoneticPr fontId="6" type="noConversion"/>
  </si>
  <si>
    <t>2367</t>
    <phoneticPr fontId="6" type="noConversion"/>
  </si>
  <si>
    <t>2558</t>
    <phoneticPr fontId="6" type="noConversion"/>
  </si>
  <si>
    <t>2437</t>
    <phoneticPr fontId="6" type="noConversion"/>
  </si>
  <si>
    <t>2553</t>
    <phoneticPr fontId="6" type="noConversion"/>
  </si>
  <si>
    <t>2562</t>
    <phoneticPr fontId="6" type="noConversion"/>
  </si>
  <si>
    <t>2559</t>
    <phoneticPr fontId="6" type="noConversion"/>
  </si>
  <si>
    <t>2557</t>
    <phoneticPr fontId="6" type="noConversion"/>
  </si>
  <si>
    <t>2158</t>
    <phoneticPr fontId="6" type="noConversion"/>
  </si>
  <si>
    <t>1909</t>
    <phoneticPr fontId="6" type="noConversion"/>
  </si>
  <si>
    <t>1888</t>
    <phoneticPr fontId="6" type="noConversion"/>
  </si>
  <si>
    <t>1920</t>
    <phoneticPr fontId="6" type="noConversion"/>
  </si>
  <si>
    <t>2156</t>
    <phoneticPr fontId="6" type="noConversion"/>
  </si>
  <si>
    <t>1907</t>
    <phoneticPr fontId="6" type="noConversion"/>
  </si>
  <si>
    <t>2161</t>
    <phoneticPr fontId="6" type="noConversion"/>
  </si>
  <si>
    <t>2254</t>
    <phoneticPr fontId="6" type="noConversion"/>
  </si>
  <si>
    <t>2008</t>
    <phoneticPr fontId="6" type="noConversion"/>
  </si>
  <si>
    <t>2263</t>
    <phoneticPr fontId="6" type="noConversion"/>
  </si>
  <si>
    <t>2256</t>
    <phoneticPr fontId="6" type="noConversion"/>
  </si>
  <si>
    <t>2280</t>
    <phoneticPr fontId="6" type="noConversion"/>
  </si>
  <si>
    <t>1959</t>
    <phoneticPr fontId="6" type="noConversion"/>
  </si>
  <si>
    <t>2214</t>
    <phoneticPr fontId="6" type="noConversion"/>
  </si>
  <si>
    <t>2034</t>
    <phoneticPr fontId="6" type="noConversion"/>
  </si>
  <si>
    <t>2279</t>
    <phoneticPr fontId="6" type="noConversion"/>
  </si>
  <si>
    <t>1961</t>
    <phoneticPr fontId="6" type="noConversion"/>
  </si>
  <si>
    <t>1956</t>
    <phoneticPr fontId="6" type="noConversion"/>
  </si>
  <si>
    <t>1955</t>
    <phoneticPr fontId="6" type="noConversion"/>
  </si>
  <si>
    <t>1962</t>
    <phoneticPr fontId="6" type="noConversion"/>
  </si>
  <si>
    <t>2154</t>
    <phoneticPr fontId="6" type="noConversion"/>
  </si>
  <si>
    <t>1905</t>
    <phoneticPr fontId="6" type="noConversion"/>
  </si>
  <si>
    <t>1890</t>
    <phoneticPr fontId="6" type="noConversion"/>
  </si>
  <si>
    <t>1898</t>
    <phoneticPr fontId="6" type="noConversion"/>
  </si>
  <si>
    <t>2145</t>
    <phoneticPr fontId="6" type="noConversion"/>
  </si>
  <si>
    <t>2153</t>
    <phoneticPr fontId="6" type="noConversion"/>
  </si>
  <si>
    <t>2148</t>
    <phoneticPr fontId="6" type="noConversion"/>
  </si>
  <si>
    <t>1936</t>
    <phoneticPr fontId="6" type="noConversion"/>
  </si>
  <si>
    <t>2155</t>
    <phoneticPr fontId="6" type="noConversion"/>
  </si>
  <si>
    <t>2358</t>
    <phoneticPr fontId="6" type="noConversion"/>
  </si>
  <si>
    <t>2632</t>
    <phoneticPr fontId="6" type="noConversion"/>
  </si>
  <si>
    <t>2552</t>
    <phoneticPr fontId="6" type="noConversion"/>
  </si>
  <si>
    <t>2361</t>
    <phoneticPr fontId="6" type="noConversion"/>
  </si>
  <si>
    <t>1913</t>
    <phoneticPr fontId="6" type="noConversion"/>
  </si>
  <si>
    <t>2461</t>
    <phoneticPr fontId="6" type="noConversion"/>
  </si>
  <si>
    <t>2638</t>
    <phoneticPr fontId="6" type="noConversion"/>
  </si>
  <si>
    <t>2665</t>
    <phoneticPr fontId="6" type="noConversion"/>
  </si>
  <si>
    <t>2477</t>
    <phoneticPr fontId="6" type="noConversion"/>
  </si>
  <si>
    <t>2662</t>
    <phoneticPr fontId="6" type="noConversion"/>
  </si>
  <si>
    <t>2664</t>
    <phoneticPr fontId="6" type="noConversion"/>
  </si>
  <si>
    <t>2478</t>
    <phoneticPr fontId="6" type="noConversion"/>
  </si>
  <si>
    <t>2669</t>
    <phoneticPr fontId="6" type="noConversion"/>
  </si>
  <si>
    <t>2674</t>
    <phoneticPr fontId="6" type="noConversion"/>
  </si>
  <si>
    <t>2631</t>
    <phoneticPr fontId="6" type="noConversion"/>
  </si>
  <si>
    <t>2670</t>
    <phoneticPr fontId="6" type="noConversion"/>
  </si>
  <si>
    <t>2549</t>
    <phoneticPr fontId="6" type="noConversion"/>
  </si>
  <si>
    <t>2364</t>
    <phoneticPr fontId="6" type="noConversion"/>
  </si>
  <si>
    <t>2668</t>
    <phoneticPr fontId="6" type="noConversion"/>
  </si>
  <si>
    <t>2642</t>
    <phoneticPr fontId="6" type="noConversion"/>
  </si>
  <si>
    <t>2548</t>
    <phoneticPr fontId="6" type="noConversion"/>
  </si>
  <si>
    <t>2353</t>
    <phoneticPr fontId="6" type="noConversion"/>
  </si>
  <si>
    <t>2543</t>
    <phoneticPr fontId="6" type="noConversion"/>
  </si>
  <si>
    <t>2545</t>
    <phoneticPr fontId="6" type="noConversion"/>
  </si>
  <si>
    <t>2015</t>
    <phoneticPr fontId="6" type="noConversion"/>
  </si>
  <si>
    <t>2025</t>
    <phoneticPr fontId="6" type="noConversion"/>
  </si>
  <si>
    <t>2016</t>
    <phoneticPr fontId="6" type="noConversion"/>
  </si>
  <si>
    <t>2265</t>
    <phoneticPr fontId="6" type="noConversion"/>
  </si>
  <si>
    <t>2261</t>
    <phoneticPr fontId="6" type="noConversion"/>
  </si>
  <si>
    <t>2017</t>
    <phoneticPr fontId="6" type="noConversion"/>
  </si>
  <si>
    <t>2129</t>
    <phoneticPr fontId="6" type="noConversion"/>
  </si>
  <si>
    <t>1912</t>
    <phoneticPr fontId="6" type="noConversion"/>
  </si>
  <si>
    <t>2159</t>
    <phoneticPr fontId="6" type="noConversion"/>
  </si>
  <si>
    <t>2138</t>
    <phoneticPr fontId="6" type="noConversion"/>
  </si>
  <si>
    <t>1917</t>
    <phoneticPr fontId="6" type="noConversion"/>
  </si>
  <si>
    <t>2127</t>
    <phoneticPr fontId="6" type="noConversion"/>
  </si>
  <si>
    <t>2166</t>
    <phoneticPr fontId="6" type="noConversion"/>
  </si>
  <si>
    <t>2068</t>
    <phoneticPr fontId="6" type="noConversion"/>
  </si>
  <si>
    <t>1873</t>
    <phoneticPr fontId="6" type="noConversion"/>
  </si>
  <si>
    <t>2126</t>
    <phoneticPr fontId="6" type="noConversion"/>
  </si>
  <si>
    <t>2114</t>
    <phoneticPr fontId="6" type="noConversion"/>
  </si>
  <si>
    <t>1883</t>
    <phoneticPr fontId="6" type="noConversion"/>
  </si>
  <si>
    <t>1880</t>
    <phoneticPr fontId="6" type="noConversion"/>
  </si>
  <si>
    <t>2122</t>
    <phoneticPr fontId="6" type="noConversion"/>
  </si>
  <si>
    <t>2110</t>
    <phoneticPr fontId="6" type="noConversion"/>
  </si>
  <si>
    <t>2200</t>
    <phoneticPr fontId="6" type="noConversion"/>
  </si>
  <si>
    <t>2325</t>
    <phoneticPr fontId="6" type="noConversion"/>
  </si>
  <si>
    <t>2587</t>
    <phoneticPr fontId="6" type="noConversion"/>
  </si>
  <si>
    <t>2524</t>
    <phoneticPr fontId="6" type="noConversion"/>
  </si>
  <si>
    <t>2058</t>
    <phoneticPr fontId="6" type="noConversion"/>
  </si>
  <si>
    <t>2024</t>
    <phoneticPr fontId="6" type="noConversion"/>
  </si>
  <si>
    <t>2315</t>
    <phoneticPr fontId="6" type="noConversion"/>
  </si>
  <si>
    <t>2037</t>
    <phoneticPr fontId="6" type="noConversion"/>
  </si>
  <si>
    <t>2091</t>
    <phoneticPr fontId="6" type="noConversion"/>
  </si>
  <si>
    <t>1865</t>
    <phoneticPr fontId="6" type="noConversion"/>
  </si>
  <si>
    <t>2503</t>
    <phoneticPr fontId="6" type="noConversion"/>
  </si>
  <si>
    <t>2498</t>
    <phoneticPr fontId="6" type="noConversion"/>
  </si>
  <si>
    <t>2053</t>
    <phoneticPr fontId="6" type="noConversion"/>
  </si>
  <si>
    <t>2302</t>
    <phoneticPr fontId="6" type="noConversion"/>
  </si>
  <si>
    <t>2510</t>
    <phoneticPr fontId="6" type="noConversion"/>
  </si>
  <si>
    <t>2311</t>
    <phoneticPr fontId="6" type="noConversion"/>
  </si>
  <si>
    <t>2649</t>
    <phoneticPr fontId="6" type="noConversion"/>
  </si>
  <si>
    <t>1914</t>
    <phoneticPr fontId="6" type="noConversion"/>
  </si>
  <si>
    <t>2319</t>
    <phoneticPr fontId="6" type="noConversion"/>
  </si>
  <si>
    <t>1851</t>
    <phoneticPr fontId="6" type="noConversion"/>
  </si>
  <si>
    <t>2636</t>
    <phoneticPr fontId="6" type="noConversion"/>
  </si>
  <si>
    <t>1831</t>
    <phoneticPr fontId="6" type="noConversion"/>
  </si>
  <si>
    <t>2452</t>
    <phoneticPr fontId="6" type="noConversion"/>
  </si>
  <si>
    <t>2321</t>
    <phoneticPr fontId="6" type="noConversion"/>
  </si>
  <si>
    <t>2454</t>
    <phoneticPr fontId="6" type="noConversion"/>
  </si>
  <si>
    <t>2467</t>
    <phoneticPr fontId="6" type="noConversion"/>
  </si>
  <si>
    <t>2455</t>
    <phoneticPr fontId="6" type="noConversion"/>
  </si>
  <si>
    <t>2074</t>
    <phoneticPr fontId="6" type="noConversion"/>
  </si>
  <si>
    <t>2326</t>
    <phoneticPr fontId="6" type="noConversion"/>
  </si>
  <si>
    <t>2301</t>
    <phoneticPr fontId="6" type="noConversion"/>
  </si>
  <si>
    <t>2084</t>
    <phoneticPr fontId="6" type="noConversion"/>
  </si>
  <si>
    <t>2425</t>
    <phoneticPr fontId="6" type="noConversion"/>
  </si>
  <si>
    <t>2436</t>
    <phoneticPr fontId="6" type="noConversion"/>
  </si>
  <si>
    <t>2393</t>
    <phoneticPr fontId="6" type="noConversion"/>
  </si>
  <si>
    <t>2375</t>
    <phoneticPr fontId="6" type="noConversion"/>
  </si>
  <si>
    <t>2368</t>
    <phoneticPr fontId="6" type="noConversion"/>
  </si>
  <si>
    <t>2300</t>
    <phoneticPr fontId="6" type="noConversion"/>
  </si>
  <si>
    <t>2502</t>
    <phoneticPr fontId="6" type="noConversion"/>
  </si>
  <si>
    <t>2492</t>
    <phoneticPr fontId="6" type="noConversion"/>
  </si>
  <si>
    <t>2092</t>
    <phoneticPr fontId="6" type="noConversion"/>
  </si>
  <si>
    <t>2086</t>
    <phoneticPr fontId="6" type="noConversion"/>
  </si>
  <si>
    <t>2415</t>
    <phoneticPr fontId="6" type="noConversion"/>
  </si>
  <si>
    <t>2414</t>
    <phoneticPr fontId="6" type="noConversion"/>
  </si>
  <si>
    <t>2611</t>
    <phoneticPr fontId="6" type="noConversion"/>
  </si>
  <si>
    <t>2440</t>
    <phoneticPr fontId="6" type="noConversion"/>
  </si>
  <si>
    <t>2384</t>
    <phoneticPr fontId="6" type="noConversion"/>
  </si>
  <si>
    <t>2386</t>
    <phoneticPr fontId="6" type="noConversion"/>
  </si>
  <si>
    <t>2293</t>
    <phoneticPr fontId="6" type="noConversion"/>
  </si>
  <si>
    <t>2383</t>
    <phoneticPr fontId="6" type="noConversion"/>
  </si>
  <si>
    <t>2366</t>
    <phoneticPr fontId="6" type="noConversion"/>
  </si>
  <si>
    <t>2307</t>
    <phoneticPr fontId="6" type="noConversion"/>
  </si>
  <si>
    <t>2568</t>
    <phoneticPr fontId="6" type="noConversion"/>
  </si>
  <si>
    <t>2497</t>
    <phoneticPr fontId="6" type="noConversion"/>
  </si>
  <si>
    <t>2435</t>
    <phoneticPr fontId="6" type="noConversion"/>
  </si>
  <si>
    <t>2596</t>
    <phoneticPr fontId="6" type="noConversion"/>
  </si>
  <si>
    <t>2372</t>
    <phoneticPr fontId="6" type="noConversion"/>
  </si>
  <si>
    <t>2496</t>
    <phoneticPr fontId="6" type="noConversion"/>
  </si>
  <si>
    <t>1887</t>
    <phoneticPr fontId="6" type="noConversion"/>
  </si>
  <si>
    <t>2515</t>
    <phoneticPr fontId="6" type="noConversion"/>
  </si>
  <si>
    <t>2618</t>
    <phoneticPr fontId="6" type="noConversion"/>
  </si>
  <si>
    <t>2613</t>
    <phoneticPr fontId="6" type="noConversion"/>
  </si>
  <si>
    <t>2572</t>
    <phoneticPr fontId="6" type="noConversion"/>
  </si>
  <si>
    <t>2495</t>
    <phoneticPr fontId="6" type="noConversion"/>
  </si>
  <si>
    <t>2493</t>
    <phoneticPr fontId="6" type="noConversion"/>
  </si>
  <si>
    <t>2432</t>
    <phoneticPr fontId="6" type="noConversion"/>
  </si>
  <si>
    <t>2413</t>
    <phoneticPr fontId="6" type="noConversion"/>
  </si>
  <si>
    <t>1900</t>
    <phoneticPr fontId="6" type="noConversion"/>
  </si>
  <si>
    <t>1902</t>
    <phoneticPr fontId="6" type="noConversion"/>
  </si>
  <si>
    <t>2417</t>
    <phoneticPr fontId="6" type="noConversion"/>
  </si>
  <si>
    <t>2330</t>
    <phoneticPr fontId="6" type="noConversion"/>
  </si>
  <si>
    <t>2140</t>
    <phoneticPr fontId="6" type="noConversion"/>
  </si>
  <si>
    <t>1891</t>
    <phoneticPr fontId="6" type="noConversion"/>
  </si>
  <si>
    <t>1903</t>
    <phoneticPr fontId="6" type="noConversion"/>
  </si>
  <si>
    <t>2409</t>
  </si>
  <si>
    <t>1896</t>
    <phoneticPr fontId="6" type="noConversion"/>
  </si>
  <si>
    <t>2146</t>
    <phoneticPr fontId="6" type="noConversion"/>
  </si>
  <si>
    <t>2177</t>
    <phoneticPr fontId="6" type="noConversion"/>
  </si>
  <si>
    <t>1894</t>
    <phoneticPr fontId="6" type="noConversion"/>
  </si>
  <si>
    <t>1927</t>
    <phoneticPr fontId="6" type="noConversion"/>
  </si>
  <si>
    <t>1935</t>
    <phoneticPr fontId="6" type="noConversion"/>
  </si>
  <si>
    <t>1940</t>
    <phoneticPr fontId="6" type="noConversion"/>
  </si>
  <si>
    <t>1804</t>
    <phoneticPr fontId="6" type="noConversion"/>
  </si>
  <si>
    <t>2041</t>
    <phoneticPr fontId="6" type="noConversion"/>
  </si>
  <si>
    <t>2275</t>
    <phoneticPr fontId="6" type="noConversion"/>
  </si>
  <si>
    <t>1805</t>
    <phoneticPr fontId="6" type="noConversion"/>
  </si>
  <si>
    <t>2290</t>
    <phoneticPr fontId="6" type="noConversion"/>
  </si>
  <si>
    <t>2262</t>
    <phoneticPr fontId="6" type="noConversion"/>
  </si>
  <si>
    <t>2007</t>
    <phoneticPr fontId="6" type="noConversion"/>
  </si>
  <si>
    <t>2006</t>
    <phoneticPr fontId="6" type="noConversion"/>
  </si>
  <si>
    <t>1926</t>
    <phoneticPr fontId="6" type="noConversion"/>
  </si>
  <si>
    <t>1924</t>
    <phoneticPr fontId="6" type="noConversion"/>
  </si>
  <si>
    <t>2143</t>
    <phoneticPr fontId="6" type="noConversion"/>
  </si>
  <si>
    <t>2142</t>
    <phoneticPr fontId="6" type="noConversion"/>
  </si>
  <si>
    <t>2144</t>
    <phoneticPr fontId="6" type="noConversion"/>
  </si>
  <si>
    <t>2179</t>
    <phoneticPr fontId="6" type="noConversion"/>
  </si>
  <si>
    <t>2175</t>
    <phoneticPr fontId="6" type="noConversion"/>
  </si>
  <si>
    <t>2173</t>
    <phoneticPr fontId="6" type="noConversion"/>
  </si>
  <si>
    <t>2036</t>
    <phoneticPr fontId="6" type="noConversion"/>
  </si>
  <si>
    <t>2283</t>
    <phoneticPr fontId="6" type="noConversion"/>
  </si>
  <si>
    <t>2272</t>
    <phoneticPr fontId="6" type="noConversion"/>
  </si>
  <si>
    <t>2285</t>
    <phoneticPr fontId="6" type="noConversion"/>
  </si>
  <si>
    <t>2056</t>
    <phoneticPr fontId="6" type="noConversion"/>
  </si>
  <si>
    <t>2221</t>
    <phoneticPr fontId="6" type="noConversion"/>
  </si>
  <si>
    <t>2289</t>
    <phoneticPr fontId="6" type="noConversion"/>
  </si>
  <si>
    <t>2287</t>
    <phoneticPr fontId="6" type="noConversion"/>
  </si>
  <si>
    <t>2057</t>
    <phoneticPr fontId="6" type="noConversion"/>
  </si>
  <si>
    <t>2270</t>
    <phoneticPr fontId="6" type="noConversion"/>
  </si>
  <si>
    <t>2633</t>
    <phoneticPr fontId="6" type="noConversion"/>
  </si>
  <si>
    <t>2482</t>
    <phoneticPr fontId="6" type="noConversion"/>
  </si>
  <si>
    <t>2481</t>
    <phoneticPr fontId="6" type="noConversion"/>
  </si>
  <si>
    <t>2663</t>
    <phoneticPr fontId="6" type="noConversion"/>
  </si>
  <si>
    <t>2672</t>
    <phoneticPr fontId="6" type="noConversion"/>
  </si>
  <si>
    <t>2479</t>
    <phoneticPr fontId="6" type="noConversion"/>
  </si>
  <si>
    <t>2451</t>
    <phoneticPr fontId="6" type="noConversion"/>
  </si>
  <si>
    <t>2464</t>
    <phoneticPr fontId="6" type="noConversion"/>
  </si>
  <si>
    <t>1826</t>
    <phoneticPr fontId="6" type="noConversion"/>
  </si>
  <si>
    <t>1874</t>
    <phoneticPr fontId="6" type="noConversion"/>
  </si>
  <si>
    <t>1987</t>
    <phoneticPr fontId="6" type="noConversion"/>
  </si>
  <si>
    <t>2239</t>
    <phoneticPr fontId="6" type="noConversion"/>
  </si>
  <si>
    <t>2243</t>
    <phoneticPr fontId="6" type="noConversion"/>
  </si>
  <si>
    <t>1995</t>
    <phoneticPr fontId="6" type="noConversion"/>
  </si>
  <si>
    <t>2237</t>
    <phoneticPr fontId="6" type="noConversion"/>
  </si>
  <si>
    <t>1827</t>
    <phoneticPr fontId="6" type="noConversion"/>
  </si>
  <si>
    <t>1977</t>
    <phoneticPr fontId="6" type="noConversion"/>
  </si>
  <si>
    <t>1979</t>
    <phoneticPr fontId="6" type="noConversion"/>
  </si>
  <si>
    <t>1980</t>
    <phoneticPr fontId="6" type="noConversion"/>
  </si>
  <si>
    <t>1986</t>
    <phoneticPr fontId="6" type="noConversion"/>
  </si>
  <si>
    <t>2462</t>
    <phoneticPr fontId="6" type="noConversion"/>
  </si>
  <si>
    <t>2447</t>
    <phoneticPr fontId="6" type="noConversion"/>
  </si>
  <si>
    <t>2465</t>
    <phoneticPr fontId="6" type="noConversion"/>
  </si>
  <si>
    <t>2634</t>
    <phoneticPr fontId="6" type="noConversion"/>
  </si>
  <si>
    <t>1975</t>
    <phoneticPr fontId="6" type="noConversion"/>
  </si>
  <si>
    <t>1972</t>
    <phoneticPr fontId="6" type="noConversion"/>
  </si>
  <si>
    <t>2227</t>
    <phoneticPr fontId="6" type="noConversion"/>
  </si>
  <si>
    <t>1983</t>
    <phoneticPr fontId="6" type="noConversion"/>
  </si>
  <si>
    <t>1984</t>
    <phoneticPr fontId="6" type="noConversion"/>
  </si>
  <si>
    <t>2235</t>
    <phoneticPr fontId="6" type="noConversion"/>
  </si>
  <si>
    <t>2233</t>
    <phoneticPr fontId="6" type="noConversion"/>
  </si>
  <si>
    <t>2251</t>
    <phoneticPr fontId="6" type="noConversion"/>
  </si>
  <si>
    <t>1871</t>
    <phoneticPr fontId="6" type="noConversion"/>
  </si>
  <si>
    <t>1879</t>
    <phoneticPr fontId="6" type="noConversion"/>
  </si>
  <si>
    <t>1982</t>
    <phoneticPr fontId="6" type="noConversion"/>
  </si>
  <si>
    <t>1978</t>
    <phoneticPr fontId="6" type="noConversion"/>
  </si>
  <si>
    <t>2118</t>
    <phoneticPr fontId="6" type="noConversion"/>
  </si>
  <si>
    <t>1877</t>
    <phoneticPr fontId="6" type="noConversion"/>
  </si>
  <si>
    <t>2116</t>
    <phoneticPr fontId="6" type="noConversion"/>
  </si>
  <si>
    <t>1823</t>
    <phoneticPr fontId="6" type="noConversion"/>
  </si>
  <si>
    <t>1876</t>
    <phoneticPr fontId="6" type="noConversion"/>
  </si>
  <si>
    <t>2112</t>
    <phoneticPr fontId="6" type="noConversion"/>
  </si>
  <si>
    <t>2117</t>
    <phoneticPr fontId="6" type="noConversion"/>
  </si>
  <si>
    <t>1881</t>
    <phoneticPr fontId="6" type="noConversion"/>
  </si>
  <si>
    <t>2577</t>
    <phoneticPr fontId="6" type="noConversion"/>
  </si>
  <si>
    <t>2555</t>
    <phoneticPr fontId="6" type="noConversion"/>
  </si>
  <si>
    <t>2512</t>
    <phoneticPr fontId="6" type="noConversion"/>
  </si>
  <si>
    <t>2431</t>
    <phoneticPr fontId="6" type="noConversion"/>
  </si>
  <si>
    <t>2433</t>
    <phoneticPr fontId="6" type="noConversion"/>
  </si>
  <si>
    <r>
      <t>102</t>
    </r>
    <r>
      <rPr>
        <sz val="11"/>
        <rFont val="宋体"/>
        <family val="2"/>
        <charset val="134"/>
      </rPr>
      <t>地下室</t>
    </r>
    <phoneticPr fontId="6" type="noConversion"/>
  </si>
  <si>
    <t>2335</t>
    <phoneticPr fontId="6" type="noConversion"/>
  </si>
  <si>
    <t>1884</t>
    <phoneticPr fontId="6" type="noConversion"/>
  </si>
  <si>
    <t>1870</t>
    <phoneticPr fontId="6" type="noConversion"/>
  </si>
  <si>
    <t>1886</t>
    <phoneticPr fontId="6" type="noConversion"/>
  </si>
  <si>
    <t>2573</t>
    <phoneticPr fontId="6" type="noConversion"/>
  </si>
  <si>
    <t>2445</t>
    <phoneticPr fontId="6" type="noConversion"/>
  </si>
  <si>
    <t>2630</t>
    <phoneticPr fontId="6" type="noConversion"/>
  </si>
  <si>
    <t>2457</t>
    <phoneticPr fontId="6" type="noConversion"/>
  </si>
  <si>
    <t>2446</t>
    <phoneticPr fontId="6" type="noConversion"/>
  </si>
  <si>
    <t>2077</t>
    <phoneticPr fontId="6" type="noConversion"/>
  </si>
  <si>
    <t>2657</t>
    <phoneticPr fontId="6" type="noConversion"/>
  </si>
  <si>
    <t>2499</t>
    <phoneticPr fontId="6" type="noConversion"/>
  </si>
  <si>
    <t>2607</t>
    <phoneticPr fontId="6" type="noConversion"/>
  </si>
  <si>
    <t>2506</t>
    <phoneticPr fontId="6" type="noConversion"/>
  </si>
  <si>
    <t>2309</t>
    <phoneticPr fontId="6" type="noConversion"/>
  </si>
  <si>
    <t>2593</t>
    <phoneticPr fontId="6" type="noConversion"/>
  </si>
  <si>
    <t>2511</t>
    <phoneticPr fontId="6" type="noConversion"/>
  </si>
  <si>
    <t>2310</t>
    <phoneticPr fontId="6" type="noConversion"/>
  </si>
  <si>
    <t>1839</t>
    <phoneticPr fontId="6" type="noConversion"/>
  </si>
  <si>
    <t>2491</t>
    <phoneticPr fontId="6" type="noConversion"/>
  </si>
  <si>
    <t>2012</t>
    <phoneticPr fontId="6" type="noConversion"/>
  </si>
  <si>
    <t>2253</t>
    <phoneticPr fontId="6" type="noConversion"/>
  </si>
  <si>
    <t>2004</t>
    <phoneticPr fontId="6" type="noConversion"/>
  </si>
  <si>
    <t>2276</t>
    <phoneticPr fontId="6" type="noConversion"/>
  </si>
  <si>
    <t>2281</t>
    <phoneticPr fontId="6" type="noConversion"/>
  </si>
  <si>
    <t>2002</t>
    <phoneticPr fontId="6" type="noConversion"/>
  </si>
  <si>
    <t>2026</t>
    <phoneticPr fontId="6" type="noConversion"/>
  </si>
  <si>
    <t>2252</t>
    <phoneticPr fontId="6" type="noConversion"/>
  </si>
  <si>
    <t>1893</t>
    <phoneticPr fontId="6" type="noConversion"/>
  </si>
  <si>
    <t>1925</t>
    <phoneticPr fontId="6" type="noConversion"/>
  </si>
  <si>
    <t>2566</t>
    <phoneticPr fontId="6" type="noConversion"/>
  </si>
  <si>
    <t>2406</t>
    <phoneticPr fontId="6" type="noConversion"/>
  </si>
  <si>
    <t>2342</t>
    <phoneticPr fontId="6" type="noConversion"/>
  </si>
  <si>
    <t>2357</t>
    <phoneticPr fontId="6" type="noConversion"/>
  </si>
  <si>
    <t>2541</t>
    <phoneticPr fontId="6" type="noConversion"/>
  </si>
  <si>
    <t>2363</t>
    <phoneticPr fontId="6" type="noConversion"/>
  </si>
  <si>
    <t>2544</t>
    <phoneticPr fontId="6" type="noConversion"/>
  </si>
  <si>
    <t>2581</t>
    <phoneticPr fontId="6" type="noConversion"/>
  </si>
  <si>
    <t>2360</t>
    <phoneticPr fontId="6" type="noConversion"/>
  </si>
  <si>
    <t>2534</t>
    <phoneticPr fontId="6" type="noConversion"/>
  </si>
  <si>
    <t>2050</t>
    <phoneticPr fontId="6" type="noConversion"/>
  </si>
  <si>
    <t>2044</t>
    <phoneticPr fontId="6" type="noConversion"/>
  </si>
  <si>
    <t>2049</t>
    <phoneticPr fontId="6" type="noConversion"/>
  </si>
  <si>
    <t>2047</t>
    <phoneticPr fontId="6" type="noConversion"/>
  </si>
  <si>
    <t>2046</t>
    <phoneticPr fontId="6" type="noConversion"/>
  </si>
  <si>
    <t>2345</t>
    <phoneticPr fontId="6" type="noConversion"/>
  </si>
  <si>
    <t>2045</t>
    <phoneticPr fontId="6" type="noConversion"/>
  </si>
  <si>
    <t>2295</t>
    <phoneticPr fontId="6" type="noConversion"/>
  </si>
  <si>
    <t>2533</t>
    <phoneticPr fontId="6" type="noConversion"/>
  </si>
  <si>
    <t>2333</t>
    <phoneticPr fontId="6" type="noConversion"/>
  </si>
  <si>
    <t>2023</t>
    <phoneticPr fontId="6" type="noConversion"/>
  </si>
  <si>
    <t>2339</t>
    <phoneticPr fontId="6" type="noConversion"/>
  </si>
  <si>
    <t>1895</t>
    <phoneticPr fontId="6" type="noConversion"/>
  </si>
  <si>
    <t>1934</t>
    <phoneticPr fontId="6" type="noConversion"/>
  </si>
  <si>
    <t>1892</t>
    <phoneticPr fontId="6" type="noConversion"/>
  </si>
  <si>
    <t>2150</t>
    <phoneticPr fontId="6" type="noConversion"/>
  </si>
  <si>
    <t>1930</t>
    <phoneticPr fontId="6" type="noConversion"/>
  </si>
  <si>
    <t>1904</t>
    <phoneticPr fontId="6" type="noConversion"/>
  </si>
  <si>
    <t>2169</t>
    <phoneticPr fontId="6" type="noConversion"/>
  </si>
  <si>
    <t>2137</t>
    <phoneticPr fontId="6" type="noConversion"/>
  </si>
  <si>
    <t>2130</t>
    <phoneticPr fontId="6" type="noConversion"/>
  </si>
  <si>
    <t>2135</t>
    <phoneticPr fontId="6" type="noConversion"/>
  </si>
  <si>
    <t>2163</t>
    <phoneticPr fontId="6" type="noConversion"/>
  </si>
  <si>
    <t>1918</t>
    <phoneticPr fontId="6" type="noConversion"/>
  </si>
  <si>
    <t>2168</t>
    <phoneticPr fontId="6" type="noConversion"/>
  </si>
  <si>
    <t>2128</t>
    <phoneticPr fontId="6" type="noConversion"/>
  </si>
  <si>
    <t>2313</t>
    <phoneticPr fontId="6" type="noConversion"/>
  </si>
  <si>
    <t>1836</t>
    <phoneticPr fontId="6" type="noConversion"/>
  </si>
  <si>
    <t>1921</t>
    <phoneticPr fontId="6" type="noConversion"/>
  </si>
  <si>
    <t>2132</t>
    <phoneticPr fontId="6" type="noConversion"/>
  </si>
  <si>
    <t>2316</t>
    <phoneticPr fontId="6" type="noConversion"/>
  </si>
  <si>
    <t>2488</t>
    <phoneticPr fontId="6" type="noConversion"/>
  </si>
  <si>
    <t>2576</t>
    <phoneticPr fontId="6" type="noConversion"/>
  </si>
  <si>
    <t>2504</t>
    <phoneticPr fontId="6" type="noConversion"/>
  </si>
  <si>
    <t>2601</t>
    <phoneticPr fontId="6" type="noConversion"/>
  </si>
  <si>
    <t>2412</t>
    <phoneticPr fontId="6" type="noConversion"/>
  </si>
  <si>
    <t>2420</t>
    <phoneticPr fontId="6" type="noConversion"/>
  </si>
  <si>
    <t>2312</t>
    <phoneticPr fontId="6" type="noConversion"/>
  </si>
  <si>
    <t>1985</t>
    <phoneticPr fontId="6" type="noConversion"/>
  </si>
  <si>
    <t>1875</t>
    <phoneticPr fontId="6" type="noConversion"/>
  </si>
  <si>
    <t>2231</t>
    <phoneticPr fontId="6" type="noConversion"/>
  </si>
  <si>
    <t>1821</t>
    <phoneticPr fontId="6" type="noConversion"/>
  </si>
  <si>
    <t>1993</t>
    <phoneticPr fontId="6" type="noConversion"/>
  </si>
  <si>
    <t>2238</t>
    <phoneticPr fontId="6" type="noConversion"/>
  </si>
  <si>
    <t>2236</t>
    <phoneticPr fontId="6" type="noConversion"/>
  </si>
  <si>
    <t>1992</t>
    <phoneticPr fontId="6" type="noConversion"/>
  </si>
  <si>
    <t>2294</t>
    <phoneticPr fontId="6" type="noConversion"/>
  </si>
  <si>
    <t>2298</t>
    <phoneticPr fontId="6" type="noConversion"/>
  </si>
  <si>
    <t>1988</t>
    <phoneticPr fontId="6" type="noConversion"/>
  </si>
  <si>
    <t>2063</t>
    <phoneticPr fontId="6" type="noConversion"/>
  </si>
  <si>
    <t>2378</t>
    <phoneticPr fontId="6" type="noConversion"/>
  </si>
  <si>
    <t>2374</t>
    <phoneticPr fontId="6" type="noConversion"/>
  </si>
  <si>
    <t>1868</t>
    <phoneticPr fontId="6" type="noConversion"/>
  </si>
  <si>
    <t>2637</t>
    <phoneticPr fontId="6" type="noConversion"/>
  </si>
  <si>
    <t>2659</t>
    <phoneticPr fontId="6" type="noConversion"/>
  </si>
  <si>
    <t>2468</t>
    <phoneticPr fontId="6" type="noConversion"/>
  </si>
  <si>
    <t>2291</t>
    <phoneticPr fontId="6" type="noConversion"/>
  </si>
  <si>
    <t>2392</t>
    <phoneticPr fontId="6" type="noConversion"/>
  </si>
  <si>
    <t>2651</t>
    <phoneticPr fontId="6" type="noConversion"/>
  </si>
  <si>
    <t>2589</t>
    <phoneticPr fontId="6" type="noConversion"/>
  </si>
  <si>
    <t>2388</t>
    <phoneticPr fontId="6" type="noConversion"/>
  </si>
  <si>
    <t>2615</t>
    <phoneticPr fontId="6" type="noConversion"/>
  </si>
  <si>
    <t>2385</t>
    <phoneticPr fontId="6" type="noConversion"/>
  </si>
  <si>
    <t>2641</t>
    <phoneticPr fontId="6" type="noConversion"/>
  </si>
  <si>
    <t>1841</t>
    <phoneticPr fontId="6" type="noConversion"/>
  </si>
  <si>
    <t>2537</t>
    <phoneticPr fontId="6" type="noConversion"/>
  </si>
  <si>
    <t>2660</t>
    <phoneticPr fontId="6" type="noConversion"/>
  </si>
  <si>
    <t>2104</t>
    <phoneticPr fontId="6" type="noConversion"/>
  </si>
  <si>
    <t>2097</t>
    <phoneticPr fontId="6" type="noConversion"/>
  </si>
  <si>
    <t>2019</t>
    <phoneticPr fontId="6" type="noConversion"/>
  </si>
  <si>
    <t>2043</t>
    <phoneticPr fontId="6" type="noConversion"/>
  </si>
  <si>
    <t>2429</t>
    <phoneticPr fontId="6" type="noConversion"/>
  </si>
  <si>
    <t>2520</t>
    <phoneticPr fontId="6" type="noConversion"/>
  </si>
  <si>
    <t>2616</t>
    <phoneticPr fontId="6" type="noConversion"/>
  </si>
  <si>
    <t>2423</t>
    <phoneticPr fontId="6" type="noConversion"/>
  </si>
  <si>
    <t>2115</t>
    <phoneticPr fontId="6" type="noConversion"/>
  </si>
  <si>
    <t>1824</t>
    <phoneticPr fontId="6" type="noConversion"/>
  </si>
  <si>
    <t>2141</t>
    <phoneticPr fontId="6" type="noConversion"/>
  </si>
  <si>
    <t>1929</t>
    <phoneticPr fontId="6" type="noConversion"/>
  </si>
  <si>
    <t>2410</t>
  </si>
  <si>
    <t>1897</t>
    <phoneticPr fontId="6" type="noConversion"/>
  </si>
  <si>
    <t>2411</t>
  </si>
  <si>
    <t>2147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</si>
</sst>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宋体"/>
      <charset val="134"/>
      <scheme val="minor"/>
    </font>
    <font>
      <b/>
      <sz val="11"/>
      <color indexed="8"/>
      <name val="宋体"/>
      <charset val="134"/>
    </font>
    <font>
      <sz val="11"/>
      <name val="Calibri"/>
      <family val="2"/>
    </font>
    <font>
      <sz val="11"/>
      <name val="宋体"/>
      <charset val="134"/>
    </font>
    <font>
      <sz val="10.5"/>
      <color rgb="FF333333"/>
      <name val="Microsoft YaHei"/>
      <charset val="134"/>
    </font>
    <font>
      <b/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6"/>
      <color theme="1"/>
      <name val="宋体"/>
      <charset val="134"/>
      <scheme val="minor"/>
    </font>
    <font>
      <sz val="9"/>
      <name val="宋体"/>
      <charset val="134"/>
      <scheme val="minor"/>
    </font>
    <font>
      <sz val="16"/>
      <color theme="1"/>
      <name val="宋体"/>
      <charset val="134"/>
      <scheme val="major"/>
    </font>
    <font>
      <sz val="18"/>
      <color theme="1"/>
      <name val="宋体"/>
      <charset val="134"/>
      <scheme val="minor"/>
    </font>
    <font>
      <sz val="18"/>
      <color theme="1"/>
      <name val="宋体"/>
      <charset val="134"/>
      <scheme val="major"/>
    </font>
    <font>
      <sz val="18"/>
      <color theme="1"/>
      <name val="宋体"/>
      <family val="3"/>
      <charset val="134"/>
      <scheme val="minor"/>
    </font>
    <font>
      <sz val="11"/>
      <name val="宋体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7" borderId="0" xfId="0" quotePrefix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/>
    </xf>
    <xf numFmtId="0" fontId="9" fillId="6" borderId="1" xfId="1" applyFont="1" applyFill="1" applyBorder="1" applyAlignment="1">
      <alignment horizontal="center" vertical="center"/>
    </xf>
    <xf numFmtId="49" fontId="10" fillId="6" borderId="1" xfId="1" applyNumberFormat="1" applyFont="1" applyFill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0" fontId="7" fillId="5" borderId="1" xfId="1" applyFont="1" applyFill="1" applyBorder="1" applyAlignment="1">
      <alignment horizontal="center" vertical="center"/>
    </xf>
    <xf numFmtId="49" fontId="8" fillId="0" borderId="1" xfId="1" applyNumberFormat="1" applyBorder="1" applyAlignment="1">
      <alignment horizontal="center" vertical="center"/>
    </xf>
    <xf numFmtId="0" fontId="17" fillId="5" borderId="1" xfId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>
      <alignment vertical="center"/>
    </xf>
    <xf numFmtId="49" fontId="8" fillId="0" borderId="0" xfId="1" applyNumberFormat="1" applyAlignment="1">
      <alignment horizontal="center" vertical="center"/>
    </xf>
  </cellXfs>
  <cellStyles count="2">
    <cellStyle name="常规" xfId="0" builtinId="0"/>
    <cellStyle name="常规 2" xfId="1" xr:uid="{E0BEB24A-83ED-4FA3-898D-B345626C44A7}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FF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02BD3-845E-4AF8-883D-CAA030D4CBDF}">
  <dimension ref="A1:V153"/>
  <sheetViews>
    <sheetView topLeftCell="C1" zoomScale="85" zoomScaleNormal="85" workbookViewId="0">
      <selection sqref="A1:XFD1048576"/>
    </sheetView>
  </sheetViews>
  <sheetFormatPr defaultColWidth="9" defaultRowHeight="20.25"/>
  <cols>
    <col min="1" max="1" width="26.125" style="23" customWidth="1"/>
    <col min="2" max="2" width="14.375" style="23" bestFit="1" customWidth="1"/>
    <col min="3" max="3" width="12.125" style="23" customWidth="1"/>
    <col min="4" max="4" width="15.75" style="25" customWidth="1"/>
    <col min="5" max="5" width="10.375" style="25" customWidth="1"/>
    <col min="6" max="6" width="5.875" style="23" customWidth="1"/>
    <col min="7" max="7" width="6.125" style="23" customWidth="1"/>
    <col min="8" max="8" width="13.5" style="24" customWidth="1"/>
    <col min="9" max="9" width="6.75" style="23" customWidth="1"/>
    <col min="10" max="10" width="5.75" style="23" customWidth="1"/>
    <col min="11" max="11" width="8.25" style="23" customWidth="1"/>
    <col min="12" max="12" width="6.125" style="23" customWidth="1"/>
    <col min="13" max="13" width="14" style="23" customWidth="1"/>
    <col min="14" max="14" width="9" style="23" customWidth="1"/>
    <col min="15" max="15" width="54.375" style="23" customWidth="1"/>
    <col min="16" max="16" width="18.25" style="23" customWidth="1"/>
    <col min="17" max="17" width="9.25" style="23" customWidth="1"/>
    <col min="18" max="18" width="21.25" style="23" customWidth="1"/>
    <col min="19" max="19" width="21.125" style="23" customWidth="1"/>
    <col min="20" max="20" width="7.5" style="23" customWidth="1"/>
    <col min="21" max="21" width="20.375" style="24" customWidth="1"/>
    <col min="22" max="22" width="9" style="23" customWidth="1"/>
    <col min="23" max="16384" width="9" style="23"/>
  </cols>
  <sheetData>
    <row r="1" spans="1:22">
      <c r="A1" s="23" t="s">
        <v>710</v>
      </c>
    </row>
    <row r="3" spans="1:22" s="29" customFormat="1" ht="22.5">
      <c r="A3" s="30" t="s">
        <v>1</v>
      </c>
      <c r="B3" s="30" t="s">
        <v>2</v>
      </c>
      <c r="C3" s="30" t="s">
        <v>3</v>
      </c>
      <c r="D3" s="32" t="s">
        <v>4</v>
      </c>
      <c r="E3" s="32" t="s">
        <v>709</v>
      </c>
      <c r="F3" s="30" t="s">
        <v>708</v>
      </c>
      <c r="G3" s="30" t="s">
        <v>707</v>
      </c>
      <c r="H3" s="31" t="s">
        <v>10</v>
      </c>
      <c r="I3" s="30" t="s">
        <v>706</v>
      </c>
      <c r="J3" s="30" t="s">
        <v>705</v>
      </c>
      <c r="K3" s="30" t="s">
        <v>704</v>
      </c>
      <c r="L3" s="30" t="s">
        <v>15</v>
      </c>
      <c r="M3" s="31" t="s">
        <v>703</v>
      </c>
      <c r="N3" s="30" t="s">
        <v>702</v>
      </c>
      <c r="O3" s="30" t="s">
        <v>17</v>
      </c>
      <c r="P3" s="30" t="s">
        <v>19</v>
      </c>
      <c r="Q3" s="30" t="s">
        <v>15</v>
      </c>
      <c r="R3" s="30" t="s">
        <v>701</v>
      </c>
      <c r="S3" s="30" t="s">
        <v>700</v>
      </c>
      <c r="T3" s="30" t="s">
        <v>699</v>
      </c>
      <c r="U3" s="31" t="s">
        <v>698</v>
      </c>
      <c r="V3" s="30" t="s">
        <v>690</v>
      </c>
    </row>
    <row r="4" spans="1:22" s="26" customFormat="1" ht="22.5">
      <c r="A4" s="30" t="s">
        <v>697</v>
      </c>
      <c r="B4" s="30" t="s">
        <v>38</v>
      </c>
      <c r="C4" s="30" t="s">
        <v>686</v>
      </c>
      <c r="D4" s="30">
        <v>101</v>
      </c>
      <c r="E4" s="30">
        <v>101</v>
      </c>
      <c r="F4" s="30"/>
      <c r="G4" s="30"/>
      <c r="H4" s="31" t="s">
        <v>696</v>
      </c>
      <c r="I4" s="27"/>
      <c r="J4" s="27"/>
      <c r="K4" s="27"/>
      <c r="L4" s="27"/>
      <c r="M4" s="31" t="s">
        <v>733</v>
      </c>
      <c r="N4" s="27" t="s">
        <v>695</v>
      </c>
      <c r="O4" s="30" t="s">
        <v>694</v>
      </c>
      <c r="P4" s="27" t="s">
        <v>693</v>
      </c>
      <c r="Q4" s="27"/>
      <c r="R4" s="27" t="s">
        <v>692</v>
      </c>
      <c r="S4" s="27" t="s">
        <v>691</v>
      </c>
      <c r="T4" s="27"/>
      <c r="U4" s="28">
        <v>0</v>
      </c>
      <c r="V4" s="27" t="s">
        <v>734</v>
      </c>
    </row>
    <row r="5" spans="1:22">
      <c r="A5" s="23" t="s">
        <v>697</v>
      </c>
      <c r="B5" s="23" t="s">
        <v>38</v>
      </c>
      <c r="C5" s="23" t="s">
        <v>686</v>
      </c>
      <c r="D5" s="25">
        <v>104</v>
      </c>
      <c r="E5" s="25">
        <v>104</v>
      </c>
      <c r="H5" s="24" t="s">
        <v>696</v>
      </c>
      <c r="M5" s="23" t="s">
        <v>735</v>
      </c>
      <c r="N5" s="23" t="s">
        <v>695</v>
      </c>
      <c r="O5" s="23" t="s">
        <v>694</v>
      </c>
      <c r="P5" s="23" t="s">
        <v>693</v>
      </c>
      <c r="R5" s="23" t="s">
        <v>692</v>
      </c>
      <c r="S5" s="23" t="s">
        <v>691</v>
      </c>
      <c r="U5" s="24">
        <v>0</v>
      </c>
      <c r="V5" s="23" t="s">
        <v>734</v>
      </c>
    </row>
    <row r="6" spans="1:22">
      <c r="A6" s="23" t="s">
        <v>697</v>
      </c>
      <c r="B6" s="23" t="s">
        <v>38</v>
      </c>
      <c r="C6" s="23" t="s">
        <v>686</v>
      </c>
      <c r="D6" s="25">
        <v>601</v>
      </c>
      <c r="E6" s="25">
        <v>601</v>
      </c>
      <c r="H6" s="24" t="s">
        <v>696</v>
      </c>
      <c r="M6" s="23" t="s">
        <v>736</v>
      </c>
      <c r="N6" s="23" t="s">
        <v>695</v>
      </c>
      <c r="O6" s="23" t="s">
        <v>694</v>
      </c>
      <c r="P6" s="23" t="s">
        <v>693</v>
      </c>
      <c r="R6" s="23" t="s">
        <v>692</v>
      </c>
      <c r="S6" s="23" t="s">
        <v>691</v>
      </c>
      <c r="U6" s="24">
        <v>0</v>
      </c>
      <c r="V6" s="23" t="s">
        <v>734</v>
      </c>
    </row>
    <row r="7" spans="1:22">
      <c r="A7" s="23" t="s">
        <v>697</v>
      </c>
      <c r="B7" s="23" t="s">
        <v>38</v>
      </c>
      <c r="C7" s="23" t="s">
        <v>686</v>
      </c>
      <c r="D7" s="25">
        <v>604</v>
      </c>
      <c r="E7" s="25">
        <v>604</v>
      </c>
      <c r="H7" s="24" t="s">
        <v>696</v>
      </c>
      <c r="M7" s="23" t="s">
        <v>737</v>
      </c>
      <c r="N7" s="23" t="s">
        <v>695</v>
      </c>
      <c r="O7" s="23" t="s">
        <v>694</v>
      </c>
      <c r="P7" s="23" t="s">
        <v>693</v>
      </c>
      <c r="R7" s="23" t="s">
        <v>692</v>
      </c>
      <c r="S7" s="23" t="s">
        <v>691</v>
      </c>
      <c r="U7" s="24">
        <v>0</v>
      </c>
      <c r="V7" s="23" t="s">
        <v>734</v>
      </c>
    </row>
    <row r="8" spans="1:22">
      <c r="A8" s="23" t="s">
        <v>697</v>
      </c>
      <c r="B8" s="23" t="s">
        <v>38</v>
      </c>
      <c r="C8" s="23" t="s">
        <v>687</v>
      </c>
      <c r="D8" s="25">
        <v>101</v>
      </c>
      <c r="E8" s="25">
        <v>101</v>
      </c>
      <c r="H8" s="24" t="s">
        <v>696</v>
      </c>
      <c r="M8" s="23" t="s">
        <v>738</v>
      </c>
      <c r="N8" s="23" t="s">
        <v>695</v>
      </c>
      <c r="O8" s="23" t="s">
        <v>694</v>
      </c>
      <c r="P8" s="23" t="s">
        <v>693</v>
      </c>
      <c r="R8" s="23" t="s">
        <v>692</v>
      </c>
      <c r="S8" s="23" t="s">
        <v>691</v>
      </c>
      <c r="U8" s="24">
        <v>0</v>
      </c>
      <c r="V8" s="23" t="s">
        <v>734</v>
      </c>
    </row>
    <row r="9" spans="1:22">
      <c r="A9" s="23" t="s">
        <v>697</v>
      </c>
      <c r="B9" s="23" t="s">
        <v>38</v>
      </c>
      <c r="C9" s="23" t="s">
        <v>687</v>
      </c>
      <c r="D9" s="25">
        <v>104</v>
      </c>
      <c r="E9" s="25">
        <v>104</v>
      </c>
      <c r="H9" s="24" t="s">
        <v>696</v>
      </c>
      <c r="M9" s="23" t="s">
        <v>739</v>
      </c>
      <c r="N9" s="23" t="s">
        <v>695</v>
      </c>
      <c r="O9" s="23" t="s">
        <v>694</v>
      </c>
      <c r="P9" s="23" t="s">
        <v>693</v>
      </c>
      <c r="R9" s="23" t="s">
        <v>692</v>
      </c>
      <c r="S9" s="23" t="s">
        <v>691</v>
      </c>
      <c r="U9" s="24">
        <v>0</v>
      </c>
      <c r="V9" s="23" t="s">
        <v>734</v>
      </c>
    </row>
    <row r="10" spans="1:22">
      <c r="A10" s="23" t="s">
        <v>697</v>
      </c>
      <c r="B10" s="23" t="s">
        <v>38</v>
      </c>
      <c r="C10" s="23" t="s">
        <v>687</v>
      </c>
      <c r="D10" s="25">
        <v>601</v>
      </c>
      <c r="E10" s="25">
        <v>601</v>
      </c>
      <c r="H10" s="24" t="s">
        <v>696</v>
      </c>
      <c r="M10" s="23" t="s">
        <v>740</v>
      </c>
      <c r="N10" s="23" t="s">
        <v>695</v>
      </c>
      <c r="O10" s="23" t="s">
        <v>694</v>
      </c>
      <c r="P10" s="23" t="s">
        <v>693</v>
      </c>
      <c r="R10" s="23" t="s">
        <v>692</v>
      </c>
      <c r="S10" s="23" t="s">
        <v>691</v>
      </c>
      <c r="U10" s="24">
        <v>0</v>
      </c>
      <c r="V10" s="23" t="s">
        <v>734</v>
      </c>
    </row>
    <row r="11" spans="1:22">
      <c r="A11" s="23" t="s">
        <v>697</v>
      </c>
      <c r="B11" s="23" t="s">
        <v>38</v>
      </c>
      <c r="C11" s="23" t="s">
        <v>687</v>
      </c>
      <c r="D11" s="25">
        <v>604</v>
      </c>
      <c r="E11" s="25">
        <v>604</v>
      </c>
      <c r="H11" s="24" t="s">
        <v>696</v>
      </c>
      <c r="M11" s="23" t="s">
        <v>741</v>
      </c>
      <c r="N11" s="23" t="s">
        <v>695</v>
      </c>
      <c r="O11" s="23" t="s">
        <v>694</v>
      </c>
      <c r="P11" s="23" t="s">
        <v>693</v>
      </c>
      <c r="R11" s="23" t="s">
        <v>692</v>
      </c>
      <c r="S11" s="23" t="s">
        <v>691</v>
      </c>
      <c r="U11" s="24">
        <v>0</v>
      </c>
      <c r="V11" s="23" t="s">
        <v>734</v>
      </c>
    </row>
    <row r="12" spans="1:22">
      <c r="A12" s="23" t="s">
        <v>697</v>
      </c>
      <c r="B12" s="23" t="s">
        <v>38</v>
      </c>
      <c r="C12" s="23" t="s">
        <v>688</v>
      </c>
      <c r="D12" s="25">
        <v>101</v>
      </c>
      <c r="E12" s="25">
        <v>101</v>
      </c>
      <c r="H12" s="24" t="s">
        <v>696</v>
      </c>
      <c r="M12" s="23" t="s">
        <v>742</v>
      </c>
      <c r="N12" s="23" t="s">
        <v>695</v>
      </c>
      <c r="O12" s="23" t="s">
        <v>694</v>
      </c>
      <c r="P12" s="23" t="s">
        <v>693</v>
      </c>
      <c r="R12" s="23" t="s">
        <v>692</v>
      </c>
      <c r="S12" s="23" t="s">
        <v>691</v>
      </c>
      <c r="U12" s="24">
        <v>0</v>
      </c>
      <c r="V12" s="23" t="s">
        <v>734</v>
      </c>
    </row>
    <row r="13" spans="1:22">
      <c r="A13" s="23" t="s">
        <v>697</v>
      </c>
      <c r="B13" s="23" t="s">
        <v>38</v>
      </c>
      <c r="C13" s="23" t="s">
        <v>688</v>
      </c>
      <c r="D13" s="25">
        <v>104</v>
      </c>
      <c r="E13" s="25">
        <v>104</v>
      </c>
      <c r="H13" s="24" t="s">
        <v>696</v>
      </c>
      <c r="M13" s="23" t="s">
        <v>743</v>
      </c>
      <c r="N13" s="23" t="s">
        <v>695</v>
      </c>
      <c r="O13" s="23" t="s">
        <v>694</v>
      </c>
      <c r="P13" s="23" t="s">
        <v>693</v>
      </c>
      <c r="R13" s="23" t="s">
        <v>692</v>
      </c>
      <c r="S13" s="23" t="s">
        <v>691</v>
      </c>
      <c r="U13" s="24">
        <v>0</v>
      </c>
      <c r="V13" s="23" t="s">
        <v>734</v>
      </c>
    </row>
    <row r="14" spans="1:22">
      <c r="A14" s="23" t="s">
        <v>697</v>
      </c>
      <c r="B14" s="23" t="s">
        <v>38</v>
      </c>
      <c r="C14" s="23" t="s">
        <v>688</v>
      </c>
      <c r="D14" s="25">
        <v>601</v>
      </c>
      <c r="E14" s="25">
        <v>601</v>
      </c>
      <c r="H14" s="24" t="s">
        <v>696</v>
      </c>
      <c r="M14" s="23" t="s">
        <v>744</v>
      </c>
      <c r="N14" s="23" t="s">
        <v>695</v>
      </c>
      <c r="O14" s="23" t="s">
        <v>694</v>
      </c>
      <c r="P14" s="23" t="s">
        <v>693</v>
      </c>
      <c r="R14" s="23" t="s">
        <v>692</v>
      </c>
      <c r="S14" s="23" t="s">
        <v>691</v>
      </c>
      <c r="U14" s="24">
        <v>0</v>
      </c>
      <c r="V14" s="23" t="s">
        <v>734</v>
      </c>
    </row>
    <row r="15" spans="1:22">
      <c r="A15" s="23" t="s">
        <v>697</v>
      </c>
      <c r="B15" s="23" t="s">
        <v>38</v>
      </c>
      <c r="C15" s="23" t="s">
        <v>688</v>
      </c>
      <c r="D15" s="25">
        <v>604</v>
      </c>
      <c r="E15" s="25">
        <v>604</v>
      </c>
      <c r="H15" s="24" t="s">
        <v>696</v>
      </c>
      <c r="M15" s="23" t="s">
        <v>745</v>
      </c>
      <c r="N15" s="23" t="s">
        <v>695</v>
      </c>
      <c r="O15" s="23" t="s">
        <v>694</v>
      </c>
      <c r="P15" s="23" t="s">
        <v>693</v>
      </c>
      <c r="R15" s="23" t="s">
        <v>692</v>
      </c>
      <c r="S15" s="23" t="s">
        <v>691</v>
      </c>
      <c r="U15" s="24">
        <v>0</v>
      </c>
      <c r="V15" s="23" t="s">
        <v>734</v>
      </c>
    </row>
    <row r="16" spans="1:22">
      <c r="A16" s="23" t="s">
        <v>697</v>
      </c>
      <c r="B16" s="23" t="s">
        <v>679</v>
      </c>
      <c r="C16" s="23" t="s">
        <v>686</v>
      </c>
      <c r="D16" s="25">
        <v>201</v>
      </c>
      <c r="E16" s="25">
        <v>201</v>
      </c>
      <c r="H16" s="24" t="s">
        <v>696</v>
      </c>
      <c r="M16" s="23" t="s">
        <v>746</v>
      </c>
      <c r="N16" s="23" t="s">
        <v>695</v>
      </c>
      <c r="O16" s="23" t="s">
        <v>694</v>
      </c>
      <c r="P16" s="23" t="s">
        <v>693</v>
      </c>
      <c r="R16" s="23" t="s">
        <v>692</v>
      </c>
      <c r="S16" s="23" t="s">
        <v>691</v>
      </c>
      <c r="U16" s="24">
        <v>0</v>
      </c>
      <c r="V16" s="23" t="s">
        <v>734</v>
      </c>
    </row>
    <row r="17" spans="1:22">
      <c r="A17" s="23" t="s">
        <v>697</v>
      </c>
      <c r="B17" s="23" t="s">
        <v>679</v>
      </c>
      <c r="C17" s="23" t="s">
        <v>686</v>
      </c>
      <c r="D17" s="25">
        <v>204</v>
      </c>
      <c r="E17" s="25">
        <v>204</v>
      </c>
      <c r="H17" s="24" t="s">
        <v>696</v>
      </c>
      <c r="M17" s="23" t="s">
        <v>747</v>
      </c>
      <c r="N17" s="23" t="s">
        <v>695</v>
      </c>
      <c r="O17" s="23" t="s">
        <v>694</v>
      </c>
      <c r="P17" s="23" t="s">
        <v>693</v>
      </c>
      <c r="R17" s="23" t="s">
        <v>692</v>
      </c>
      <c r="S17" s="23" t="s">
        <v>691</v>
      </c>
      <c r="U17" s="24">
        <v>0</v>
      </c>
      <c r="V17" s="23" t="s">
        <v>734</v>
      </c>
    </row>
    <row r="18" spans="1:22">
      <c r="A18" s="23" t="s">
        <v>697</v>
      </c>
      <c r="B18" s="23" t="s">
        <v>679</v>
      </c>
      <c r="C18" s="23" t="s">
        <v>686</v>
      </c>
      <c r="D18" s="25">
        <v>501</v>
      </c>
      <c r="E18" s="25">
        <v>501</v>
      </c>
      <c r="H18" s="24" t="s">
        <v>696</v>
      </c>
      <c r="M18" s="23" t="s">
        <v>748</v>
      </c>
      <c r="N18" s="23" t="s">
        <v>695</v>
      </c>
      <c r="O18" s="23" t="s">
        <v>694</v>
      </c>
      <c r="P18" s="23" t="s">
        <v>693</v>
      </c>
      <c r="R18" s="23" t="s">
        <v>692</v>
      </c>
      <c r="S18" s="23" t="s">
        <v>691</v>
      </c>
      <c r="U18" s="24">
        <v>0</v>
      </c>
      <c r="V18" s="23" t="s">
        <v>734</v>
      </c>
    </row>
    <row r="19" spans="1:22">
      <c r="A19" s="23" t="s">
        <v>697</v>
      </c>
      <c r="B19" s="23" t="s">
        <v>679</v>
      </c>
      <c r="C19" s="23" t="s">
        <v>686</v>
      </c>
      <c r="D19" s="25">
        <v>504</v>
      </c>
      <c r="E19" s="25">
        <v>504</v>
      </c>
      <c r="H19" s="24" t="s">
        <v>696</v>
      </c>
      <c r="M19" s="23" t="s">
        <v>749</v>
      </c>
      <c r="N19" s="23" t="s">
        <v>695</v>
      </c>
      <c r="O19" s="23" t="s">
        <v>694</v>
      </c>
      <c r="P19" s="23" t="s">
        <v>693</v>
      </c>
      <c r="R19" s="23" t="s">
        <v>692</v>
      </c>
      <c r="S19" s="23" t="s">
        <v>691</v>
      </c>
      <c r="U19" s="24">
        <v>0</v>
      </c>
      <c r="V19" s="23" t="s">
        <v>734</v>
      </c>
    </row>
    <row r="20" spans="1:22">
      <c r="A20" s="23" t="s">
        <v>697</v>
      </c>
      <c r="B20" s="23" t="s">
        <v>679</v>
      </c>
      <c r="C20" s="23" t="s">
        <v>687</v>
      </c>
      <c r="D20" s="25">
        <v>201</v>
      </c>
      <c r="E20" s="25">
        <v>201</v>
      </c>
      <c r="H20" s="24" t="s">
        <v>696</v>
      </c>
      <c r="M20" s="23" t="s">
        <v>750</v>
      </c>
      <c r="N20" s="23" t="s">
        <v>695</v>
      </c>
      <c r="O20" s="23" t="s">
        <v>694</v>
      </c>
      <c r="P20" s="23" t="s">
        <v>693</v>
      </c>
      <c r="R20" s="23" t="s">
        <v>692</v>
      </c>
      <c r="S20" s="23" t="s">
        <v>691</v>
      </c>
      <c r="U20" s="24">
        <v>0</v>
      </c>
      <c r="V20" s="23" t="s">
        <v>734</v>
      </c>
    </row>
    <row r="21" spans="1:22">
      <c r="A21" s="23" t="s">
        <v>697</v>
      </c>
      <c r="B21" s="23" t="s">
        <v>679</v>
      </c>
      <c r="C21" s="23" t="s">
        <v>687</v>
      </c>
      <c r="D21" s="25">
        <v>204</v>
      </c>
      <c r="E21" s="25">
        <v>204</v>
      </c>
      <c r="H21" s="24" t="s">
        <v>696</v>
      </c>
      <c r="M21" s="23" t="s">
        <v>751</v>
      </c>
      <c r="N21" s="23" t="s">
        <v>695</v>
      </c>
      <c r="O21" s="23" t="s">
        <v>694</v>
      </c>
      <c r="P21" s="23" t="s">
        <v>693</v>
      </c>
      <c r="R21" s="23" t="s">
        <v>692</v>
      </c>
      <c r="S21" s="23" t="s">
        <v>691</v>
      </c>
      <c r="U21" s="24">
        <v>0</v>
      </c>
      <c r="V21" s="23" t="s">
        <v>734</v>
      </c>
    </row>
    <row r="22" spans="1:22">
      <c r="A22" s="23" t="s">
        <v>697</v>
      </c>
      <c r="B22" s="23" t="s">
        <v>679</v>
      </c>
      <c r="C22" s="23" t="s">
        <v>687</v>
      </c>
      <c r="D22" s="25">
        <v>501</v>
      </c>
      <c r="E22" s="25">
        <v>501</v>
      </c>
      <c r="H22" s="24" t="s">
        <v>696</v>
      </c>
      <c r="M22" s="23" t="s">
        <v>752</v>
      </c>
      <c r="N22" s="23" t="s">
        <v>695</v>
      </c>
      <c r="O22" s="23" t="s">
        <v>694</v>
      </c>
      <c r="P22" s="23" t="s">
        <v>693</v>
      </c>
      <c r="R22" s="23" t="s">
        <v>692</v>
      </c>
      <c r="S22" s="23" t="s">
        <v>691</v>
      </c>
      <c r="U22" s="24">
        <v>0</v>
      </c>
      <c r="V22" s="23" t="s">
        <v>734</v>
      </c>
    </row>
    <row r="23" spans="1:22">
      <c r="A23" s="23" t="s">
        <v>697</v>
      </c>
      <c r="B23" s="23" t="s">
        <v>679</v>
      </c>
      <c r="C23" s="23" t="s">
        <v>687</v>
      </c>
      <c r="D23" s="25">
        <v>504</v>
      </c>
      <c r="E23" s="25">
        <v>504</v>
      </c>
      <c r="H23" s="24" t="s">
        <v>696</v>
      </c>
      <c r="M23" s="23" t="s">
        <v>753</v>
      </c>
      <c r="N23" s="23" t="s">
        <v>695</v>
      </c>
      <c r="O23" s="23" t="s">
        <v>694</v>
      </c>
      <c r="P23" s="23" t="s">
        <v>693</v>
      </c>
      <c r="R23" s="23" t="s">
        <v>692</v>
      </c>
      <c r="S23" s="23" t="s">
        <v>691</v>
      </c>
      <c r="U23" s="24">
        <v>0</v>
      </c>
      <c r="V23" s="23" t="s">
        <v>734</v>
      </c>
    </row>
    <row r="24" spans="1:22">
      <c r="A24" s="23" t="s">
        <v>697</v>
      </c>
      <c r="B24" s="23" t="s">
        <v>43</v>
      </c>
      <c r="C24" s="23" t="s">
        <v>686</v>
      </c>
      <c r="D24" s="25">
        <v>201</v>
      </c>
      <c r="E24" s="25">
        <v>201</v>
      </c>
      <c r="H24" s="24" t="s">
        <v>696</v>
      </c>
      <c r="M24" s="23" t="s">
        <v>754</v>
      </c>
      <c r="N24" s="23" t="s">
        <v>695</v>
      </c>
      <c r="O24" s="23" t="s">
        <v>694</v>
      </c>
      <c r="P24" s="23" t="s">
        <v>693</v>
      </c>
      <c r="R24" s="23" t="s">
        <v>692</v>
      </c>
      <c r="S24" s="23" t="s">
        <v>691</v>
      </c>
      <c r="U24" s="24">
        <v>0</v>
      </c>
      <c r="V24" s="23" t="s">
        <v>734</v>
      </c>
    </row>
    <row r="25" spans="1:22">
      <c r="A25" s="23" t="s">
        <v>697</v>
      </c>
      <c r="B25" s="23" t="s">
        <v>43</v>
      </c>
      <c r="C25" s="23" t="s">
        <v>686</v>
      </c>
      <c r="D25" s="25">
        <v>204</v>
      </c>
      <c r="E25" s="25">
        <v>204</v>
      </c>
      <c r="H25" s="24" t="s">
        <v>696</v>
      </c>
      <c r="M25" s="23" t="s">
        <v>755</v>
      </c>
      <c r="N25" s="23" t="s">
        <v>695</v>
      </c>
      <c r="O25" s="23" t="s">
        <v>694</v>
      </c>
      <c r="P25" s="23" t="s">
        <v>693</v>
      </c>
      <c r="R25" s="23" t="s">
        <v>692</v>
      </c>
      <c r="S25" s="23" t="s">
        <v>691</v>
      </c>
      <c r="U25" s="24">
        <v>0</v>
      </c>
      <c r="V25" s="23" t="s">
        <v>734</v>
      </c>
    </row>
    <row r="26" spans="1:22">
      <c r="A26" s="23" t="s">
        <v>697</v>
      </c>
      <c r="B26" s="23" t="s">
        <v>43</v>
      </c>
      <c r="C26" s="23" t="s">
        <v>686</v>
      </c>
      <c r="D26" s="25">
        <v>501</v>
      </c>
      <c r="E26" s="25">
        <v>501</v>
      </c>
      <c r="H26" s="24" t="s">
        <v>696</v>
      </c>
      <c r="M26" s="23" t="s">
        <v>756</v>
      </c>
      <c r="N26" s="23" t="s">
        <v>695</v>
      </c>
      <c r="O26" s="23" t="s">
        <v>694</v>
      </c>
      <c r="P26" s="23" t="s">
        <v>693</v>
      </c>
      <c r="R26" s="23" t="s">
        <v>692</v>
      </c>
      <c r="S26" s="23" t="s">
        <v>691</v>
      </c>
      <c r="U26" s="24">
        <v>0</v>
      </c>
      <c r="V26" s="23" t="s">
        <v>734</v>
      </c>
    </row>
    <row r="27" spans="1:22">
      <c r="A27" s="23" t="s">
        <v>697</v>
      </c>
      <c r="B27" s="23" t="s">
        <v>43</v>
      </c>
      <c r="C27" s="23" t="s">
        <v>686</v>
      </c>
      <c r="D27" s="25">
        <v>504</v>
      </c>
      <c r="E27" s="25">
        <v>504</v>
      </c>
      <c r="H27" s="24" t="s">
        <v>696</v>
      </c>
      <c r="M27" s="23" t="s">
        <v>757</v>
      </c>
      <c r="N27" s="23" t="s">
        <v>695</v>
      </c>
      <c r="O27" s="23" t="s">
        <v>694</v>
      </c>
      <c r="P27" s="23" t="s">
        <v>693</v>
      </c>
      <c r="R27" s="23" t="s">
        <v>692</v>
      </c>
      <c r="S27" s="23" t="s">
        <v>691</v>
      </c>
      <c r="U27" s="24">
        <v>0</v>
      </c>
      <c r="V27" s="23" t="s">
        <v>734</v>
      </c>
    </row>
    <row r="28" spans="1:22">
      <c r="A28" s="23" t="s">
        <v>697</v>
      </c>
      <c r="B28" s="23" t="s">
        <v>43</v>
      </c>
      <c r="C28" s="23" t="s">
        <v>687</v>
      </c>
      <c r="D28" s="25">
        <v>201</v>
      </c>
      <c r="E28" s="25">
        <v>201</v>
      </c>
      <c r="H28" s="24" t="s">
        <v>696</v>
      </c>
      <c r="M28" s="23" t="s">
        <v>758</v>
      </c>
      <c r="N28" s="23" t="s">
        <v>695</v>
      </c>
      <c r="O28" s="23" t="s">
        <v>694</v>
      </c>
      <c r="P28" s="23" t="s">
        <v>693</v>
      </c>
      <c r="R28" s="23" t="s">
        <v>692</v>
      </c>
      <c r="S28" s="23" t="s">
        <v>691</v>
      </c>
      <c r="U28" s="24">
        <v>0</v>
      </c>
      <c r="V28" s="23" t="s">
        <v>734</v>
      </c>
    </row>
    <row r="29" spans="1:22">
      <c r="A29" s="23" t="s">
        <v>697</v>
      </c>
      <c r="B29" s="23" t="s">
        <v>43</v>
      </c>
      <c r="C29" s="23" t="s">
        <v>687</v>
      </c>
      <c r="D29" s="25">
        <v>204</v>
      </c>
      <c r="E29" s="25">
        <v>204</v>
      </c>
      <c r="H29" s="24" t="s">
        <v>696</v>
      </c>
      <c r="M29" s="23" t="s">
        <v>759</v>
      </c>
      <c r="N29" s="23" t="s">
        <v>695</v>
      </c>
      <c r="O29" s="23" t="s">
        <v>694</v>
      </c>
      <c r="P29" s="23" t="s">
        <v>693</v>
      </c>
      <c r="R29" s="23" t="s">
        <v>692</v>
      </c>
      <c r="S29" s="23" t="s">
        <v>691</v>
      </c>
      <c r="U29" s="24">
        <v>0</v>
      </c>
      <c r="V29" s="23" t="s">
        <v>734</v>
      </c>
    </row>
    <row r="30" spans="1:22">
      <c r="A30" s="23" t="s">
        <v>697</v>
      </c>
      <c r="B30" s="23" t="s">
        <v>43</v>
      </c>
      <c r="C30" s="23" t="s">
        <v>687</v>
      </c>
      <c r="D30" s="25">
        <v>501</v>
      </c>
      <c r="E30" s="25">
        <v>501</v>
      </c>
      <c r="H30" s="24" t="s">
        <v>696</v>
      </c>
      <c r="M30" s="23" t="s">
        <v>760</v>
      </c>
      <c r="N30" s="23" t="s">
        <v>695</v>
      </c>
      <c r="O30" s="23" t="s">
        <v>694</v>
      </c>
      <c r="P30" s="23" t="s">
        <v>693</v>
      </c>
      <c r="R30" s="23" t="s">
        <v>692</v>
      </c>
      <c r="S30" s="23" t="s">
        <v>691</v>
      </c>
      <c r="U30" s="24">
        <v>0</v>
      </c>
      <c r="V30" s="23" t="s">
        <v>734</v>
      </c>
    </row>
    <row r="31" spans="1:22">
      <c r="A31" s="23" t="s">
        <v>697</v>
      </c>
      <c r="B31" s="23" t="s">
        <v>43</v>
      </c>
      <c r="C31" s="23" t="s">
        <v>687</v>
      </c>
      <c r="D31" s="25">
        <v>504</v>
      </c>
      <c r="E31" s="25">
        <v>504</v>
      </c>
      <c r="H31" s="24" t="s">
        <v>696</v>
      </c>
      <c r="M31" s="23" t="s">
        <v>761</v>
      </c>
      <c r="N31" s="23" t="s">
        <v>695</v>
      </c>
      <c r="O31" s="23" t="s">
        <v>694</v>
      </c>
      <c r="P31" s="23" t="s">
        <v>693</v>
      </c>
      <c r="R31" s="23" t="s">
        <v>692</v>
      </c>
      <c r="S31" s="23" t="s">
        <v>691</v>
      </c>
      <c r="U31" s="24">
        <v>0</v>
      </c>
      <c r="V31" s="23" t="s">
        <v>734</v>
      </c>
    </row>
    <row r="32" spans="1:22">
      <c r="A32" s="23" t="s">
        <v>697</v>
      </c>
      <c r="B32" s="23" t="s">
        <v>689</v>
      </c>
      <c r="C32" s="23" t="s">
        <v>686</v>
      </c>
      <c r="D32" s="25">
        <v>101</v>
      </c>
      <c r="E32" s="25">
        <v>101</v>
      </c>
      <c r="H32" s="24" t="s">
        <v>696</v>
      </c>
      <c r="M32" s="23" t="s">
        <v>762</v>
      </c>
      <c r="N32" s="23" t="s">
        <v>695</v>
      </c>
      <c r="O32" s="23" t="s">
        <v>694</v>
      </c>
      <c r="P32" s="23" t="s">
        <v>693</v>
      </c>
      <c r="R32" s="23" t="s">
        <v>692</v>
      </c>
      <c r="S32" s="23" t="s">
        <v>691</v>
      </c>
      <c r="U32" s="24">
        <v>0</v>
      </c>
      <c r="V32" s="23" t="s">
        <v>734</v>
      </c>
    </row>
    <row r="33" spans="1:22">
      <c r="A33" s="23" t="s">
        <v>697</v>
      </c>
      <c r="B33" s="23" t="s">
        <v>689</v>
      </c>
      <c r="C33" s="23" t="s">
        <v>686</v>
      </c>
      <c r="D33" s="25">
        <v>104</v>
      </c>
      <c r="E33" s="25">
        <v>104</v>
      </c>
      <c r="H33" s="24" t="s">
        <v>696</v>
      </c>
      <c r="M33" s="23" t="s">
        <v>763</v>
      </c>
      <c r="N33" s="23" t="s">
        <v>695</v>
      </c>
      <c r="O33" s="23" t="s">
        <v>694</v>
      </c>
      <c r="P33" s="23" t="s">
        <v>693</v>
      </c>
      <c r="R33" s="23" t="s">
        <v>692</v>
      </c>
      <c r="S33" s="23" t="s">
        <v>691</v>
      </c>
      <c r="U33" s="24">
        <v>0</v>
      </c>
      <c r="V33" s="23" t="s">
        <v>734</v>
      </c>
    </row>
    <row r="34" spans="1:22">
      <c r="A34" s="23" t="s">
        <v>697</v>
      </c>
      <c r="B34" s="23" t="s">
        <v>689</v>
      </c>
      <c r="C34" s="23" t="s">
        <v>686</v>
      </c>
      <c r="D34" s="25">
        <v>501</v>
      </c>
      <c r="E34" s="25">
        <v>501</v>
      </c>
      <c r="H34" s="24" t="s">
        <v>696</v>
      </c>
      <c r="M34" s="23" t="s">
        <v>764</v>
      </c>
      <c r="N34" s="23" t="s">
        <v>695</v>
      </c>
      <c r="O34" s="23" t="s">
        <v>694</v>
      </c>
      <c r="P34" s="23" t="s">
        <v>693</v>
      </c>
      <c r="R34" s="23" t="s">
        <v>692</v>
      </c>
      <c r="S34" s="23" t="s">
        <v>691</v>
      </c>
      <c r="U34" s="24">
        <v>0</v>
      </c>
      <c r="V34" s="23" t="s">
        <v>734</v>
      </c>
    </row>
    <row r="35" spans="1:22">
      <c r="A35" s="23" t="s">
        <v>697</v>
      </c>
      <c r="B35" s="23" t="s">
        <v>689</v>
      </c>
      <c r="C35" s="23" t="s">
        <v>686</v>
      </c>
      <c r="D35" s="25">
        <v>504</v>
      </c>
      <c r="E35" s="25">
        <v>504</v>
      </c>
      <c r="H35" s="24" t="s">
        <v>696</v>
      </c>
      <c r="M35" s="23" t="s">
        <v>765</v>
      </c>
      <c r="N35" s="23" t="s">
        <v>695</v>
      </c>
      <c r="O35" s="23" t="s">
        <v>694</v>
      </c>
      <c r="P35" s="23" t="s">
        <v>693</v>
      </c>
      <c r="R35" s="23" t="s">
        <v>692</v>
      </c>
      <c r="S35" s="23" t="s">
        <v>691</v>
      </c>
      <c r="U35" s="24">
        <v>0</v>
      </c>
      <c r="V35" s="23" t="s">
        <v>734</v>
      </c>
    </row>
    <row r="36" spans="1:22">
      <c r="A36" s="23" t="s">
        <v>697</v>
      </c>
      <c r="B36" s="23" t="s">
        <v>689</v>
      </c>
      <c r="C36" s="23" t="s">
        <v>687</v>
      </c>
      <c r="D36" s="25">
        <v>101</v>
      </c>
      <c r="E36" s="25">
        <v>101</v>
      </c>
      <c r="H36" s="24" t="s">
        <v>696</v>
      </c>
      <c r="M36" s="23" t="s">
        <v>766</v>
      </c>
      <c r="N36" s="23" t="s">
        <v>695</v>
      </c>
      <c r="O36" s="23" t="s">
        <v>694</v>
      </c>
      <c r="P36" s="23" t="s">
        <v>693</v>
      </c>
      <c r="R36" s="23" t="s">
        <v>692</v>
      </c>
      <c r="S36" s="23" t="s">
        <v>691</v>
      </c>
      <c r="U36" s="24">
        <v>0</v>
      </c>
      <c r="V36" s="23" t="s">
        <v>734</v>
      </c>
    </row>
    <row r="37" spans="1:22">
      <c r="A37" s="23" t="s">
        <v>697</v>
      </c>
      <c r="B37" s="23" t="s">
        <v>689</v>
      </c>
      <c r="C37" s="23" t="s">
        <v>687</v>
      </c>
      <c r="D37" s="25">
        <v>104</v>
      </c>
      <c r="E37" s="25">
        <v>104</v>
      </c>
      <c r="H37" s="24" t="s">
        <v>696</v>
      </c>
      <c r="M37" s="23" t="s">
        <v>767</v>
      </c>
      <c r="N37" s="23" t="s">
        <v>695</v>
      </c>
      <c r="O37" s="23" t="s">
        <v>694</v>
      </c>
      <c r="P37" s="23" t="s">
        <v>693</v>
      </c>
      <c r="R37" s="23" t="s">
        <v>692</v>
      </c>
      <c r="S37" s="23" t="s">
        <v>691</v>
      </c>
      <c r="U37" s="24">
        <v>0</v>
      </c>
      <c r="V37" s="23" t="s">
        <v>734</v>
      </c>
    </row>
    <row r="38" spans="1:22">
      <c r="A38" s="23" t="s">
        <v>697</v>
      </c>
      <c r="B38" s="23" t="s">
        <v>689</v>
      </c>
      <c r="C38" s="23" t="s">
        <v>687</v>
      </c>
      <c r="D38" s="25">
        <v>501</v>
      </c>
      <c r="E38" s="25">
        <v>501</v>
      </c>
      <c r="H38" s="24" t="s">
        <v>696</v>
      </c>
      <c r="M38" s="23" t="s">
        <v>768</v>
      </c>
      <c r="N38" s="23" t="s">
        <v>695</v>
      </c>
      <c r="O38" s="23" t="s">
        <v>694</v>
      </c>
      <c r="P38" s="23" t="s">
        <v>693</v>
      </c>
      <c r="R38" s="23" t="s">
        <v>692</v>
      </c>
      <c r="S38" s="23" t="s">
        <v>691</v>
      </c>
      <c r="U38" s="24">
        <v>0</v>
      </c>
      <c r="V38" s="23" t="s">
        <v>734</v>
      </c>
    </row>
    <row r="39" spans="1:22">
      <c r="A39" s="23" t="s">
        <v>697</v>
      </c>
      <c r="B39" s="23" t="s">
        <v>689</v>
      </c>
      <c r="C39" s="23" t="s">
        <v>687</v>
      </c>
      <c r="D39" s="25">
        <v>504</v>
      </c>
      <c r="E39" s="25">
        <v>504</v>
      </c>
      <c r="H39" s="24" t="s">
        <v>696</v>
      </c>
      <c r="M39" s="23" t="s">
        <v>769</v>
      </c>
      <c r="N39" s="23" t="s">
        <v>695</v>
      </c>
      <c r="O39" s="23" t="s">
        <v>694</v>
      </c>
      <c r="P39" s="23" t="s">
        <v>693</v>
      </c>
      <c r="R39" s="23" t="s">
        <v>692</v>
      </c>
      <c r="S39" s="23" t="s">
        <v>691</v>
      </c>
      <c r="U39" s="24">
        <v>0</v>
      </c>
      <c r="V39" s="23" t="s">
        <v>734</v>
      </c>
    </row>
    <row r="40" spans="1:22">
      <c r="A40" s="23" t="s">
        <v>697</v>
      </c>
      <c r="B40" s="23" t="s">
        <v>689</v>
      </c>
      <c r="C40" s="23" t="s">
        <v>688</v>
      </c>
      <c r="D40" s="25">
        <v>101</v>
      </c>
      <c r="E40" s="25">
        <v>101</v>
      </c>
      <c r="H40" s="24" t="s">
        <v>696</v>
      </c>
      <c r="M40" s="23" t="s">
        <v>770</v>
      </c>
      <c r="N40" s="23" t="s">
        <v>695</v>
      </c>
      <c r="O40" s="23" t="s">
        <v>694</v>
      </c>
      <c r="P40" s="23" t="s">
        <v>693</v>
      </c>
      <c r="R40" s="23" t="s">
        <v>692</v>
      </c>
      <c r="S40" s="23" t="s">
        <v>691</v>
      </c>
      <c r="U40" s="24">
        <v>0</v>
      </c>
      <c r="V40" s="23" t="s">
        <v>734</v>
      </c>
    </row>
    <row r="41" spans="1:22">
      <c r="A41" s="23" t="s">
        <v>697</v>
      </c>
      <c r="B41" s="23" t="s">
        <v>689</v>
      </c>
      <c r="C41" s="23" t="s">
        <v>688</v>
      </c>
      <c r="D41" s="25">
        <v>104</v>
      </c>
      <c r="E41" s="25">
        <v>104</v>
      </c>
      <c r="H41" s="24" t="s">
        <v>696</v>
      </c>
      <c r="M41" s="23" t="s">
        <v>771</v>
      </c>
      <c r="N41" s="23" t="s">
        <v>695</v>
      </c>
      <c r="O41" s="23" t="s">
        <v>694</v>
      </c>
      <c r="P41" s="23" t="s">
        <v>693</v>
      </c>
      <c r="R41" s="23" t="s">
        <v>692</v>
      </c>
      <c r="S41" s="23" t="s">
        <v>691</v>
      </c>
      <c r="U41" s="24">
        <v>0</v>
      </c>
      <c r="V41" s="23" t="s">
        <v>734</v>
      </c>
    </row>
    <row r="42" spans="1:22">
      <c r="A42" s="23" t="s">
        <v>697</v>
      </c>
      <c r="B42" s="23" t="s">
        <v>689</v>
      </c>
      <c r="C42" s="23" t="s">
        <v>688</v>
      </c>
      <c r="D42" s="25">
        <v>501</v>
      </c>
      <c r="E42" s="25">
        <v>501</v>
      </c>
      <c r="H42" s="24" t="s">
        <v>696</v>
      </c>
      <c r="M42" s="23" t="s">
        <v>772</v>
      </c>
      <c r="N42" s="23" t="s">
        <v>695</v>
      </c>
      <c r="O42" s="23" t="s">
        <v>694</v>
      </c>
      <c r="P42" s="23" t="s">
        <v>693</v>
      </c>
      <c r="R42" s="23" t="s">
        <v>692</v>
      </c>
      <c r="S42" s="23" t="s">
        <v>691</v>
      </c>
      <c r="U42" s="24">
        <v>0</v>
      </c>
      <c r="V42" s="23" t="s">
        <v>734</v>
      </c>
    </row>
    <row r="43" spans="1:22">
      <c r="A43" s="23" t="s">
        <v>697</v>
      </c>
      <c r="B43" s="23" t="s">
        <v>689</v>
      </c>
      <c r="C43" s="23" t="s">
        <v>688</v>
      </c>
      <c r="D43" s="25">
        <v>504</v>
      </c>
      <c r="E43" s="25">
        <v>504</v>
      </c>
      <c r="H43" s="24" t="s">
        <v>696</v>
      </c>
      <c r="M43" s="23" t="s">
        <v>773</v>
      </c>
      <c r="N43" s="23" t="s">
        <v>695</v>
      </c>
      <c r="O43" s="23" t="s">
        <v>694</v>
      </c>
      <c r="P43" s="23" t="s">
        <v>693</v>
      </c>
      <c r="R43" s="23" t="s">
        <v>692</v>
      </c>
      <c r="S43" s="23" t="s">
        <v>691</v>
      </c>
      <c r="U43" s="24">
        <v>0</v>
      </c>
      <c r="V43" s="23" t="s">
        <v>734</v>
      </c>
    </row>
    <row r="44" spans="1:22">
      <c r="A44" s="23" t="s">
        <v>697</v>
      </c>
      <c r="B44" s="23" t="s">
        <v>42</v>
      </c>
      <c r="C44" s="23" t="s">
        <v>686</v>
      </c>
      <c r="D44" s="25">
        <v>101</v>
      </c>
      <c r="E44" s="25">
        <v>101</v>
      </c>
      <c r="H44" s="24" t="s">
        <v>696</v>
      </c>
      <c r="M44" s="23" t="s">
        <v>774</v>
      </c>
      <c r="N44" s="23" t="s">
        <v>695</v>
      </c>
      <c r="O44" s="23" t="s">
        <v>694</v>
      </c>
      <c r="P44" s="23" t="s">
        <v>693</v>
      </c>
      <c r="R44" s="23" t="s">
        <v>692</v>
      </c>
      <c r="S44" s="23" t="s">
        <v>691</v>
      </c>
      <c r="U44" s="24">
        <v>0</v>
      </c>
      <c r="V44" s="23" t="s">
        <v>734</v>
      </c>
    </row>
    <row r="45" spans="1:22">
      <c r="A45" s="23" t="s">
        <v>697</v>
      </c>
      <c r="B45" s="23" t="s">
        <v>42</v>
      </c>
      <c r="C45" s="23" t="s">
        <v>686</v>
      </c>
      <c r="D45" s="25">
        <v>104</v>
      </c>
      <c r="E45" s="25">
        <v>104</v>
      </c>
      <c r="H45" s="24" t="s">
        <v>696</v>
      </c>
      <c r="M45" s="23" t="s">
        <v>775</v>
      </c>
      <c r="N45" s="23" t="s">
        <v>695</v>
      </c>
      <c r="O45" s="23" t="s">
        <v>694</v>
      </c>
      <c r="P45" s="23" t="s">
        <v>693</v>
      </c>
      <c r="R45" s="23" t="s">
        <v>692</v>
      </c>
      <c r="S45" s="23" t="s">
        <v>691</v>
      </c>
      <c r="U45" s="24">
        <v>0</v>
      </c>
      <c r="V45" s="23" t="s">
        <v>734</v>
      </c>
    </row>
    <row r="46" spans="1:22">
      <c r="A46" s="23" t="s">
        <v>697</v>
      </c>
      <c r="B46" s="23" t="s">
        <v>42</v>
      </c>
      <c r="C46" s="23" t="s">
        <v>686</v>
      </c>
      <c r="D46" s="25">
        <v>501</v>
      </c>
      <c r="E46" s="25">
        <v>501</v>
      </c>
      <c r="H46" s="24" t="s">
        <v>696</v>
      </c>
      <c r="M46" s="23" t="s">
        <v>776</v>
      </c>
      <c r="N46" s="23" t="s">
        <v>695</v>
      </c>
      <c r="O46" s="23" t="s">
        <v>694</v>
      </c>
      <c r="P46" s="23" t="s">
        <v>693</v>
      </c>
      <c r="R46" s="23" t="s">
        <v>692</v>
      </c>
      <c r="S46" s="23" t="s">
        <v>691</v>
      </c>
      <c r="U46" s="24">
        <v>0</v>
      </c>
      <c r="V46" s="23" t="s">
        <v>734</v>
      </c>
    </row>
    <row r="47" spans="1:22">
      <c r="A47" s="23" t="s">
        <v>697</v>
      </c>
      <c r="B47" s="23" t="s">
        <v>42</v>
      </c>
      <c r="C47" s="23" t="s">
        <v>686</v>
      </c>
      <c r="D47" s="25">
        <v>504</v>
      </c>
      <c r="E47" s="25">
        <v>504</v>
      </c>
      <c r="H47" s="24" t="s">
        <v>696</v>
      </c>
      <c r="M47" s="23" t="s">
        <v>777</v>
      </c>
      <c r="N47" s="23" t="s">
        <v>695</v>
      </c>
      <c r="O47" s="23" t="s">
        <v>694</v>
      </c>
      <c r="P47" s="23" t="s">
        <v>693</v>
      </c>
      <c r="R47" s="23" t="s">
        <v>692</v>
      </c>
      <c r="S47" s="23" t="s">
        <v>691</v>
      </c>
      <c r="U47" s="24">
        <v>0</v>
      </c>
      <c r="V47" s="23" t="s">
        <v>734</v>
      </c>
    </row>
    <row r="48" spans="1:22">
      <c r="A48" s="23" t="s">
        <v>697</v>
      </c>
      <c r="B48" s="23" t="s">
        <v>42</v>
      </c>
      <c r="C48" s="23" t="s">
        <v>687</v>
      </c>
      <c r="D48" s="25">
        <v>101</v>
      </c>
      <c r="E48" s="25">
        <v>101</v>
      </c>
      <c r="H48" s="24" t="s">
        <v>696</v>
      </c>
      <c r="M48" s="23" t="s">
        <v>778</v>
      </c>
      <c r="N48" s="23" t="s">
        <v>695</v>
      </c>
      <c r="O48" s="23" t="s">
        <v>694</v>
      </c>
      <c r="P48" s="23" t="s">
        <v>693</v>
      </c>
      <c r="R48" s="23" t="s">
        <v>692</v>
      </c>
      <c r="S48" s="23" t="s">
        <v>691</v>
      </c>
      <c r="U48" s="24">
        <v>0</v>
      </c>
      <c r="V48" s="23" t="s">
        <v>734</v>
      </c>
    </row>
    <row r="49" spans="1:22">
      <c r="A49" s="23" t="s">
        <v>697</v>
      </c>
      <c r="B49" s="23" t="s">
        <v>42</v>
      </c>
      <c r="C49" s="23" t="s">
        <v>687</v>
      </c>
      <c r="D49" s="25">
        <v>104</v>
      </c>
      <c r="E49" s="25">
        <v>104</v>
      </c>
      <c r="H49" s="24" t="s">
        <v>696</v>
      </c>
      <c r="M49" s="23" t="s">
        <v>779</v>
      </c>
      <c r="N49" s="23" t="s">
        <v>695</v>
      </c>
      <c r="O49" s="23" t="s">
        <v>694</v>
      </c>
      <c r="P49" s="23" t="s">
        <v>693</v>
      </c>
      <c r="R49" s="23" t="s">
        <v>692</v>
      </c>
      <c r="S49" s="23" t="s">
        <v>691</v>
      </c>
      <c r="U49" s="24">
        <v>0</v>
      </c>
      <c r="V49" s="23" t="s">
        <v>734</v>
      </c>
    </row>
    <row r="50" spans="1:22">
      <c r="A50" s="23" t="s">
        <v>697</v>
      </c>
      <c r="B50" s="23" t="s">
        <v>42</v>
      </c>
      <c r="C50" s="23" t="s">
        <v>687</v>
      </c>
      <c r="D50" s="25">
        <v>501</v>
      </c>
      <c r="E50" s="25">
        <v>501</v>
      </c>
      <c r="H50" s="24" t="s">
        <v>696</v>
      </c>
      <c r="M50" s="23" t="s">
        <v>780</v>
      </c>
      <c r="N50" s="23" t="s">
        <v>695</v>
      </c>
      <c r="O50" s="23" t="s">
        <v>694</v>
      </c>
      <c r="P50" s="23" t="s">
        <v>693</v>
      </c>
      <c r="R50" s="23" t="s">
        <v>692</v>
      </c>
      <c r="S50" s="23" t="s">
        <v>691</v>
      </c>
      <c r="U50" s="24">
        <v>0</v>
      </c>
      <c r="V50" s="23" t="s">
        <v>734</v>
      </c>
    </row>
    <row r="51" spans="1:22">
      <c r="A51" s="23" t="s">
        <v>697</v>
      </c>
      <c r="B51" s="23" t="s">
        <v>42</v>
      </c>
      <c r="C51" s="23" t="s">
        <v>687</v>
      </c>
      <c r="D51" s="25">
        <v>504</v>
      </c>
      <c r="E51" s="25">
        <v>504</v>
      </c>
      <c r="H51" s="24" t="s">
        <v>696</v>
      </c>
      <c r="M51" s="23" t="s">
        <v>781</v>
      </c>
      <c r="N51" s="23" t="s">
        <v>695</v>
      </c>
      <c r="O51" s="23" t="s">
        <v>694</v>
      </c>
      <c r="P51" s="23" t="s">
        <v>693</v>
      </c>
      <c r="R51" s="23" t="s">
        <v>692</v>
      </c>
      <c r="S51" s="23" t="s">
        <v>691</v>
      </c>
      <c r="U51" s="24">
        <v>0</v>
      </c>
      <c r="V51" s="23" t="s">
        <v>734</v>
      </c>
    </row>
    <row r="52" spans="1:22">
      <c r="A52" s="23" t="s">
        <v>697</v>
      </c>
      <c r="B52" s="23" t="s">
        <v>680</v>
      </c>
      <c r="C52" s="23" t="s">
        <v>686</v>
      </c>
      <c r="D52" s="25">
        <v>101</v>
      </c>
      <c r="E52" s="25">
        <v>101</v>
      </c>
      <c r="H52" s="24" t="s">
        <v>696</v>
      </c>
      <c r="M52" s="23" t="s">
        <v>782</v>
      </c>
      <c r="N52" s="23" t="s">
        <v>695</v>
      </c>
      <c r="O52" s="23" t="s">
        <v>694</v>
      </c>
      <c r="P52" s="23" t="s">
        <v>693</v>
      </c>
      <c r="R52" s="23" t="s">
        <v>692</v>
      </c>
      <c r="S52" s="23" t="s">
        <v>691</v>
      </c>
      <c r="U52" s="24">
        <v>0</v>
      </c>
      <c r="V52" s="23" t="s">
        <v>734</v>
      </c>
    </row>
    <row r="53" spans="1:22">
      <c r="A53" s="23" t="s">
        <v>697</v>
      </c>
      <c r="B53" s="23" t="s">
        <v>680</v>
      </c>
      <c r="C53" s="23" t="s">
        <v>686</v>
      </c>
      <c r="D53" s="25">
        <v>104</v>
      </c>
      <c r="E53" s="25">
        <v>104</v>
      </c>
      <c r="H53" s="24" t="s">
        <v>696</v>
      </c>
      <c r="M53" s="23" t="s">
        <v>783</v>
      </c>
      <c r="N53" s="23" t="s">
        <v>695</v>
      </c>
      <c r="O53" s="23" t="s">
        <v>694</v>
      </c>
      <c r="P53" s="23" t="s">
        <v>693</v>
      </c>
      <c r="R53" s="23" t="s">
        <v>692</v>
      </c>
      <c r="S53" s="23" t="s">
        <v>691</v>
      </c>
      <c r="U53" s="24">
        <v>0</v>
      </c>
      <c r="V53" s="23" t="s">
        <v>734</v>
      </c>
    </row>
    <row r="54" spans="1:22">
      <c r="A54" s="23" t="s">
        <v>697</v>
      </c>
      <c r="B54" s="23" t="s">
        <v>680</v>
      </c>
      <c r="C54" s="23" t="s">
        <v>686</v>
      </c>
      <c r="D54" s="25">
        <v>601</v>
      </c>
      <c r="E54" s="25">
        <v>601</v>
      </c>
      <c r="H54" s="24" t="s">
        <v>696</v>
      </c>
      <c r="M54" s="23" t="s">
        <v>784</v>
      </c>
      <c r="N54" s="23" t="s">
        <v>695</v>
      </c>
      <c r="O54" s="23" t="s">
        <v>694</v>
      </c>
      <c r="P54" s="23" t="s">
        <v>693</v>
      </c>
      <c r="R54" s="23" t="s">
        <v>692</v>
      </c>
      <c r="S54" s="23" t="s">
        <v>691</v>
      </c>
      <c r="U54" s="24">
        <v>0</v>
      </c>
      <c r="V54" s="23" t="s">
        <v>734</v>
      </c>
    </row>
    <row r="55" spans="1:22">
      <c r="A55" s="23" t="s">
        <v>697</v>
      </c>
      <c r="B55" s="23" t="s">
        <v>680</v>
      </c>
      <c r="C55" s="23" t="s">
        <v>686</v>
      </c>
      <c r="D55" s="25">
        <v>604</v>
      </c>
      <c r="E55" s="25">
        <v>604</v>
      </c>
      <c r="H55" s="24" t="s">
        <v>696</v>
      </c>
      <c r="M55" s="23" t="s">
        <v>785</v>
      </c>
      <c r="N55" s="23" t="s">
        <v>695</v>
      </c>
      <c r="O55" s="23" t="s">
        <v>694</v>
      </c>
      <c r="P55" s="23" t="s">
        <v>693</v>
      </c>
      <c r="R55" s="23" t="s">
        <v>692</v>
      </c>
      <c r="S55" s="23" t="s">
        <v>691</v>
      </c>
      <c r="U55" s="24">
        <v>0</v>
      </c>
      <c r="V55" s="23" t="s">
        <v>734</v>
      </c>
    </row>
    <row r="56" spans="1:22">
      <c r="A56" s="23" t="s">
        <v>697</v>
      </c>
      <c r="B56" s="23" t="s">
        <v>680</v>
      </c>
      <c r="C56" s="23" t="s">
        <v>687</v>
      </c>
      <c r="D56" s="25">
        <v>101</v>
      </c>
      <c r="E56" s="25">
        <v>101</v>
      </c>
      <c r="H56" s="24" t="s">
        <v>696</v>
      </c>
      <c r="M56" s="23" t="s">
        <v>786</v>
      </c>
      <c r="N56" s="23" t="s">
        <v>695</v>
      </c>
      <c r="O56" s="23" t="s">
        <v>694</v>
      </c>
      <c r="P56" s="23" t="s">
        <v>693</v>
      </c>
      <c r="R56" s="23" t="s">
        <v>692</v>
      </c>
      <c r="S56" s="23" t="s">
        <v>691</v>
      </c>
      <c r="U56" s="24">
        <v>0</v>
      </c>
      <c r="V56" s="23" t="s">
        <v>734</v>
      </c>
    </row>
    <row r="57" spans="1:22">
      <c r="A57" s="23" t="s">
        <v>697</v>
      </c>
      <c r="B57" s="23" t="s">
        <v>680</v>
      </c>
      <c r="C57" s="23" t="s">
        <v>687</v>
      </c>
      <c r="D57" s="25">
        <v>104</v>
      </c>
      <c r="E57" s="25">
        <v>104</v>
      </c>
      <c r="H57" s="24" t="s">
        <v>696</v>
      </c>
      <c r="M57" s="23" t="s">
        <v>787</v>
      </c>
      <c r="N57" s="23" t="s">
        <v>695</v>
      </c>
      <c r="O57" s="23" t="s">
        <v>694</v>
      </c>
      <c r="P57" s="23" t="s">
        <v>693</v>
      </c>
      <c r="R57" s="23" t="s">
        <v>692</v>
      </c>
      <c r="S57" s="23" t="s">
        <v>691</v>
      </c>
      <c r="U57" s="24">
        <v>0</v>
      </c>
      <c r="V57" s="23" t="s">
        <v>734</v>
      </c>
    </row>
    <row r="58" spans="1:22">
      <c r="A58" s="23" t="s">
        <v>697</v>
      </c>
      <c r="B58" s="23" t="s">
        <v>680</v>
      </c>
      <c r="C58" s="23" t="s">
        <v>687</v>
      </c>
      <c r="D58" s="25">
        <v>601</v>
      </c>
      <c r="E58" s="25">
        <v>601</v>
      </c>
      <c r="H58" s="24" t="s">
        <v>696</v>
      </c>
      <c r="M58" s="23" t="s">
        <v>788</v>
      </c>
      <c r="N58" s="23" t="s">
        <v>695</v>
      </c>
      <c r="O58" s="23" t="s">
        <v>694</v>
      </c>
      <c r="P58" s="23" t="s">
        <v>693</v>
      </c>
      <c r="R58" s="23" t="s">
        <v>692</v>
      </c>
      <c r="S58" s="23" t="s">
        <v>691</v>
      </c>
      <c r="U58" s="24">
        <v>0</v>
      </c>
      <c r="V58" s="23" t="s">
        <v>734</v>
      </c>
    </row>
    <row r="59" spans="1:22">
      <c r="A59" s="23" t="s">
        <v>697</v>
      </c>
      <c r="B59" s="23" t="s">
        <v>680</v>
      </c>
      <c r="C59" s="23" t="s">
        <v>687</v>
      </c>
      <c r="D59" s="25">
        <v>604</v>
      </c>
      <c r="E59" s="25">
        <v>604</v>
      </c>
      <c r="H59" s="24" t="s">
        <v>696</v>
      </c>
      <c r="M59" s="23" t="s">
        <v>789</v>
      </c>
      <c r="N59" s="23" t="s">
        <v>695</v>
      </c>
      <c r="O59" s="23" t="s">
        <v>694</v>
      </c>
      <c r="P59" s="23" t="s">
        <v>693</v>
      </c>
      <c r="R59" s="23" t="s">
        <v>692</v>
      </c>
      <c r="S59" s="23" t="s">
        <v>691</v>
      </c>
      <c r="U59" s="24">
        <v>0</v>
      </c>
      <c r="V59" s="23" t="s">
        <v>734</v>
      </c>
    </row>
    <row r="60" spans="1:22">
      <c r="A60" s="23" t="s">
        <v>697</v>
      </c>
      <c r="B60" s="23" t="s">
        <v>45</v>
      </c>
      <c r="C60" s="23" t="s">
        <v>686</v>
      </c>
      <c r="D60" s="25">
        <v>101</v>
      </c>
      <c r="E60" s="25">
        <v>101</v>
      </c>
      <c r="H60" s="24" t="s">
        <v>696</v>
      </c>
      <c r="M60" s="23" t="s">
        <v>790</v>
      </c>
      <c r="N60" s="23" t="s">
        <v>695</v>
      </c>
      <c r="O60" s="23" t="s">
        <v>694</v>
      </c>
      <c r="P60" s="23" t="s">
        <v>693</v>
      </c>
      <c r="R60" s="23" t="s">
        <v>692</v>
      </c>
      <c r="S60" s="23" t="s">
        <v>691</v>
      </c>
      <c r="U60" s="24">
        <v>0</v>
      </c>
      <c r="V60" s="23" t="s">
        <v>734</v>
      </c>
    </row>
    <row r="61" spans="1:22">
      <c r="A61" s="23" t="s">
        <v>697</v>
      </c>
      <c r="B61" s="23" t="s">
        <v>45</v>
      </c>
      <c r="C61" s="23" t="s">
        <v>686</v>
      </c>
      <c r="D61" s="25">
        <v>104</v>
      </c>
      <c r="E61" s="25">
        <v>104</v>
      </c>
      <c r="H61" s="24" t="s">
        <v>696</v>
      </c>
      <c r="M61" s="23" t="s">
        <v>791</v>
      </c>
      <c r="N61" s="23" t="s">
        <v>695</v>
      </c>
      <c r="O61" s="23" t="s">
        <v>694</v>
      </c>
      <c r="P61" s="23" t="s">
        <v>693</v>
      </c>
      <c r="R61" s="23" t="s">
        <v>692</v>
      </c>
      <c r="S61" s="23" t="s">
        <v>691</v>
      </c>
      <c r="U61" s="24">
        <v>0</v>
      </c>
      <c r="V61" s="23" t="s">
        <v>734</v>
      </c>
    </row>
    <row r="62" spans="1:22">
      <c r="A62" s="23" t="s">
        <v>697</v>
      </c>
      <c r="B62" s="23" t="s">
        <v>45</v>
      </c>
      <c r="C62" s="23" t="s">
        <v>686</v>
      </c>
      <c r="D62" s="25">
        <v>501</v>
      </c>
      <c r="E62" s="25">
        <v>501</v>
      </c>
      <c r="H62" s="24" t="s">
        <v>696</v>
      </c>
      <c r="M62" s="23" t="s">
        <v>792</v>
      </c>
      <c r="N62" s="23" t="s">
        <v>695</v>
      </c>
      <c r="O62" s="23" t="s">
        <v>694</v>
      </c>
      <c r="P62" s="23" t="s">
        <v>693</v>
      </c>
      <c r="R62" s="23" t="s">
        <v>692</v>
      </c>
      <c r="S62" s="23" t="s">
        <v>691</v>
      </c>
      <c r="U62" s="24">
        <v>0</v>
      </c>
      <c r="V62" s="23" t="s">
        <v>734</v>
      </c>
    </row>
    <row r="63" spans="1:22">
      <c r="A63" s="23" t="s">
        <v>697</v>
      </c>
      <c r="B63" s="23" t="s">
        <v>45</v>
      </c>
      <c r="C63" s="23" t="s">
        <v>686</v>
      </c>
      <c r="D63" s="25">
        <v>504</v>
      </c>
      <c r="E63" s="25">
        <v>504</v>
      </c>
      <c r="H63" s="24" t="s">
        <v>696</v>
      </c>
      <c r="M63" s="23" t="s">
        <v>793</v>
      </c>
      <c r="N63" s="23" t="s">
        <v>695</v>
      </c>
      <c r="O63" s="23" t="s">
        <v>694</v>
      </c>
      <c r="P63" s="23" t="s">
        <v>693</v>
      </c>
      <c r="R63" s="23" t="s">
        <v>692</v>
      </c>
      <c r="S63" s="23" t="s">
        <v>691</v>
      </c>
      <c r="U63" s="24">
        <v>0</v>
      </c>
      <c r="V63" s="23" t="s">
        <v>734</v>
      </c>
    </row>
    <row r="64" spans="1:22">
      <c r="A64" s="23" t="s">
        <v>697</v>
      </c>
      <c r="B64" s="23" t="s">
        <v>45</v>
      </c>
      <c r="C64" s="23" t="s">
        <v>687</v>
      </c>
      <c r="D64" s="25">
        <v>101</v>
      </c>
      <c r="E64" s="25">
        <v>101</v>
      </c>
      <c r="H64" s="24" t="s">
        <v>696</v>
      </c>
      <c r="M64" s="23" t="s">
        <v>794</v>
      </c>
      <c r="N64" s="23" t="s">
        <v>695</v>
      </c>
      <c r="O64" s="23" t="s">
        <v>694</v>
      </c>
      <c r="P64" s="23" t="s">
        <v>693</v>
      </c>
      <c r="R64" s="23" t="s">
        <v>692</v>
      </c>
      <c r="S64" s="23" t="s">
        <v>691</v>
      </c>
      <c r="U64" s="24">
        <v>0</v>
      </c>
      <c r="V64" s="23" t="s">
        <v>734</v>
      </c>
    </row>
    <row r="65" spans="1:22">
      <c r="A65" s="23" t="s">
        <v>697</v>
      </c>
      <c r="B65" s="23" t="s">
        <v>45</v>
      </c>
      <c r="C65" s="23" t="s">
        <v>687</v>
      </c>
      <c r="D65" s="25">
        <v>104</v>
      </c>
      <c r="E65" s="25">
        <v>104</v>
      </c>
      <c r="H65" s="24" t="s">
        <v>696</v>
      </c>
      <c r="M65" s="23" t="s">
        <v>795</v>
      </c>
      <c r="N65" s="23" t="s">
        <v>695</v>
      </c>
      <c r="O65" s="23" t="s">
        <v>694</v>
      </c>
      <c r="P65" s="23" t="s">
        <v>693</v>
      </c>
      <c r="R65" s="23" t="s">
        <v>692</v>
      </c>
      <c r="S65" s="23" t="s">
        <v>691</v>
      </c>
      <c r="U65" s="24">
        <v>0</v>
      </c>
      <c r="V65" s="23" t="s">
        <v>734</v>
      </c>
    </row>
    <row r="66" spans="1:22">
      <c r="A66" s="23" t="s">
        <v>697</v>
      </c>
      <c r="B66" s="23" t="s">
        <v>45</v>
      </c>
      <c r="C66" s="23" t="s">
        <v>687</v>
      </c>
      <c r="D66" s="25">
        <v>501</v>
      </c>
      <c r="E66" s="25">
        <v>501</v>
      </c>
      <c r="H66" s="24" t="s">
        <v>696</v>
      </c>
      <c r="M66" s="23" t="s">
        <v>796</v>
      </c>
      <c r="N66" s="23" t="s">
        <v>695</v>
      </c>
      <c r="O66" s="23" t="s">
        <v>694</v>
      </c>
      <c r="P66" s="23" t="s">
        <v>693</v>
      </c>
      <c r="R66" s="23" t="s">
        <v>692</v>
      </c>
      <c r="S66" s="23" t="s">
        <v>691</v>
      </c>
      <c r="U66" s="24">
        <v>0</v>
      </c>
      <c r="V66" s="23" t="s">
        <v>734</v>
      </c>
    </row>
    <row r="67" spans="1:22">
      <c r="A67" s="23" t="s">
        <v>697</v>
      </c>
      <c r="B67" s="23" t="s">
        <v>45</v>
      </c>
      <c r="C67" s="23" t="s">
        <v>687</v>
      </c>
      <c r="D67" s="25">
        <v>504</v>
      </c>
      <c r="E67" s="25">
        <v>504</v>
      </c>
      <c r="H67" s="24" t="s">
        <v>696</v>
      </c>
      <c r="M67" s="23" t="s">
        <v>797</v>
      </c>
      <c r="N67" s="23" t="s">
        <v>695</v>
      </c>
      <c r="O67" s="23" t="s">
        <v>694</v>
      </c>
      <c r="P67" s="23" t="s">
        <v>693</v>
      </c>
      <c r="R67" s="23" t="s">
        <v>692</v>
      </c>
      <c r="S67" s="23" t="s">
        <v>691</v>
      </c>
      <c r="U67" s="24">
        <v>0</v>
      </c>
      <c r="V67" s="23" t="s">
        <v>734</v>
      </c>
    </row>
    <row r="68" spans="1:22">
      <c r="A68" s="23" t="s">
        <v>697</v>
      </c>
      <c r="B68" s="23" t="s">
        <v>45</v>
      </c>
      <c r="C68" s="23" t="s">
        <v>688</v>
      </c>
      <c r="D68" s="25">
        <v>101</v>
      </c>
      <c r="E68" s="25">
        <v>101</v>
      </c>
      <c r="H68" s="24" t="s">
        <v>696</v>
      </c>
      <c r="M68" s="23" t="s">
        <v>798</v>
      </c>
      <c r="N68" s="23" t="s">
        <v>695</v>
      </c>
      <c r="O68" s="23" t="s">
        <v>694</v>
      </c>
      <c r="P68" s="23" t="s">
        <v>693</v>
      </c>
      <c r="R68" s="23" t="s">
        <v>692</v>
      </c>
      <c r="S68" s="23" t="s">
        <v>691</v>
      </c>
      <c r="U68" s="24">
        <v>0</v>
      </c>
      <c r="V68" s="23" t="s">
        <v>734</v>
      </c>
    </row>
    <row r="69" spans="1:22">
      <c r="A69" s="23" t="s">
        <v>697</v>
      </c>
      <c r="B69" s="23" t="s">
        <v>45</v>
      </c>
      <c r="C69" s="23" t="s">
        <v>688</v>
      </c>
      <c r="D69" s="25">
        <v>104</v>
      </c>
      <c r="E69" s="25">
        <v>104</v>
      </c>
      <c r="H69" s="24" t="s">
        <v>696</v>
      </c>
      <c r="M69" s="23" t="s">
        <v>799</v>
      </c>
      <c r="N69" s="23" t="s">
        <v>695</v>
      </c>
      <c r="O69" s="23" t="s">
        <v>694</v>
      </c>
      <c r="P69" s="23" t="s">
        <v>693</v>
      </c>
      <c r="R69" s="23" t="s">
        <v>692</v>
      </c>
      <c r="S69" s="23" t="s">
        <v>691</v>
      </c>
      <c r="U69" s="24">
        <v>0</v>
      </c>
      <c r="V69" s="23" t="s">
        <v>734</v>
      </c>
    </row>
    <row r="70" spans="1:22">
      <c r="A70" s="23" t="s">
        <v>697</v>
      </c>
      <c r="B70" s="23" t="s">
        <v>45</v>
      </c>
      <c r="C70" s="23" t="s">
        <v>688</v>
      </c>
      <c r="D70" s="25">
        <v>501</v>
      </c>
      <c r="E70" s="25">
        <v>501</v>
      </c>
      <c r="H70" s="24" t="s">
        <v>696</v>
      </c>
      <c r="M70" s="23" t="s">
        <v>800</v>
      </c>
      <c r="N70" s="23" t="s">
        <v>695</v>
      </c>
      <c r="O70" s="23" t="s">
        <v>694</v>
      </c>
      <c r="P70" s="23" t="s">
        <v>693</v>
      </c>
      <c r="R70" s="23" t="s">
        <v>692</v>
      </c>
      <c r="S70" s="23" t="s">
        <v>691</v>
      </c>
      <c r="U70" s="24">
        <v>0</v>
      </c>
      <c r="V70" s="23" t="s">
        <v>734</v>
      </c>
    </row>
    <row r="71" spans="1:22">
      <c r="A71" s="23" t="s">
        <v>697</v>
      </c>
      <c r="B71" s="23" t="s">
        <v>45</v>
      </c>
      <c r="C71" s="23" t="s">
        <v>688</v>
      </c>
      <c r="D71" s="25">
        <v>504</v>
      </c>
      <c r="E71" s="25">
        <v>504</v>
      </c>
      <c r="H71" s="24" t="s">
        <v>696</v>
      </c>
      <c r="M71" s="23" t="s">
        <v>801</v>
      </c>
      <c r="N71" s="23" t="s">
        <v>695</v>
      </c>
      <c r="O71" s="23" t="s">
        <v>694</v>
      </c>
      <c r="P71" s="23" t="s">
        <v>693</v>
      </c>
      <c r="R71" s="23" t="s">
        <v>692</v>
      </c>
      <c r="S71" s="23" t="s">
        <v>691</v>
      </c>
      <c r="U71" s="24">
        <v>0</v>
      </c>
      <c r="V71" s="23" t="s">
        <v>734</v>
      </c>
    </row>
    <row r="72" spans="1:22">
      <c r="A72" s="23" t="s">
        <v>697</v>
      </c>
      <c r="B72" s="23" t="s">
        <v>44</v>
      </c>
      <c r="C72" s="23" t="s">
        <v>686</v>
      </c>
      <c r="D72" s="25">
        <v>101</v>
      </c>
      <c r="E72" s="25">
        <v>101</v>
      </c>
      <c r="H72" s="24" t="s">
        <v>696</v>
      </c>
      <c r="M72" s="23" t="s">
        <v>802</v>
      </c>
      <c r="N72" s="23" t="s">
        <v>695</v>
      </c>
      <c r="O72" s="23" t="s">
        <v>694</v>
      </c>
      <c r="P72" s="23" t="s">
        <v>693</v>
      </c>
      <c r="R72" s="23" t="s">
        <v>692</v>
      </c>
      <c r="S72" s="23" t="s">
        <v>691</v>
      </c>
      <c r="U72" s="24">
        <v>0</v>
      </c>
      <c r="V72" s="23" t="s">
        <v>734</v>
      </c>
    </row>
    <row r="73" spans="1:22">
      <c r="A73" s="23" t="s">
        <v>697</v>
      </c>
      <c r="B73" s="23" t="s">
        <v>44</v>
      </c>
      <c r="C73" s="23" t="s">
        <v>686</v>
      </c>
      <c r="D73" s="25">
        <v>104</v>
      </c>
      <c r="E73" s="25">
        <v>104</v>
      </c>
      <c r="H73" s="24" t="s">
        <v>696</v>
      </c>
      <c r="M73" s="23" t="s">
        <v>803</v>
      </c>
      <c r="N73" s="23" t="s">
        <v>695</v>
      </c>
      <c r="O73" s="23" t="s">
        <v>694</v>
      </c>
      <c r="P73" s="23" t="s">
        <v>693</v>
      </c>
      <c r="R73" s="23" t="s">
        <v>692</v>
      </c>
      <c r="S73" s="23" t="s">
        <v>691</v>
      </c>
      <c r="U73" s="24">
        <v>0</v>
      </c>
      <c r="V73" s="23" t="s">
        <v>734</v>
      </c>
    </row>
    <row r="74" spans="1:22">
      <c r="A74" s="23" t="s">
        <v>697</v>
      </c>
      <c r="B74" s="23" t="s">
        <v>44</v>
      </c>
      <c r="C74" s="23" t="s">
        <v>686</v>
      </c>
      <c r="D74" s="25">
        <v>501</v>
      </c>
      <c r="E74" s="25">
        <v>501</v>
      </c>
      <c r="H74" s="24" t="s">
        <v>696</v>
      </c>
      <c r="M74" s="23" t="s">
        <v>804</v>
      </c>
      <c r="N74" s="23" t="s">
        <v>695</v>
      </c>
      <c r="O74" s="23" t="s">
        <v>694</v>
      </c>
      <c r="P74" s="23" t="s">
        <v>693</v>
      </c>
      <c r="R74" s="23" t="s">
        <v>692</v>
      </c>
      <c r="S74" s="23" t="s">
        <v>691</v>
      </c>
      <c r="U74" s="24">
        <v>0</v>
      </c>
      <c r="V74" s="23" t="s">
        <v>734</v>
      </c>
    </row>
    <row r="75" spans="1:22">
      <c r="A75" s="23" t="s">
        <v>697</v>
      </c>
      <c r="B75" s="23" t="s">
        <v>44</v>
      </c>
      <c r="C75" s="23" t="s">
        <v>686</v>
      </c>
      <c r="D75" s="25">
        <v>504</v>
      </c>
      <c r="E75" s="25">
        <v>504</v>
      </c>
      <c r="H75" s="24" t="s">
        <v>696</v>
      </c>
      <c r="M75" s="23" t="s">
        <v>805</v>
      </c>
      <c r="N75" s="23" t="s">
        <v>695</v>
      </c>
      <c r="O75" s="23" t="s">
        <v>694</v>
      </c>
      <c r="P75" s="23" t="s">
        <v>693</v>
      </c>
      <c r="R75" s="23" t="s">
        <v>692</v>
      </c>
      <c r="S75" s="23" t="s">
        <v>691</v>
      </c>
      <c r="U75" s="24">
        <v>0</v>
      </c>
      <c r="V75" s="23" t="s">
        <v>734</v>
      </c>
    </row>
    <row r="76" spans="1:22">
      <c r="A76" s="23" t="s">
        <v>697</v>
      </c>
      <c r="B76" s="23" t="s">
        <v>44</v>
      </c>
      <c r="C76" s="23" t="s">
        <v>687</v>
      </c>
      <c r="D76" s="25">
        <v>101</v>
      </c>
      <c r="E76" s="25">
        <v>101</v>
      </c>
      <c r="H76" s="24" t="s">
        <v>696</v>
      </c>
      <c r="M76" s="23" t="s">
        <v>806</v>
      </c>
      <c r="N76" s="23" t="s">
        <v>695</v>
      </c>
      <c r="O76" s="23" t="s">
        <v>694</v>
      </c>
      <c r="P76" s="23" t="s">
        <v>693</v>
      </c>
      <c r="R76" s="23" t="s">
        <v>692</v>
      </c>
      <c r="S76" s="23" t="s">
        <v>691</v>
      </c>
      <c r="U76" s="24">
        <v>0</v>
      </c>
      <c r="V76" s="23" t="s">
        <v>734</v>
      </c>
    </row>
    <row r="77" spans="1:22">
      <c r="A77" s="23" t="s">
        <v>697</v>
      </c>
      <c r="B77" s="23" t="s">
        <v>44</v>
      </c>
      <c r="C77" s="23" t="s">
        <v>687</v>
      </c>
      <c r="D77" s="25">
        <v>104</v>
      </c>
      <c r="E77" s="25">
        <v>104</v>
      </c>
      <c r="H77" s="24" t="s">
        <v>696</v>
      </c>
      <c r="M77" s="23" t="s">
        <v>807</v>
      </c>
      <c r="N77" s="23" t="s">
        <v>695</v>
      </c>
      <c r="O77" s="23" t="s">
        <v>694</v>
      </c>
      <c r="P77" s="23" t="s">
        <v>693</v>
      </c>
      <c r="R77" s="23" t="s">
        <v>692</v>
      </c>
      <c r="S77" s="23" t="s">
        <v>691</v>
      </c>
      <c r="U77" s="24">
        <v>0</v>
      </c>
      <c r="V77" s="23" t="s">
        <v>734</v>
      </c>
    </row>
    <row r="78" spans="1:22">
      <c r="A78" s="23" t="s">
        <v>697</v>
      </c>
      <c r="B78" s="23" t="s">
        <v>44</v>
      </c>
      <c r="C78" s="23" t="s">
        <v>687</v>
      </c>
      <c r="D78" s="25">
        <v>501</v>
      </c>
      <c r="E78" s="25">
        <v>501</v>
      </c>
      <c r="H78" s="24" t="s">
        <v>696</v>
      </c>
      <c r="M78" s="23" t="s">
        <v>808</v>
      </c>
      <c r="N78" s="23" t="s">
        <v>695</v>
      </c>
      <c r="O78" s="23" t="s">
        <v>694</v>
      </c>
      <c r="P78" s="23" t="s">
        <v>693</v>
      </c>
      <c r="R78" s="23" t="s">
        <v>692</v>
      </c>
      <c r="S78" s="23" t="s">
        <v>691</v>
      </c>
      <c r="U78" s="24">
        <v>0</v>
      </c>
      <c r="V78" s="23" t="s">
        <v>734</v>
      </c>
    </row>
    <row r="79" spans="1:22">
      <c r="A79" s="23" t="s">
        <v>697</v>
      </c>
      <c r="B79" s="23" t="s">
        <v>44</v>
      </c>
      <c r="C79" s="23" t="s">
        <v>687</v>
      </c>
      <c r="D79" s="25">
        <v>504</v>
      </c>
      <c r="E79" s="25">
        <v>504</v>
      </c>
      <c r="H79" s="24" t="s">
        <v>696</v>
      </c>
      <c r="M79" s="23" t="s">
        <v>809</v>
      </c>
      <c r="N79" s="23" t="s">
        <v>695</v>
      </c>
      <c r="O79" s="23" t="s">
        <v>694</v>
      </c>
      <c r="P79" s="23" t="s">
        <v>693</v>
      </c>
      <c r="R79" s="23" t="s">
        <v>692</v>
      </c>
      <c r="S79" s="23" t="s">
        <v>691</v>
      </c>
      <c r="U79" s="24">
        <v>0</v>
      </c>
      <c r="V79" s="23" t="s">
        <v>734</v>
      </c>
    </row>
    <row r="80" spans="1:22">
      <c r="A80" s="23" t="s">
        <v>697</v>
      </c>
      <c r="B80" s="23" t="s">
        <v>681</v>
      </c>
      <c r="C80" s="23" t="s">
        <v>686</v>
      </c>
      <c r="D80" s="25">
        <v>101</v>
      </c>
      <c r="E80" s="25">
        <v>101</v>
      </c>
      <c r="H80" s="24" t="s">
        <v>696</v>
      </c>
      <c r="M80" s="23" t="s">
        <v>810</v>
      </c>
      <c r="N80" s="23" t="s">
        <v>695</v>
      </c>
      <c r="O80" s="23" t="s">
        <v>694</v>
      </c>
      <c r="P80" s="23" t="s">
        <v>693</v>
      </c>
      <c r="R80" s="23" t="s">
        <v>692</v>
      </c>
      <c r="S80" s="23" t="s">
        <v>691</v>
      </c>
      <c r="U80" s="24">
        <v>0</v>
      </c>
      <c r="V80" s="23" t="s">
        <v>734</v>
      </c>
    </row>
    <row r="81" spans="1:22">
      <c r="A81" s="23" t="s">
        <v>697</v>
      </c>
      <c r="B81" s="23" t="s">
        <v>681</v>
      </c>
      <c r="C81" s="23" t="s">
        <v>686</v>
      </c>
      <c r="D81" s="25">
        <v>104</v>
      </c>
      <c r="E81" s="25">
        <v>104</v>
      </c>
      <c r="H81" s="24" t="s">
        <v>696</v>
      </c>
      <c r="M81" s="23" t="s">
        <v>811</v>
      </c>
      <c r="N81" s="23" t="s">
        <v>695</v>
      </c>
      <c r="O81" s="23" t="s">
        <v>694</v>
      </c>
      <c r="P81" s="23" t="s">
        <v>693</v>
      </c>
      <c r="R81" s="23" t="s">
        <v>692</v>
      </c>
      <c r="S81" s="23" t="s">
        <v>691</v>
      </c>
      <c r="U81" s="24">
        <v>0</v>
      </c>
      <c r="V81" s="23" t="s">
        <v>734</v>
      </c>
    </row>
    <row r="82" spans="1:22">
      <c r="A82" s="23" t="s">
        <v>697</v>
      </c>
      <c r="B82" s="23" t="s">
        <v>681</v>
      </c>
      <c r="C82" s="23" t="s">
        <v>686</v>
      </c>
      <c r="D82" s="25">
        <v>601</v>
      </c>
      <c r="E82" s="25">
        <v>601</v>
      </c>
      <c r="H82" s="24" t="s">
        <v>696</v>
      </c>
      <c r="M82" s="23" t="s">
        <v>812</v>
      </c>
      <c r="N82" s="23" t="s">
        <v>695</v>
      </c>
      <c r="O82" s="23" t="s">
        <v>694</v>
      </c>
      <c r="P82" s="23" t="s">
        <v>693</v>
      </c>
      <c r="R82" s="23" t="s">
        <v>692</v>
      </c>
      <c r="S82" s="23" t="s">
        <v>691</v>
      </c>
      <c r="U82" s="24">
        <v>0</v>
      </c>
      <c r="V82" s="23" t="s">
        <v>734</v>
      </c>
    </row>
    <row r="83" spans="1:22">
      <c r="A83" s="23" t="s">
        <v>697</v>
      </c>
      <c r="B83" s="23" t="s">
        <v>681</v>
      </c>
      <c r="C83" s="23" t="s">
        <v>686</v>
      </c>
      <c r="D83" s="25">
        <v>604</v>
      </c>
      <c r="E83" s="25">
        <v>604</v>
      </c>
      <c r="H83" s="24" t="s">
        <v>696</v>
      </c>
      <c r="M83" s="23" t="s">
        <v>813</v>
      </c>
      <c r="N83" s="23" t="s">
        <v>695</v>
      </c>
      <c r="O83" s="23" t="s">
        <v>694</v>
      </c>
      <c r="P83" s="23" t="s">
        <v>693</v>
      </c>
      <c r="R83" s="23" t="s">
        <v>692</v>
      </c>
      <c r="S83" s="23" t="s">
        <v>691</v>
      </c>
      <c r="U83" s="24">
        <v>0</v>
      </c>
      <c r="V83" s="23" t="s">
        <v>734</v>
      </c>
    </row>
    <row r="84" spans="1:22">
      <c r="A84" s="23" t="s">
        <v>697</v>
      </c>
      <c r="B84" s="23" t="s">
        <v>681</v>
      </c>
      <c r="C84" s="23" t="s">
        <v>687</v>
      </c>
      <c r="D84" s="25">
        <v>101</v>
      </c>
      <c r="E84" s="25">
        <v>101</v>
      </c>
      <c r="H84" s="24" t="s">
        <v>696</v>
      </c>
      <c r="M84" s="23" t="s">
        <v>814</v>
      </c>
      <c r="N84" s="23" t="s">
        <v>695</v>
      </c>
      <c r="O84" s="23" t="s">
        <v>694</v>
      </c>
      <c r="P84" s="23" t="s">
        <v>693</v>
      </c>
      <c r="R84" s="23" t="s">
        <v>692</v>
      </c>
      <c r="S84" s="23" t="s">
        <v>691</v>
      </c>
      <c r="U84" s="24">
        <v>0</v>
      </c>
      <c r="V84" s="23" t="s">
        <v>734</v>
      </c>
    </row>
    <row r="85" spans="1:22">
      <c r="A85" s="23" t="s">
        <v>697</v>
      </c>
      <c r="B85" s="23" t="s">
        <v>681</v>
      </c>
      <c r="C85" s="23" t="s">
        <v>687</v>
      </c>
      <c r="D85" s="25">
        <v>104</v>
      </c>
      <c r="E85" s="25">
        <v>104</v>
      </c>
      <c r="H85" s="24" t="s">
        <v>696</v>
      </c>
      <c r="M85" s="23" t="s">
        <v>815</v>
      </c>
      <c r="N85" s="23" t="s">
        <v>695</v>
      </c>
      <c r="O85" s="23" t="s">
        <v>694</v>
      </c>
      <c r="P85" s="23" t="s">
        <v>693</v>
      </c>
      <c r="R85" s="23" t="s">
        <v>692</v>
      </c>
      <c r="S85" s="23" t="s">
        <v>691</v>
      </c>
      <c r="U85" s="24">
        <v>0</v>
      </c>
      <c r="V85" s="23" t="s">
        <v>734</v>
      </c>
    </row>
    <row r="86" spans="1:22">
      <c r="A86" s="23" t="s">
        <v>697</v>
      </c>
      <c r="B86" s="23" t="s">
        <v>681</v>
      </c>
      <c r="C86" s="23" t="s">
        <v>687</v>
      </c>
      <c r="D86" s="25">
        <v>601</v>
      </c>
      <c r="E86" s="25">
        <v>601</v>
      </c>
      <c r="H86" s="24" t="s">
        <v>696</v>
      </c>
      <c r="M86" s="23" t="s">
        <v>816</v>
      </c>
      <c r="N86" s="23" t="s">
        <v>695</v>
      </c>
      <c r="O86" s="23" t="s">
        <v>694</v>
      </c>
      <c r="P86" s="23" t="s">
        <v>693</v>
      </c>
      <c r="R86" s="23" t="s">
        <v>692</v>
      </c>
      <c r="S86" s="23" t="s">
        <v>691</v>
      </c>
      <c r="U86" s="24">
        <v>0</v>
      </c>
      <c r="V86" s="23" t="s">
        <v>734</v>
      </c>
    </row>
    <row r="87" spans="1:22">
      <c r="A87" s="23" t="s">
        <v>697</v>
      </c>
      <c r="B87" s="23" t="s">
        <v>681</v>
      </c>
      <c r="C87" s="23" t="s">
        <v>687</v>
      </c>
      <c r="D87" s="25">
        <v>604</v>
      </c>
      <c r="E87" s="25">
        <v>604</v>
      </c>
      <c r="H87" s="24" t="s">
        <v>696</v>
      </c>
      <c r="M87" s="23" t="s">
        <v>817</v>
      </c>
      <c r="N87" s="23" t="s">
        <v>695</v>
      </c>
      <c r="O87" s="23" t="s">
        <v>694</v>
      </c>
      <c r="P87" s="23" t="s">
        <v>693</v>
      </c>
      <c r="R87" s="23" t="s">
        <v>692</v>
      </c>
      <c r="S87" s="23" t="s">
        <v>691</v>
      </c>
      <c r="U87" s="24">
        <v>0</v>
      </c>
      <c r="V87" s="23" t="s">
        <v>734</v>
      </c>
    </row>
    <row r="88" spans="1:22">
      <c r="A88" s="23" t="s">
        <v>697</v>
      </c>
      <c r="B88" s="23" t="s">
        <v>682</v>
      </c>
      <c r="C88" s="23" t="s">
        <v>686</v>
      </c>
      <c r="D88" s="25">
        <v>101</v>
      </c>
      <c r="E88" s="25">
        <v>101</v>
      </c>
      <c r="H88" s="24" t="s">
        <v>696</v>
      </c>
      <c r="M88" s="23" t="s">
        <v>818</v>
      </c>
      <c r="N88" s="23" t="s">
        <v>695</v>
      </c>
      <c r="O88" s="23" t="s">
        <v>694</v>
      </c>
      <c r="P88" s="23" t="s">
        <v>693</v>
      </c>
      <c r="R88" s="23" t="s">
        <v>692</v>
      </c>
      <c r="S88" s="23" t="s">
        <v>691</v>
      </c>
      <c r="U88" s="24">
        <v>0</v>
      </c>
      <c r="V88" s="23" t="s">
        <v>734</v>
      </c>
    </row>
    <row r="89" spans="1:22">
      <c r="A89" s="23" t="s">
        <v>697</v>
      </c>
      <c r="B89" s="23" t="s">
        <v>682</v>
      </c>
      <c r="C89" s="23" t="s">
        <v>686</v>
      </c>
      <c r="D89" s="25">
        <v>102</v>
      </c>
      <c r="E89" s="25">
        <v>102</v>
      </c>
      <c r="H89" s="24" t="s">
        <v>696</v>
      </c>
      <c r="M89" s="23" t="s">
        <v>819</v>
      </c>
      <c r="N89" s="23" t="s">
        <v>695</v>
      </c>
      <c r="O89" s="23" t="s">
        <v>694</v>
      </c>
      <c r="P89" s="23" t="s">
        <v>693</v>
      </c>
      <c r="R89" s="23" t="s">
        <v>692</v>
      </c>
      <c r="S89" s="23" t="s">
        <v>691</v>
      </c>
      <c r="U89" s="24">
        <v>0</v>
      </c>
      <c r="V89" s="23" t="s">
        <v>734</v>
      </c>
    </row>
    <row r="90" spans="1:22">
      <c r="A90" s="23" t="s">
        <v>697</v>
      </c>
      <c r="B90" s="23" t="s">
        <v>682</v>
      </c>
      <c r="C90" s="23" t="s">
        <v>686</v>
      </c>
      <c r="D90" s="25">
        <v>501</v>
      </c>
      <c r="E90" s="25">
        <v>501</v>
      </c>
      <c r="H90" s="24" t="s">
        <v>696</v>
      </c>
      <c r="M90" s="23" t="s">
        <v>820</v>
      </c>
      <c r="N90" s="23" t="s">
        <v>695</v>
      </c>
      <c r="O90" s="23" t="s">
        <v>694</v>
      </c>
      <c r="P90" s="23" t="s">
        <v>693</v>
      </c>
      <c r="R90" s="23" t="s">
        <v>692</v>
      </c>
      <c r="S90" s="23" t="s">
        <v>691</v>
      </c>
      <c r="U90" s="24">
        <v>0</v>
      </c>
      <c r="V90" s="23" t="s">
        <v>734</v>
      </c>
    </row>
    <row r="91" spans="1:22">
      <c r="A91" s="23" t="s">
        <v>697</v>
      </c>
      <c r="B91" s="23" t="s">
        <v>682</v>
      </c>
      <c r="C91" s="23" t="s">
        <v>686</v>
      </c>
      <c r="D91" s="25">
        <v>502</v>
      </c>
      <c r="E91" s="25">
        <v>502</v>
      </c>
      <c r="H91" s="24" t="s">
        <v>696</v>
      </c>
      <c r="M91" s="23" t="s">
        <v>821</v>
      </c>
      <c r="N91" s="23" t="s">
        <v>695</v>
      </c>
      <c r="O91" s="23" t="s">
        <v>694</v>
      </c>
      <c r="P91" s="23" t="s">
        <v>693</v>
      </c>
      <c r="R91" s="23" t="s">
        <v>692</v>
      </c>
      <c r="S91" s="23" t="s">
        <v>691</v>
      </c>
      <c r="U91" s="24">
        <v>0</v>
      </c>
      <c r="V91" s="23" t="s">
        <v>734</v>
      </c>
    </row>
    <row r="92" spans="1:22">
      <c r="A92" s="23" t="s">
        <v>697</v>
      </c>
      <c r="B92" s="23" t="s">
        <v>682</v>
      </c>
      <c r="C92" s="23" t="s">
        <v>687</v>
      </c>
      <c r="D92" s="25">
        <v>101</v>
      </c>
      <c r="E92" s="25">
        <v>101</v>
      </c>
      <c r="H92" s="24" t="s">
        <v>696</v>
      </c>
      <c r="M92" s="23" t="s">
        <v>822</v>
      </c>
      <c r="N92" s="23" t="s">
        <v>695</v>
      </c>
      <c r="O92" s="23" t="s">
        <v>694</v>
      </c>
      <c r="P92" s="23" t="s">
        <v>693</v>
      </c>
      <c r="R92" s="23" t="s">
        <v>692</v>
      </c>
      <c r="S92" s="23" t="s">
        <v>691</v>
      </c>
      <c r="U92" s="24">
        <v>0</v>
      </c>
      <c r="V92" s="23" t="s">
        <v>734</v>
      </c>
    </row>
    <row r="93" spans="1:22">
      <c r="A93" s="23" t="s">
        <v>697</v>
      </c>
      <c r="B93" s="23" t="s">
        <v>682</v>
      </c>
      <c r="C93" s="23" t="s">
        <v>687</v>
      </c>
      <c r="D93" s="25">
        <v>102</v>
      </c>
      <c r="E93" s="25">
        <v>102</v>
      </c>
      <c r="H93" s="24" t="s">
        <v>696</v>
      </c>
      <c r="M93" s="23" t="s">
        <v>823</v>
      </c>
      <c r="N93" s="23" t="s">
        <v>695</v>
      </c>
      <c r="O93" s="23" t="s">
        <v>694</v>
      </c>
      <c r="P93" s="23" t="s">
        <v>693</v>
      </c>
      <c r="R93" s="23" t="s">
        <v>692</v>
      </c>
      <c r="S93" s="23" t="s">
        <v>691</v>
      </c>
      <c r="U93" s="24">
        <v>0</v>
      </c>
      <c r="V93" s="23" t="s">
        <v>734</v>
      </c>
    </row>
    <row r="94" spans="1:22">
      <c r="A94" s="23" t="s">
        <v>697</v>
      </c>
      <c r="B94" s="23" t="s">
        <v>682</v>
      </c>
      <c r="C94" s="23" t="s">
        <v>687</v>
      </c>
      <c r="D94" s="25">
        <v>501</v>
      </c>
      <c r="E94" s="25">
        <v>501</v>
      </c>
      <c r="H94" s="24" t="s">
        <v>696</v>
      </c>
      <c r="M94" s="23" t="s">
        <v>824</v>
      </c>
      <c r="N94" s="23" t="s">
        <v>695</v>
      </c>
      <c r="O94" s="23" t="s">
        <v>694</v>
      </c>
      <c r="P94" s="23" t="s">
        <v>693</v>
      </c>
      <c r="R94" s="23" t="s">
        <v>692</v>
      </c>
      <c r="S94" s="23" t="s">
        <v>691</v>
      </c>
      <c r="U94" s="24">
        <v>0</v>
      </c>
      <c r="V94" s="23" t="s">
        <v>734</v>
      </c>
    </row>
    <row r="95" spans="1:22">
      <c r="A95" s="23" t="s">
        <v>697</v>
      </c>
      <c r="B95" s="23" t="s">
        <v>682</v>
      </c>
      <c r="C95" s="23" t="s">
        <v>687</v>
      </c>
      <c r="D95" s="25">
        <v>502</v>
      </c>
      <c r="E95" s="25">
        <v>502</v>
      </c>
      <c r="H95" s="24" t="s">
        <v>696</v>
      </c>
      <c r="M95" s="23" t="s">
        <v>825</v>
      </c>
      <c r="N95" s="23" t="s">
        <v>695</v>
      </c>
      <c r="O95" s="23" t="s">
        <v>694</v>
      </c>
      <c r="P95" s="23" t="s">
        <v>693</v>
      </c>
      <c r="R95" s="23" t="s">
        <v>692</v>
      </c>
      <c r="S95" s="23" t="s">
        <v>691</v>
      </c>
      <c r="U95" s="24">
        <v>0</v>
      </c>
      <c r="V95" s="23" t="s">
        <v>734</v>
      </c>
    </row>
    <row r="96" spans="1:22">
      <c r="A96" s="23" t="s">
        <v>697</v>
      </c>
      <c r="B96" s="23" t="s">
        <v>682</v>
      </c>
      <c r="C96" s="23" t="s">
        <v>688</v>
      </c>
      <c r="D96" s="25">
        <v>101</v>
      </c>
      <c r="E96" s="25">
        <v>101</v>
      </c>
      <c r="H96" s="24" t="s">
        <v>696</v>
      </c>
      <c r="M96" s="23" t="s">
        <v>826</v>
      </c>
      <c r="N96" s="23" t="s">
        <v>695</v>
      </c>
      <c r="O96" s="23" t="s">
        <v>694</v>
      </c>
      <c r="P96" s="23" t="s">
        <v>693</v>
      </c>
      <c r="R96" s="23" t="s">
        <v>692</v>
      </c>
      <c r="S96" s="23" t="s">
        <v>691</v>
      </c>
      <c r="U96" s="24">
        <v>0</v>
      </c>
      <c r="V96" s="23" t="s">
        <v>734</v>
      </c>
    </row>
    <row r="97" spans="1:22">
      <c r="A97" s="23" t="s">
        <v>697</v>
      </c>
      <c r="B97" s="23" t="s">
        <v>682</v>
      </c>
      <c r="C97" s="23" t="s">
        <v>688</v>
      </c>
      <c r="D97" s="25">
        <v>102</v>
      </c>
      <c r="E97" s="25">
        <v>102</v>
      </c>
      <c r="H97" s="24" t="s">
        <v>696</v>
      </c>
      <c r="M97" s="23" t="s">
        <v>827</v>
      </c>
      <c r="N97" s="23" t="s">
        <v>695</v>
      </c>
      <c r="O97" s="23" t="s">
        <v>694</v>
      </c>
      <c r="P97" s="23" t="s">
        <v>693</v>
      </c>
      <c r="R97" s="23" t="s">
        <v>692</v>
      </c>
      <c r="S97" s="23" t="s">
        <v>691</v>
      </c>
      <c r="U97" s="24">
        <v>0</v>
      </c>
      <c r="V97" s="23" t="s">
        <v>734</v>
      </c>
    </row>
    <row r="98" spans="1:22">
      <c r="A98" s="23" t="s">
        <v>697</v>
      </c>
      <c r="B98" s="23" t="s">
        <v>682</v>
      </c>
      <c r="C98" s="23" t="s">
        <v>688</v>
      </c>
      <c r="D98" s="25">
        <v>501</v>
      </c>
      <c r="E98" s="25">
        <v>501</v>
      </c>
      <c r="H98" s="24" t="s">
        <v>696</v>
      </c>
      <c r="M98" s="23" t="s">
        <v>828</v>
      </c>
      <c r="N98" s="23" t="s">
        <v>695</v>
      </c>
      <c r="O98" s="23" t="s">
        <v>694</v>
      </c>
      <c r="P98" s="23" t="s">
        <v>693</v>
      </c>
      <c r="R98" s="23" t="s">
        <v>692</v>
      </c>
      <c r="S98" s="23" t="s">
        <v>691</v>
      </c>
      <c r="U98" s="24">
        <v>0</v>
      </c>
      <c r="V98" s="23" t="s">
        <v>734</v>
      </c>
    </row>
    <row r="99" spans="1:22">
      <c r="A99" s="23" t="s">
        <v>697</v>
      </c>
      <c r="B99" s="23" t="s">
        <v>682</v>
      </c>
      <c r="C99" s="23" t="s">
        <v>688</v>
      </c>
      <c r="D99" s="25">
        <v>502</v>
      </c>
      <c r="E99" s="25">
        <v>502</v>
      </c>
      <c r="H99" s="24" t="s">
        <v>696</v>
      </c>
      <c r="M99" s="23" t="s">
        <v>829</v>
      </c>
      <c r="N99" s="23" t="s">
        <v>695</v>
      </c>
      <c r="O99" s="23" t="s">
        <v>694</v>
      </c>
      <c r="P99" s="23" t="s">
        <v>693</v>
      </c>
      <c r="R99" s="23" t="s">
        <v>692</v>
      </c>
      <c r="S99" s="23" t="s">
        <v>691</v>
      </c>
      <c r="U99" s="24">
        <v>0</v>
      </c>
      <c r="V99" s="23" t="s">
        <v>734</v>
      </c>
    </row>
    <row r="100" spans="1:22">
      <c r="A100" s="23" t="s">
        <v>697</v>
      </c>
      <c r="B100" s="23" t="s">
        <v>683</v>
      </c>
      <c r="C100" s="23" t="s">
        <v>686</v>
      </c>
      <c r="D100" s="25">
        <v>101</v>
      </c>
      <c r="E100" s="25">
        <v>101</v>
      </c>
      <c r="H100" s="24" t="s">
        <v>696</v>
      </c>
      <c r="M100" s="23" t="s">
        <v>830</v>
      </c>
      <c r="N100" s="23" t="s">
        <v>695</v>
      </c>
      <c r="O100" s="23" t="s">
        <v>694</v>
      </c>
      <c r="P100" s="23" t="s">
        <v>693</v>
      </c>
      <c r="R100" s="23" t="s">
        <v>692</v>
      </c>
      <c r="S100" s="23" t="s">
        <v>691</v>
      </c>
      <c r="U100" s="24">
        <v>0</v>
      </c>
      <c r="V100" s="23" t="s">
        <v>734</v>
      </c>
    </row>
    <row r="101" spans="1:22">
      <c r="A101" s="23" t="s">
        <v>697</v>
      </c>
      <c r="B101" s="23" t="s">
        <v>683</v>
      </c>
      <c r="C101" s="23" t="s">
        <v>686</v>
      </c>
      <c r="D101" s="25">
        <v>102</v>
      </c>
      <c r="E101" s="25">
        <v>102</v>
      </c>
      <c r="H101" s="24" t="s">
        <v>696</v>
      </c>
      <c r="M101" s="23" t="s">
        <v>831</v>
      </c>
      <c r="N101" s="23" t="s">
        <v>695</v>
      </c>
      <c r="O101" s="23" t="s">
        <v>694</v>
      </c>
      <c r="P101" s="23" t="s">
        <v>693</v>
      </c>
      <c r="R101" s="23" t="s">
        <v>692</v>
      </c>
      <c r="S101" s="23" t="s">
        <v>691</v>
      </c>
      <c r="U101" s="24">
        <v>0</v>
      </c>
      <c r="V101" s="23" t="s">
        <v>734</v>
      </c>
    </row>
    <row r="102" spans="1:22">
      <c r="A102" s="23" t="s">
        <v>697</v>
      </c>
      <c r="B102" s="23" t="s">
        <v>683</v>
      </c>
      <c r="C102" s="23" t="s">
        <v>686</v>
      </c>
      <c r="D102" s="25">
        <v>501</v>
      </c>
      <c r="E102" s="25">
        <v>501</v>
      </c>
      <c r="H102" s="24" t="s">
        <v>696</v>
      </c>
      <c r="M102" s="23" t="s">
        <v>832</v>
      </c>
      <c r="N102" s="23" t="s">
        <v>695</v>
      </c>
      <c r="O102" s="23" t="s">
        <v>694</v>
      </c>
      <c r="P102" s="23" t="s">
        <v>693</v>
      </c>
      <c r="R102" s="23" t="s">
        <v>692</v>
      </c>
      <c r="S102" s="23" t="s">
        <v>691</v>
      </c>
      <c r="U102" s="24">
        <v>0</v>
      </c>
      <c r="V102" s="23" t="s">
        <v>734</v>
      </c>
    </row>
    <row r="103" spans="1:22">
      <c r="A103" s="23" t="s">
        <v>697</v>
      </c>
      <c r="B103" s="23" t="s">
        <v>683</v>
      </c>
      <c r="C103" s="23" t="s">
        <v>686</v>
      </c>
      <c r="D103" s="25">
        <v>502</v>
      </c>
      <c r="E103" s="25">
        <v>502</v>
      </c>
      <c r="H103" s="24" t="s">
        <v>696</v>
      </c>
      <c r="M103" s="23" t="s">
        <v>833</v>
      </c>
      <c r="N103" s="23" t="s">
        <v>695</v>
      </c>
      <c r="O103" s="23" t="s">
        <v>694</v>
      </c>
      <c r="P103" s="23" t="s">
        <v>693</v>
      </c>
      <c r="R103" s="23" t="s">
        <v>692</v>
      </c>
      <c r="S103" s="23" t="s">
        <v>691</v>
      </c>
      <c r="U103" s="24">
        <v>0</v>
      </c>
      <c r="V103" s="23" t="s">
        <v>734</v>
      </c>
    </row>
    <row r="104" spans="1:22">
      <c r="A104" s="23" t="s">
        <v>697</v>
      </c>
      <c r="B104" s="23" t="s">
        <v>683</v>
      </c>
      <c r="C104" s="23" t="s">
        <v>687</v>
      </c>
      <c r="D104" s="25">
        <v>101</v>
      </c>
      <c r="E104" s="25">
        <v>101</v>
      </c>
      <c r="H104" s="24" t="s">
        <v>696</v>
      </c>
      <c r="M104" s="23" t="s">
        <v>834</v>
      </c>
      <c r="N104" s="23" t="s">
        <v>695</v>
      </c>
      <c r="O104" s="23" t="s">
        <v>694</v>
      </c>
      <c r="P104" s="23" t="s">
        <v>693</v>
      </c>
      <c r="R104" s="23" t="s">
        <v>692</v>
      </c>
      <c r="S104" s="23" t="s">
        <v>691</v>
      </c>
      <c r="U104" s="24">
        <v>0</v>
      </c>
      <c r="V104" s="23" t="s">
        <v>734</v>
      </c>
    </row>
    <row r="105" spans="1:22">
      <c r="A105" s="23" t="s">
        <v>697</v>
      </c>
      <c r="B105" s="23" t="s">
        <v>683</v>
      </c>
      <c r="C105" s="23" t="s">
        <v>687</v>
      </c>
      <c r="D105" s="25">
        <v>102</v>
      </c>
      <c r="E105" s="25">
        <v>102</v>
      </c>
      <c r="H105" s="24" t="s">
        <v>696</v>
      </c>
      <c r="M105" s="23" t="s">
        <v>835</v>
      </c>
      <c r="N105" s="23" t="s">
        <v>695</v>
      </c>
      <c r="O105" s="23" t="s">
        <v>694</v>
      </c>
      <c r="P105" s="23" t="s">
        <v>693</v>
      </c>
      <c r="R105" s="23" t="s">
        <v>692</v>
      </c>
      <c r="S105" s="23" t="s">
        <v>691</v>
      </c>
      <c r="U105" s="24">
        <v>0</v>
      </c>
      <c r="V105" s="23" t="s">
        <v>734</v>
      </c>
    </row>
    <row r="106" spans="1:22">
      <c r="A106" s="23" t="s">
        <v>697</v>
      </c>
      <c r="B106" s="23" t="s">
        <v>683</v>
      </c>
      <c r="C106" s="23" t="s">
        <v>687</v>
      </c>
      <c r="D106" s="25">
        <v>501</v>
      </c>
      <c r="E106" s="25">
        <v>501</v>
      </c>
      <c r="H106" s="24" t="s">
        <v>696</v>
      </c>
      <c r="M106" s="23" t="s">
        <v>836</v>
      </c>
      <c r="N106" s="23" t="s">
        <v>695</v>
      </c>
      <c r="O106" s="23" t="s">
        <v>694</v>
      </c>
      <c r="P106" s="23" t="s">
        <v>693</v>
      </c>
      <c r="R106" s="23" t="s">
        <v>692</v>
      </c>
      <c r="S106" s="23" t="s">
        <v>691</v>
      </c>
      <c r="U106" s="24">
        <v>0</v>
      </c>
      <c r="V106" s="23" t="s">
        <v>734</v>
      </c>
    </row>
    <row r="107" spans="1:22">
      <c r="A107" s="23" t="s">
        <v>697</v>
      </c>
      <c r="B107" s="23" t="s">
        <v>683</v>
      </c>
      <c r="C107" s="23" t="s">
        <v>687</v>
      </c>
      <c r="D107" s="25">
        <v>502</v>
      </c>
      <c r="E107" s="25">
        <v>502</v>
      </c>
      <c r="H107" s="24" t="s">
        <v>696</v>
      </c>
      <c r="M107" s="23" t="s">
        <v>837</v>
      </c>
      <c r="N107" s="23" t="s">
        <v>695</v>
      </c>
      <c r="O107" s="23" t="s">
        <v>694</v>
      </c>
      <c r="P107" s="23" t="s">
        <v>693</v>
      </c>
      <c r="R107" s="23" t="s">
        <v>692</v>
      </c>
      <c r="S107" s="23" t="s">
        <v>691</v>
      </c>
      <c r="U107" s="24">
        <v>0</v>
      </c>
      <c r="V107" s="23" t="s">
        <v>734</v>
      </c>
    </row>
    <row r="108" spans="1:22">
      <c r="A108" s="23" t="s">
        <v>697</v>
      </c>
      <c r="B108" s="23" t="s">
        <v>683</v>
      </c>
      <c r="C108" s="23" t="s">
        <v>688</v>
      </c>
      <c r="D108" s="25">
        <v>101</v>
      </c>
      <c r="E108" s="25">
        <v>101</v>
      </c>
      <c r="H108" s="24" t="s">
        <v>696</v>
      </c>
      <c r="M108" s="23" t="s">
        <v>838</v>
      </c>
      <c r="N108" s="23" t="s">
        <v>695</v>
      </c>
      <c r="O108" s="23" t="s">
        <v>694</v>
      </c>
      <c r="P108" s="23" t="s">
        <v>693</v>
      </c>
      <c r="R108" s="23" t="s">
        <v>692</v>
      </c>
      <c r="S108" s="23" t="s">
        <v>691</v>
      </c>
      <c r="U108" s="24">
        <v>0</v>
      </c>
      <c r="V108" s="23" t="s">
        <v>734</v>
      </c>
    </row>
    <row r="109" spans="1:22">
      <c r="A109" s="23" t="s">
        <v>697</v>
      </c>
      <c r="B109" s="23" t="s">
        <v>683</v>
      </c>
      <c r="C109" s="23" t="s">
        <v>688</v>
      </c>
      <c r="D109" s="25">
        <v>102</v>
      </c>
      <c r="E109" s="25">
        <v>102</v>
      </c>
      <c r="H109" s="24" t="s">
        <v>696</v>
      </c>
      <c r="M109" s="23" t="s">
        <v>839</v>
      </c>
      <c r="N109" s="23" t="s">
        <v>695</v>
      </c>
      <c r="O109" s="23" t="s">
        <v>694</v>
      </c>
      <c r="P109" s="23" t="s">
        <v>693</v>
      </c>
      <c r="R109" s="23" t="s">
        <v>692</v>
      </c>
      <c r="S109" s="23" t="s">
        <v>691</v>
      </c>
      <c r="U109" s="24">
        <v>0</v>
      </c>
      <c r="V109" s="23" t="s">
        <v>734</v>
      </c>
    </row>
    <row r="110" spans="1:22">
      <c r="A110" s="23" t="s">
        <v>697</v>
      </c>
      <c r="B110" s="23" t="s">
        <v>683</v>
      </c>
      <c r="C110" s="23" t="s">
        <v>688</v>
      </c>
      <c r="D110" s="25">
        <v>501</v>
      </c>
      <c r="E110" s="25">
        <v>501</v>
      </c>
      <c r="H110" s="24" t="s">
        <v>696</v>
      </c>
      <c r="M110" s="23" t="s">
        <v>840</v>
      </c>
      <c r="N110" s="23" t="s">
        <v>695</v>
      </c>
      <c r="O110" s="23" t="s">
        <v>694</v>
      </c>
      <c r="P110" s="23" t="s">
        <v>693</v>
      </c>
      <c r="R110" s="23" t="s">
        <v>692</v>
      </c>
      <c r="S110" s="23" t="s">
        <v>691</v>
      </c>
      <c r="U110" s="24">
        <v>0</v>
      </c>
      <c r="V110" s="23" t="s">
        <v>734</v>
      </c>
    </row>
    <row r="111" spans="1:22">
      <c r="A111" s="23" t="s">
        <v>697</v>
      </c>
      <c r="B111" s="23" t="s">
        <v>683</v>
      </c>
      <c r="C111" s="23" t="s">
        <v>688</v>
      </c>
      <c r="D111" s="25">
        <v>502</v>
      </c>
      <c r="E111" s="25">
        <v>502</v>
      </c>
      <c r="H111" s="24" t="s">
        <v>696</v>
      </c>
      <c r="M111" s="23" t="s">
        <v>841</v>
      </c>
      <c r="N111" s="23" t="s">
        <v>695</v>
      </c>
      <c r="O111" s="23" t="s">
        <v>694</v>
      </c>
      <c r="P111" s="23" t="s">
        <v>693</v>
      </c>
      <c r="R111" s="23" t="s">
        <v>692</v>
      </c>
      <c r="S111" s="23" t="s">
        <v>691</v>
      </c>
      <c r="U111" s="24">
        <v>0</v>
      </c>
      <c r="V111" s="23" t="s">
        <v>734</v>
      </c>
    </row>
    <row r="112" spans="1:22">
      <c r="A112" s="23" t="s">
        <v>697</v>
      </c>
      <c r="B112" s="23" t="s">
        <v>684</v>
      </c>
      <c r="C112" s="23" t="s">
        <v>686</v>
      </c>
      <c r="D112" s="25">
        <v>101</v>
      </c>
      <c r="E112" s="25">
        <v>101</v>
      </c>
      <c r="H112" s="24" t="s">
        <v>696</v>
      </c>
      <c r="M112" s="23" t="s">
        <v>842</v>
      </c>
      <c r="N112" s="23" t="s">
        <v>695</v>
      </c>
      <c r="O112" s="23" t="s">
        <v>694</v>
      </c>
      <c r="P112" s="23" t="s">
        <v>693</v>
      </c>
      <c r="R112" s="23" t="s">
        <v>692</v>
      </c>
      <c r="S112" s="23" t="s">
        <v>691</v>
      </c>
      <c r="U112" s="24">
        <v>0</v>
      </c>
      <c r="V112" s="23" t="s">
        <v>734</v>
      </c>
    </row>
    <row r="113" spans="1:22">
      <c r="A113" s="23" t="s">
        <v>697</v>
      </c>
      <c r="B113" s="23" t="s">
        <v>684</v>
      </c>
      <c r="C113" s="23" t="s">
        <v>686</v>
      </c>
      <c r="D113" s="25">
        <v>102</v>
      </c>
      <c r="E113" s="25">
        <v>102</v>
      </c>
      <c r="H113" s="24" t="s">
        <v>696</v>
      </c>
      <c r="M113" s="23" t="s">
        <v>843</v>
      </c>
      <c r="N113" s="23" t="s">
        <v>695</v>
      </c>
      <c r="O113" s="23" t="s">
        <v>694</v>
      </c>
      <c r="P113" s="23" t="s">
        <v>693</v>
      </c>
      <c r="R113" s="23" t="s">
        <v>692</v>
      </c>
      <c r="S113" s="23" t="s">
        <v>691</v>
      </c>
      <c r="U113" s="24">
        <v>0</v>
      </c>
      <c r="V113" s="23" t="s">
        <v>734</v>
      </c>
    </row>
    <row r="114" spans="1:22">
      <c r="A114" s="23" t="s">
        <v>697</v>
      </c>
      <c r="B114" s="23" t="s">
        <v>684</v>
      </c>
      <c r="C114" s="23" t="s">
        <v>686</v>
      </c>
      <c r="D114" s="25">
        <v>601</v>
      </c>
      <c r="E114" s="25">
        <v>601</v>
      </c>
      <c r="H114" s="24" t="s">
        <v>696</v>
      </c>
      <c r="M114" s="23" t="s">
        <v>844</v>
      </c>
      <c r="N114" s="23" t="s">
        <v>695</v>
      </c>
      <c r="O114" s="23" t="s">
        <v>694</v>
      </c>
      <c r="P114" s="23" t="s">
        <v>693</v>
      </c>
      <c r="R114" s="23" t="s">
        <v>692</v>
      </c>
      <c r="S114" s="23" t="s">
        <v>691</v>
      </c>
      <c r="U114" s="24">
        <v>0</v>
      </c>
      <c r="V114" s="23" t="s">
        <v>734</v>
      </c>
    </row>
    <row r="115" spans="1:22">
      <c r="A115" s="23" t="s">
        <v>697</v>
      </c>
      <c r="B115" s="23" t="s">
        <v>684</v>
      </c>
      <c r="C115" s="23" t="s">
        <v>686</v>
      </c>
      <c r="D115" s="25">
        <v>602</v>
      </c>
      <c r="E115" s="25">
        <v>602</v>
      </c>
      <c r="H115" s="24" t="s">
        <v>696</v>
      </c>
      <c r="M115" s="23" t="s">
        <v>845</v>
      </c>
      <c r="N115" s="23" t="s">
        <v>695</v>
      </c>
      <c r="O115" s="23" t="s">
        <v>694</v>
      </c>
      <c r="P115" s="23" t="s">
        <v>693</v>
      </c>
      <c r="R115" s="23" t="s">
        <v>692</v>
      </c>
      <c r="S115" s="23" t="s">
        <v>691</v>
      </c>
      <c r="U115" s="24">
        <v>0</v>
      </c>
      <c r="V115" s="23" t="s">
        <v>734</v>
      </c>
    </row>
    <row r="116" spans="1:22">
      <c r="A116" s="23" t="s">
        <v>697</v>
      </c>
      <c r="B116" s="23" t="s">
        <v>684</v>
      </c>
      <c r="C116" s="23" t="s">
        <v>687</v>
      </c>
      <c r="D116" s="25">
        <v>101</v>
      </c>
      <c r="E116" s="25">
        <v>101</v>
      </c>
      <c r="H116" s="24" t="s">
        <v>696</v>
      </c>
      <c r="M116" s="23" t="s">
        <v>846</v>
      </c>
      <c r="N116" s="23" t="s">
        <v>695</v>
      </c>
      <c r="O116" s="23" t="s">
        <v>694</v>
      </c>
      <c r="P116" s="23" t="s">
        <v>693</v>
      </c>
      <c r="R116" s="23" t="s">
        <v>692</v>
      </c>
      <c r="S116" s="23" t="s">
        <v>691</v>
      </c>
      <c r="U116" s="24">
        <v>0</v>
      </c>
      <c r="V116" s="23" t="s">
        <v>734</v>
      </c>
    </row>
    <row r="117" spans="1:22">
      <c r="A117" s="23" t="s">
        <v>697</v>
      </c>
      <c r="B117" s="23" t="s">
        <v>684</v>
      </c>
      <c r="C117" s="23" t="s">
        <v>687</v>
      </c>
      <c r="D117" s="25">
        <v>102</v>
      </c>
      <c r="E117" s="25">
        <v>102</v>
      </c>
      <c r="H117" s="24" t="s">
        <v>696</v>
      </c>
      <c r="M117" s="23" t="s">
        <v>847</v>
      </c>
      <c r="N117" s="23" t="s">
        <v>695</v>
      </c>
      <c r="O117" s="23" t="s">
        <v>694</v>
      </c>
      <c r="P117" s="23" t="s">
        <v>693</v>
      </c>
      <c r="R117" s="23" t="s">
        <v>692</v>
      </c>
      <c r="S117" s="23" t="s">
        <v>691</v>
      </c>
      <c r="U117" s="24">
        <v>0</v>
      </c>
      <c r="V117" s="23" t="s">
        <v>734</v>
      </c>
    </row>
    <row r="118" spans="1:22">
      <c r="A118" s="23" t="s">
        <v>697</v>
      </c>
      <c r="B118" s="23" t="s">
        <v>684</v>
      </c>
      <c r="C118" s="23" t="s">
        <v>687</v>
      </c>
      <c r="D118" s="25">
        <v>601</v>
      </c>
      <c r="E118" s="25">
        <v>601</v>
      </c>
      <c r="H118" s="24" t="s">
        <v>696</v>
      </c>
      <c r="M118" s="23" t="s">
        <v>848</v>
      </c>
      <c r="N118" s="23" t="s">
        <v>695</v>
      </c>
      <c r="O118" s="23" t="s">
        <v>694</v>
      </c>
      <c r="P118" s="23" t="s">
        <v>693</v>
      </c>
      <c r="R118" s="23" t="s">
        <v>692</v>
      </c>
      <c r="S118" s="23" t="s">
        <v>691</v>
      </c>
      <c r="U118" s="24">
        <v>0</v>
      </c>
      <c r="V118" s="23" t="s">
        <v>734</v>
      </c>
    </row>
    <row r="119" spans="1:22">
      <c r="A119" s="23" t="s">
        <v>697</v>
      </c>
      <c r="B119" s="23" t="s">
        <v>684</v>
      </c>
      <c r="C119" s="23" t="s">
        <v>687</v>
      </c>
      <c r="D119" s="25">
        <v>602</v>
      </c>
      <c r="E119" s="25">
        <v>602</v>
      </c>
      <c r="H119" s="24" t="s">
        <v>696</v>
      </c>
      <c r="M119" s="23" t="s">
        <v>849</v>
      </c>
      <c r="N119" s="23" t="s">
        <v>695</v>
      </c>
      <c r="O119" s="23" t="s">
        <v>694</v>
      </c>
      <c r="P119" s="23" t="s">
        <v>693</v>
      </c>
      <c r="R119" s="23" t="s">
        <v>692</v>
      </c>
      <c r="S119" s="23" t="s">
        <v>691</v>
      </c>
      <c r="U119" s="24">
        <v>0</v>
      </c>
      <c r="V119" s="23" t="s">
        <v>734</v>
      </c>
    </row>
    <row r="120" spans="1:22">
      <c r="A120" s="23" t="s">
        <v>697</v>
      </c>
      <c r="B120" s="23" t="s">
        <v>684</v>
      </c>
      <c r="C120" s="23" t="s">
        <v>688</v>
      </c>
      <c r="D120" s="25">
        <v>101</v>
      </c>
      <c r="E120" s="25">
        <v>101</v>
      </c>
      <c r="H120" s="24" t="s">
        <v>696</v>
      </c>
      <c r="M120" s="23" t="s">
        <v>850</v>
      </c>
      <c r="N120" s="23" t="s">
        <v>695</v>
      </c>
      <c r="O120" s="23" t="s">
        <v>694</v>
      </c>
      <c r="P120" s="23" t="s">
        <v>693</v>
      </c>
      <c r="R120" s="23" t="s">
        <v>692</v>
      </c>
      <c r="S120" s="23" t="s">
        <v>691</v>
      </c>
      <c r="U120" s="24">
        <v>0</v>
      </c>
      <c r="V120" s="23" t="s">
        <v>734</v>
      </c>
    </row>
    <row r="121" spans="1:22">
      <c r="A121" s="23" t="s">
        <v>697</v>
      </c>
      <c r="B121" s="23" t="s">
        <v>684</v>
      </c>
      <c r="C121" s="23" t="s">
        <v>688</v>
      </c>
      <c r="D121" s="25">
        <v>102</v>
      </c>
      <c r="E121" s="25">
        <v>102</v>
      </c>
      <c r="H121" s="24" t="s">
        <v>696</v>
      </c>
      <c r="M121" s="23" t="s">
        <v>851</v>
      </c>
      <c r="N121" s="23" t="s">
        <v>695</v>
      </c>
      <c r="O121" s="23" t="s">
        <v>694</v>
      </c>
      <c r="P121" s="23" t="s">
        <v>693</v>
      </c>
      <c r="R121" s="23" t="s">
        <v>692</v>
      </c>
      <c r="S121" s="23" t="s">
        <v>691</v>
      </c>
      <c r="U121" s="24">
        <v>0</v>
      </c>
      <c r="V121" s="23" t="s">
        <v>734</v>
      </c>
    </row>
    <row r="122" spans="1:22">
      <c r="A122" s="23" t="s">
        <v>697</v>
      </c>
      <c r="B122" s="23" t="s">
        <v>684</v>
      </c>
      <c r="C122" s="23" t="s">
        <v>688</v>
      </c>
      <c r="D122" s="25">
        <v>601</v>
      </c>
      <c r="E122" s="25">
        <v>601</v>
      </c>
      <c r="H122" s="24" t="s">
        <v>696</v>
      </c>
      <c r="M122" s="23" t="s">
        <v>852</v>
      </c>
      <c r="N122" s="23" t="s">
        <v>695</v>
      </c>
      <c r="O122" s="23" t="s">
        <v>694</v>
      </c>
      <c r="P122" s="23" t="s">
        <v>693</v>
      </c>
      <c r="R122" s="23" t="s">
        <v>692</v>
      </c>
      <c r="S122" s="23" t="s">
        <v>691</v>
      </c>
      <c r="U122" s="24">
        <v>0</v>
      </c>
      <c r="V122" s="23" t="s">
        <v>734</v>
      </c>
    </row>
    <row r="123" spans="1:22">
      <c r="A123" s="23" t="s">
        <v>697</v>
      </c>
      <c r="B123" s="23" t="s">
        <v>684</v>
      </c>
      <c r="C123" s="23" t="s">
        <v>688</v>
      </c>
      <c r="D123" s="25">
        <v>602</v>
      </c>
      <c r="E123" s="25">
        <v>602</v>
      </c>
      <c r="H123" s="24" t="s">
        <v>696</v>
      </c>
      <c r="M123" s="23" t="s">
        <v>853</v>
      </c>
      <c r="N123" s="23" t="s">
        <v>695</v>
      </c>
      <c r="O123" s="23" t="s">
        <v>694</v>
      </c>
      <c r="P123" s="23" t="s">
        <v>693</v>
      </c>
      <c r="R123" s="23" t="s">
        <v>692</v>
      </c>
      <c r="S123" s="23" t="s">
        <v>691</v>
      </c>
      <c r="U123" s="24">
        <v>0</v>
      </c>
      <c r="V123" s="23" t="s">
        <v>734</v>
      </c>
    </row>
    <row r="124" spans="1:22">
      <c r="A124" s="23" t="s">
        <v>697</v>
      </c>
      <c r="B124" s="23" t="s">
        <v>41</v>
      </c>
      <c r="C124" s="23" t="s">
        <v>686</v>
      </c>
      <c r="D124" s="25">
        <v>101</v>
      </c>
      <c r="E124" s="25">
        <v>101</v>
      </c>
      <c r="H124" s="24" t="s">
        <v>696</v>
      </c>
      <c r="M124" s="23" t="s">
        <v>854</v>
      </c>
      <c r="N124" s="23" t="s">
        <v>695</v>
      </c>
      <c r="O124" s="23" t="s">
        <v>694</v>
      </c>
      <c r="P124" s="23" t="s">
        <v>693</v>
      </c>
      <c r="R124" s="23" t="s">
        <v>692</v>
      </c>
      <c r="S124" s="23" t="s">
        <v>691</v>
      </c>
      <c r="U124" s="24">
        <v>0</v>
      </c>
      <c r="V124" s="23" t="s">
        <v>734</v>
      </c>
    </row>
    <row r="125" spans="1:22">
      <c r="A125" s="23" t="s">
        <v>697</v>
      </c>
      <c r="B125" s="23" t="s">
        <v>41</v>
      </c>
      <c r="C125" s="23" t="s">
        <v>686</v>
      </c>
      <c r="D125" s="25">
        <v>103</v>
      </c>
      <c r="E125" s="25">
        <v>103</v>
      </c>
      <c r="H125" s="24" t="s">
        <v>696</v>
      </c>
      <c r="M125" s="23" t="s">
        <v>855</v>
      </c>
      <c r="N125" s="23" t="s">
        <v>695</v>
      </c>
      <c r="O125" s="23" t="s">
        <v>694</v>
      </c>
      <c r="P125" s="23" t="s">
        <v>693</v>
      </c>
      <c r="R125" s="23" t="s">
        <v>692</v>
      </c>
      <c r="S125" s="23" t="s">
        <v>691</v>
      </c>
      <c r="U125" s="24">
        <v>0</v>
      </c>
      <c r="V125" s="23" t="s">
        <v>734</v>
      </c>
    </row>
    <row r="126" spans="1:22">
      <c r="A126" s="23" t="s">
        <v>697</v>
      </c>
      <c r="B126" s="23" t="s">
        <v>41</v>
      </c>
      <c r="C126" s="23" t="s">
        <v>686</v>
      </c>
      <c r="D126" s="25">
        <v>102</v>
      </c>
      <c r="E126" s="25">
        <v>102</v>
      </c>
      <c r="H126" s="24" t="s">
        <v>696</v>
      </c>
      <c r="M126" s="23" t="s">
        <v>856</v>
      </c>
      <c r="N126" s="23" t="s">
        <v>695</v>
      </c>
      <c r="O126" s="23" t="s">
        <v>694</v>
      </c>
      <c r="P126" s="23" t="s">
        <v>693</v>
      </c>
      <c r="R126" s="23" t="s">
        <v>692</v>
      </c>
      <c r="S126" s="23" t="s">
        <v>691</v>
      </c>
      <c r="U126" s="24">
        <v>0</v>
      </c>
      <c r="V126" s="23" t="s">
        <v>734</v>
      </c>
    </row>
    <row r="127" spans="1:22">
      <c r="A127" s="23" t="s">
        <v>697</v>
      </c>
      <c r="B127" s="23" t="s">
        <v>41</v>
      </c>
      <c r="C127" s="23" t="s">
        <v>686</v>
      </c>
      <c r="D127" s="25">
        <v>601</v>
      </c>
      <c r="E127" s="25">
        <v>601</v>
      </c>
      <c r="H127" s="24" t="s">
        <v>696</v>
      </c>
      <c r="M127" s="23" t="s">
        <v>857</v>
      </c>
      <c r="N127" s="23" t="s">
        <v>695</v>
      </c>
      <c r="O127" s="23" t="s">
        <v>694</v>
      </c>
      <c r="P127" s="23" t="s">
        <v>693</v>
      </c>
      <c r="R127" s="23" t="s">
        <v>692</v>
      </c>
      <c r="S127" s="23" t="s">
        <v>691</v>
      </c>
      <c r="U127" s="24">
        <v>0</v>
      </c>
      <c r="V127" s="23" t="s">
        <v>734</v>
      </c>
    </row>
    <row r="128" spans="1:22">
      <c r="A128" s="23" t="s">
        <v>697</v>
      </c>
      <c r="B128" s="23" t="s">
        <v>41</v>
      </c>
      <c r="C128" s="23" t="s">
        <v>686</v>
      </c>
      <c r="D128" s="25">
        <v>603</v>
      </c>
      <c r="E128" s="25">
        <v>603</v>
      </c>
      <c r="H128" s="24" t="s">
        <v>696</v>
      </c>
      <c r="M128" s="23" t="s">
        <v>858</v>
      </c>
      <c r="N128" s="23" t="s">
        <v>695</v>
      </c>
      <c r="O128" s="23" t="s">
        <v>694</v>
      </c>
      <c r="P128" s="23" t="s">
        <v>693</v>
      </c>
      <c r="R128" s="23" t="s">
        <v>692</v>
      </c>
      <c r="S128" s="23" t="s">
        <v>691</v>
      </c>
      <c r="U128" s="24">
        <v>0</v>
      </c>
      <c r="V128" s="23" t="s">
        <v>734</v>
      </c>
    </row>
    <row r="129" spans="1:22">
      <c r="A129" s="23" t="s">
        <v>697</v>
      </c>
      <c r="B129" s="23" t="s">
        <v>41</v>
      </c>
      <c r="C129" s="23" t="s">
        <v>687</v>
      </c>
      <c r="D129" s="25">
        <v>101</v>
      </c>
      <c r="E129" s="25">
        <v>101</v>
      </c>
      <c r="H129" s="24" t="s">
        <v>696</v>
      </c>
      <c r="M129" s="23" t="s">
        <v>859</v>
      </c>
      <c r="N129" s="23" t="s">
        <v>695</v>
      </c>
      <c r="O129" s="23" t="s">
        <v>694</v>
      </c>
      <c r="P129" s="23" t="s">
        <v>693</v>
      </c>
      <c r="R129" s="23" t="s">
        <v>692</v>
      </c>
      <c r="S129" s="23" t="s">
        <v>691</v>
      </c>
      <c r="U129" s="24">
        <v>0</v>
      </c>
      <c r="V129" s="23" t="s">
        <v>734</v>
      </c>
    </row>
    <row r="130" spans="1:22">
      <c r="A130" s="23" t="s">
        <v>697</v>
      </c>
      <c r="B130" s="23" t="s">
        <v>41</v>
      </c>
      <c r="C130" s="23" t="s">
        <v>687</v>
      </c>
      <c r="D130" s="25">
        <v>102</v>
      </c>
      <c r="E130" s="25">
        <v>102</v>
      </c>
      <c r="H130" s="24" t="s">
        <v>696</v>
      </c>
      <c r="M130" s="23" t="s">
        <v>860</v>
      </c>
      <c r="N130" s="23" t="s">
        <v>695</v>
      </c>
      <c r="O130" s="23" t="s">
        <v>694</v>
      </c>
      <c r="P130" s="23" t="s">
        <v>693</v>
      </c>
      <c r="R130" s="23" t="s">
        <v>692</v>
      </c>
      <c r="S130" s="23" t="s">
        <v>691</v>
      </c>
      <c r="U130" s="24">
        <v>0</v>
      </c>
      <c r="V130" s="23" t="s">
        <v>734</v>
      </c>
    </row>
    <row r="131" spans="1:22">
      <c r="A131" s="23" t="s">
        <v>697</v>
      </c>
      <c r="B131" s="23" t="s">
        <v>41</v>
      </c>
      <c r="C131" s="23" t="s">
        <v>687</v>
      </c>
      <c r="D131" s="25">
        <v>103</v>
      </c>
      <c r="E131" s="25">
        <v>103</v>
      </c>
      <c r="H131" s="24" t="s">
        <v>696</v>
      </c>
      <c r="M131" s="23" t="s">
        <v>861</v>
      </c>
      <c r="N131" s="23" t="s">
        <v>695</v>
      </c>
      <c r="O131" s="23" t="s">
        <v>694</v>
      </c>
      <c r="P131" s="23" t="s">
        <v>693</v>
      </c>
      <c r="R131" s="23" t="s">
        <v>692</v>
      </c>
      <c r="S131" s="23" t="s">
        <v>691</v>
      </c>
      <c r="U131" s="24">
        <v>0</v>
      </c>
      <c r="V131" s="23" t="s">
        <v>734</v>
      </c>
    </row>
    <row r="132" spans="1:22">
      <c r="A132" s="23" t="s">
        <v>697</v>
      </c>
      <c r="B132" s="23" t="s">
        <v>41</v>
      </c>
      <c r="C132" s="23" t="s">
        <v>687</v>
      </c>
      <c r="D132" s="25">
        <v>601</v>
      </c>
      <c r="E132" s="25">
        <v>601</v>
      </c>
      <c r="H132" s="24" t="s">
        <v>696</v>
      </c>
      <c r="M132" s="23" t="s">
        <v>862</v>
      </c>
      <c r="N132" s="23" t="s">
        <v>695</v>
      </c>
      <c r="O132" s="23" t="s">
        <v>694</v>
      </c>
      <c r="P132" s="23" t="s">
        <v>693</v>
      </c>
      <c r="R132" s="23" t="s">
        <v>692</v>
      </c>
      <c r="S132" s="23" t="s">
        <v>691</v>
      </c>
      <c r="U132" s="24">
        <v>0</v>
      </c>
      <c r="V132" s="23" t="s">
        <v>734</v>
      </c>
    </row>
    <row r="133" spans="1:22">
      <c r="A133" s="23" t="s">
        <v>697</v>
      </c>
      <c r="B133" s="23" t="s">
        <v>41</v>
      </c>
      <c r="C133" s="23" t="s">
        <v>687</v>
      </c>
      <c r="D133" s="25">
        <v>603</v>
      </c>
      <c r="E133" s="25">
        <v>603</v>
      </c>
      <c r="H133" s="24" t="s">
        <v>696</v>
      </c>
      <c r="M133" s="23" t="s">
        <v>863</v>
      </c>
      <c r="N133" s="23" t="s">
        <v>695</v>
      </c>
      <c r="O133" s="23" t="s">
        <v>694</v>
      </c>
      <c r="P133" s="23" t="s">
        <v>693</v>
      </c>
      <c r="R133" s="23" t="s">
        <v>692</v>
      </c>
      <c r="S133" s="23" t="s">
        <v>691</v>
      </c>
      <c r="U133" s="24">
        <v>0</v>
      </c>
      <c r="V133" s="23" t="s">
        <v>734</v>
      </c>
    </row>
    <row r="134" spans="1:22">
      <c r="A134" s="23" t="s">
        <v>697</v>
      </c>
      <c r="B134" s="23" t="s">
        <v>40</v>
      </c>
      <c r="C134" s="23" t="s">
        <v>686</v>
      </c>
      <c r="D134" s="25">
        <v>101</v>
      </c>
      <c r="E134" s="25">
        <v>101</v>
      </c>
      <c r="H134" s="24" t="s">
        <v>696</v>
      </c>
      <c r="M134" s="23" t="s">
        <v>864</v>
      </c>
      <c r="N134" s="23" t="s">
        <v>695</v>
      </c>
      <c r="O134" s="23" t="s">
        <v>694</v>
      </c>
      <c r="P134" s="23" t="s">
        <v>693</v>
      </c>
      <c r="R134" s="23" t="s">
        <v>692</v>
      </c>
      <c r="S134" s="23" t="s">
        <v>691</v>
      </c>
      <c r="U134" s="24">
        <v>0</v>
      </c>
      <c r="V134" s="23" t="s">
        <v>734</v>
      </c>
    </row>
    <row r="135" spans="1:22">
      <c r="A135" s="23" t="s">
        <v>697</v>
      </c>
      <c r="B135" s="23" t="s">
        <v>40</v>
      </c>
      <c r="C135" s="23" t="s">
        <v>686</v>
      </c>
      <c r="D135" s="25">
        <v>102</v>
      </c>
      <c r="E135" s="25">
        <v>102</v>
      </c>
      <c r="H135" s="24" t="s">
        <v>696</v>
      </c>
      <c r="M135" s="23" t="s">
        <v>865</v>
      </c>
      <c r="N135" s="23" t="s">
        <v>695</v>
      </c>
      <c r="O135" s="23" t="s">
        <v>694</v>
      </c>
      <c r="P135" s="23" t="s">
        <v>693</v>
      </c>
      <c r="R135" s="23" t="s">
        <v>692</v>
      </c>
      <c r="S135" s="23" t="s">
        <v>691</v>
      </c>
      <c r="U135" s="24">
        <v>0</v>
      </c>
      <c r="V135" s="23" t="s">
        <v>734</v>
      </c>
    </row>
    <row r="136" spans="1:22">
      <c r="A136" s="23" t="s">
        <v>697</v>
      </c>
      <c r="B136" s="23" t="s">
        <v>40</v>
      </c>
      <c r="C136" s="23" t="s">
        <v>686</v>
      </c>
      <c r="D136" s="25">
        <v>103</v>
      </c>
      <c r="E136" s="25">
        <v>103</v>
      </c>
      <c r="H136" s="24" t="s">
        <v>696</v>
      </c>
      <c r="M136" s="23" t="s">
        <v>866</v>
      </c>
      <c r="N136" s="23" t="s">
        <v>695</v>
      </c>
      <c r="O136" s="23" t="s">
        <v>694</v>
      </c>
      <c r="P136" s="23" t="s">
        <v>693</v>
      </c>
      <c r="R136" s="23" t="s">
        <v>692</v>
      </c>
      <c r="S136" s="23" t="s">
        <v>691</v>
      </c>
      <c r="U136" s="24">
        <v>0</v>
      </c>
      <c r="V136" s="23" t="s">
        <v>734</v>
      </c>
    </row>
    <row r="137" spans="1:22">
      <c r="A137" s="23" t="s">
        <v>697</v>
      </c>
      <c r="B137" s="23" t="s">
        <v>40</v>
      </c>
      <c r="C137" s="23" t="s">
        <v>686</v>
      </c>
      <c r="D137" s="25">
        <v>601</v>
      </c>
      <c r="E137" s="25">
        <v>601</v>
      </c>
      <c r="H137" s="24" t="s">
        <v>696</v>
      </c>
      <c r="M137" s="23" t="s">
        <v>867</v>
      </c>
      <c r="N137" s="23" t="s">
        <v>695</v>
      </c>
      <c r="O137" s="23" t="s">
        <v>694</v>
      </c>
      <c r="P137" s="23" t="s">
        <v>693</v>
      </c>
      <c r="R137" s="23" t="s">
        <v>692</v>
      </c>
      <c r="S137" s="23" t="s">
        <v>691</v>
      </c>
      <c r="U137" s="24">
        <v>0</v>
      </c>
      <c r="V137" s="23" t="s">
        <v>734</v>
      </c>
    </row>
    <row r="138" spans="1:22">
      <c r="A138" s="23" t="s">
        <v>697</v>
      </c>
      <c r="B138" s="23" t="s">
        <v>40</v>
      </c>
      <c r="C138" s="23" t="s">
        <v>686</v>
      </c>
      <c r="D138" s="25">
        <v>603</v>
      </c>
      <c r="E138" s="25">
        <v>603</v>
      </c>
      <c r="H138" s="24" t="s">
        <v>696</v>
      </c>
      <c r="M138" s="23" t="s">
        <v>868</v>
      </c>
      <c r="N138" s="23" t="s">
        <v>695</v>
      </c>
      <c r="O138" s="23" t="s">
        <v>694</v>
      </c>
      <c r="P138" s="23" t="s">
        <v>693</v>
      </c>
      <c r="R138" s="23" t="s">
        <v>692</v>
      </c>
      <c r="S138" s="23" t="s">
        <v>691</v>
      </c>
      <c r="U138" s="24">
        <v>0</v>
      </c>
      <c r="V138" s="23" t="s">
        <v>734</v>
      </c>
    </row>
    <row r="139" spans="1:22">
      <c r="A139" s="23" t="s">
        <v>697</v>
      </c>
      <c r="B139" s="23" t="s">
        <v>40</v>
      </c>
      <c r="C139" s="23" t="s">
        <v>687</v>
      </c>
      <c r="D139" s="25">
        <v>101</v>
      </c>
      <c r="E139" s="25">
        <v>101</v>
      </c>
      <c r="H139" s="24" t="s">
        <v>696</v>
      </c>
      <c r="M139" s="23" t="s">
        <v>869</v>
      </c>
      <c r="N139" s="23" t="s">
        <v>695</v>
      </c>
      <c r="O139" s="23" t="s">
        <v>694</v>
      </c>
      <c r="P139" s="23" t="s">
        <v>693</v>
      </c>
      <c r="R139" s="23" t="s">
        <v>692</v>
      </c>
      <c r="S139" s="23" t="s">
        <v>691</v>
      </c>
      <c r="U139" s="24">
        <v>0</v>
      </c>
      <c r="V139" s="23" t="s">
        <v>734</v>
      </c>
    </row>
    <row r="140" spans="1:22">
      <c r="A140" s="23" t="s">
        <v>697</v>
      </c>
      <c r="B140" s="23" t="s">
        <v>40</v>
      </c>
      <c r="C140" s="23" t="s">
        <v>687</v>
      </c>
      <c r="D140" s="25">
        <v>102</v>
      </c>
      <c r="E140" s="25">
        <v>102</v>
      </c>
      <c r="H140" s="24" t="s">
        <v>696</v>
      </c>
      <c r="M140" s="23" t="s">
        <v>870</v>
      </c>
      <c r="N140" s="23" t="s">
        <v>695</v>
      </c>
      <c r="O140" s="23" t="s">
        <v>694</v>
      </c>
      <c r="P140" s="23" t="s">
        <v>693</v>
      </c>
      <c r="R140" s="23" t="s">
        <v>692</v>
      </c>
      <c r="S140" s="23" t="s">
        <v>691</v>
      </c>
      <c r="U140" s="24">
        <v>0</v>
      </c>
      <c r="V140" s="23" t="s">
        <v>734</v>
      </c>
    </row>
    <row r="141" spans="1:22">
      <c r="A141" s="23" t="s">
        <v>697</v>
      </c>
      <c r="B141" s="23" t="s">
        <v>40</v>
      </c>
      <c r="C141" s="23" t="s">
        <v>687</v>
      </c>
      <c r="D141" s="25">
        <v>103</v>
      </c>
      <c r="E141" s="25">
        <v>103</v>
      </c>
      <c r="H141" s="24" t="s">
        <v>696</v>
      </c>
      <c r="M141" s="23" t="s">
        <v>871</v>
      </c>
      <c r="N141" s="23" t="s">
        <v>695</v>
      </c>
      <c r="O141" s="23" t="s">
        <v>694</v>
      </c>
      <c r="P141" s="23" t="s">
        <v>693</v>
      </c>
      <c r="R141" s="23" t="s">
        <v>692</v>
      </c>
      <c r="S141" s="23" t="s">
        <v>691</v>
      </c>
      <c r="U141" s="24">
        <v>0</v>
      </c>
      <c r="V141" s="23" t="s">
        <v>734</v>
      </c>
    </row>
    <row r="142" spans="1:22">
      <c r="A142" s="23" t="s">
        <v>697</v>
      </c>
      <c r="B142" s="23" t="s">
        <v>40</v>
      </c>
      <c r="C142" s="23" t="s">
        <v>687</v>
      </c>
      <c r="D142" s="25">
        <v>601</v>
      </c>
      <c r="E142" s="25">
        <v>601</v>
      </c>
      <c r="H142" s="24" t="s">
        <v>696</v>
      </c>
      <c r="M142" s="23" t="s">
        <v>872</v>
      </c>
      <c r="N142" s="23" t="s">
        <v>695</v>
      </c>
      <c r="O142" s="23" t="s">
        <v>694</v>
      </c>
      <c r="P142" s="23" t="s">
        <v>693</v>
      </c>
      <c r="R142" s="23" t="s">
        <v>692</v>
      </c>
      <c r="S142" s="23" t="s">
        <v>691</v>
      </c>
      <c r="U142" s="24">
        <v>0</v>
      </c>
      <c r="V142" s="23" t="s">
        <v>734</v>
      </c>
    </row>
    <row r="143" spans="1:22">
      <c r="A143" s="23" t="s">
        <v>697</v>
      </c>
      <c r="B143" s="23" t="s">
        <v>40</v>
      </c>
      <c r="C143" s="23" t="s">
        <v>687</v>
      </c>
      <c r="D143" s="25">
        <v>603</v>
      </c>
      <c r="E143" s="25">
        <v>603</v>
      </c>
      <c r="H143" s="24" t="s">
        <v>696</v>
      </c>
      <c r="M143" s="23" t="s">
        <v>873</v>
      </c>
      <c r="N143" s="23" t="s">
        <v>695</v>
      </c>
      <c r="O143" s="23" t="s">
        <v>694</v>
      </c>
      <c r="P143" s="23" t="s">
        <v>693</v>
      </c>
      <c r="R143" s="23" t="s">
        <v>692</v>
      </c>
      <c r="S143" s="23" t="s">
        <v>691</v>
      </c>
      <c r="U143" s="24">
        <v>0</v>
      </c>
      <c r="V143" s="23" t="s">
        <v>734</v>
      </c>
    </row>
    <row r="144" spans="1:22">
      <c r="A144" s="23" t="s">
        <v>697</v>
      </c>
      <c r="B144" s="23" t="s">
        <v>39</v>
      </c>
      <c r="C144" s="23" t="s">
        <v>686</v>
      </c>
      <c r="D144" s="25">
        <v>101</v>
      </c>
      <c r="E144" s="25">
        <v>101</v>
      </c>
      <c r="H144" s="24" t="s">
        <v>696</v>
      </c>
      <c r="M144" s="23" t="s">
        <v>874</v>
      </c>
      <c r="N144" s="23" t="s">
        <v>695</v>
      </c>
      <c r="O144" s="23" t="s">
        <v>694</v>
      </c>
      <c r="P144" s="23" t="s">
        <v>693</v>
      </c>
      <c r="R144" s="23" t="s">
        <v>692</v>
      </c>
      <c r="S144" s="23" t="s">
        <v>691</v>
      </c>
      <c r="U144" s="24">
        <v>0</v>
      </c>
      <c r="V144" s="23" t="s">
        <v>734</v>
      </c>
    </row>
    <row r="145" spans="1:22">
      <c r="A145" s="23" t="s">
        <v>697</v>
      </c>
      <c r="B145" s="23" t="s">
        <v>39</v>
      </c>
      <c r="C145" s="23" t="s">
        <v>686</v>
      </c>
      <c r="D145" s="25">
        <v>102</v>
      </c>
      <c r="E145" s="25">
        <v>102</v>
      </c>
      <c r="H145" s="24" t="s">
        <v>696</v>
      </c>
      <c r="M145" s="23" t="s">
        <v>875</v>
      </c>
      <c r="N145" s="23" t="s">
        <v>695</v>
      </c>
      <c r="O145" s="23" t="s">
        <v>694</v>
      </c>
      <c r="P145" s="23" t="s">
        <v>693</v>
      </c>
      <c r="R145" s="23" t="s">
        <v>692</v>
      </c>
      <c r="S145" s="23" t="s">
        <v>691</v>
      </c>
      <c r="U145" s="24">
        <v>0</v>
      </c>
      <c r="V145" s="23" t="s">
        <v>734</v>
      </c>
    </row>
    <row r="146" spans="1:22">
      <c r="A146" s="23" t="s">
        <v>697</v>
      </c>
      <c r="B146" s="23" t="s">
        <v>39</v>
      </c>
      <c r="C146" s="23" t="s">
        <v>686</v>
      </c>
      <c r="D146" s="25">
        <v>103</v>
      </c>
      <c r="E146" s="25">
        <v>103</v>
      </c>
      <c r="H146" s="24" t="s">
        <v>696</v>
      </c>
      <c r="M146" s="23" t="s">
        <v>876</v>
      </c>
      <c r="N146" s="23" t="s">
        <v>695</v>
      </c>
      <c r="O146" s="23" t="s">
        <v>694</v>
      </c>
      <c r="P146" s="23" t="s">
        <v>693</v>
      </c>
      <c r="R146" s="23" t="s">
        <v>692</v>
      </c>
      <c r="S146" s="23" t="s">
        <v>691</v>
      </c>
      <c r="U146" s="24">
        <v>0</v>
      </c>
      <c r="V146" s="23" t="s">
        <v>734</v>
      </c>
    </row>
    <row r="147" spans="1:22">
      <c r="A147" s="23" t="s">
        <v>697</v>
      </c>
      <c r="B147" s="23" t="s">
        <v>39</v>
      </c>
      <c r="C147" s="23" t="s">
        <v>686</v>
      </c>
      <c r="D147" s="25">
        <v>601</v>
      </c>
      <c r="E147" s="25">
        <v>601</v>
      </c>
      <c r="H147" s="24" t="s">
        <v>696</v>
      </c>
      <c r="M147" s="23" t="s">
        <v>877</v>
      </c>
      <c r="N147" s="23" t="s">
        <v>695</v>
      </c>
      <c r="O147" s="23" t="s">
        <v>694</v>
      </c>
      <c r="P147" s="23" t="s">
        <v>693</v>
      </c>
      <c r="R147" s="23" t="s">
        <v>692</v>
      </c>
      <c r="S147" s="23" t="s">
        <v>691</v>
      </c>
      <c r="U147" s="24">
        <v>0</v>
      </c>
      <c r="V147" s="23" t="s">
        <v>734</v>
      </c>
    </row>
    <row r="148" spans="1:22">
      <c r="A148" s="23" t="s">
        <v>697</v>
      </c>
      <c r="B148" s="23" t="s">
        <v>39</v>
      </c>
      <c r="C148" s="23" t="s">
        <v>686</v>
      </c>
      <c r="D148" s="25">
        <v>603</v>
      </c>
      <c r="E148" s="25">
        <v>603</v>
      </c>
      <c r="H148" s="24" t="s">
        <v>696</v>
      </c>
      <c r="M148" s="23" t="s">
        <v>878</v>
      </c>
      <c r="N148" s="23" t="s">
        <v>695</v>
      </c>
      <c r="O148" s="23" t="s">
        <v>694</v>
      </c>
      <c r="P148" s="23" t="s">
        <v>693</v>
      </c>
      <c r="R148" s="23" t="s">
        <v>692</v>
      </c>
      <c r="S148" s="23" t="s">
        <v>691</v>
      </c>
      <c r="U148" s="24">
        <v>0</v>
      </c>
      <c r="V148" s="23" t="s">
        <v>734</v>
      </c>
    </row>
    <row r="149" spans="1:22">
      <c r="A149" s="23" t="s">
        <v>697</v>
      </c>
      <c r="B149" s="23" t="s">
        <v>39</v>
      </c>
      <c r="C149" s="23" t="s">
        <v>687</v>
      </c>
      <c r="D149" s="25">
        <v>101</v>
      </c>
      <c r="E149" s="25">
        <v>101</v>
      </c>
      <c r="H149" s="24" t="s">
        <v>696</v>
      </c>
      <c r="M149" s="23" t="s">
        <v>879</v>
      </c>
      <c r="N149" s="23" t="s">
        <v>695</v>
      </c>
      <c r="O149" s="23" t="s">
        <v>694</v>
      </c>
      <c r="P149" s="23" t="s">
        <v>693</v>
      </c>
      <c r="R149" s="23" t="s">
        <v>692</v>
      </c>
      <c r="S149" s="23" t="s">
        <v>691</v>
      </c>
      <c r="U149" s="24">
        <v>0</v>
      </c>
      <c r="V149" s="23" t="s">
        <v>734</v>
      </c>
    </row>
    <row r="150" spans="1:22">
      <c r="A150" s="23" t="s">
        <v>697</v>
      </c>
      <c r="B150" s="23" t="s">
        <v>39</v>
      </c>
      <c r="C150" s="23" t="s">
        <v>687</v>
      </c>
      <c r="D150" s="25">
        <v>102</v>
      </c>
      <c r="E150" s="25">
        <v>102</v>
      </c>
      <c r="H150" s="24" t="s">
        <v>696</v>
      </c>
      <c r="M150" s="23" t="s">
        <v>880</v>
      </c>
      <c r="N150" s="23" t="s">
        <v>695</v>
      </c>
      <c r="O150" s="23" t="s">
        <v>694</v>
      </c>
      <c r="P150" s="23" t="s">
        <v>693</v>
      </c>
      <c r="R150" s="23" t="s">
        <v>692</v>
      </c>
      <c r="S150" s="23" t="s">
        <v>691</v>
      </c>
      <c r="U150" s="24">
        <v>0</v>
      </c>
      <c r="V150" s="23" t="s">
        <v>734</v>
      </c>
    </row>
    <row r="151" spans="1:22">
      <c r="A151" s="23" t="s">
        <v>697</v>
      </c>
      <c r="B151" s="23" t="s">
        <v>39</v>
      </c>
      <c r="C151" s="23" t="s">
        <v>687</v>
      </c>
      <c r="D151" s="25">
        <v>103</v>
      </c>
      <c r="E151" s="25">
        <v>103</v>
      </c>
      <c r="H151" s="24" t="s">
        <v>696</v>
      </c>
      <c r="M151" s="23" t="s">
        <v>881</v>
      </c>
      <c r="N151" s="23" t="s">
        <v>695</v>
      </c>
      <c r="O151" s="23" t="s">
        <v>694</v>
      </c>
      <c r="P151" s="23" t="s">
        <v>693</v>
      </c>
      <c r="R151" s="23" t="s">
        <v>692</v>
      </c>
      <c r="S151" s="23" t="s">
        <v>691</v>
      </c>
      <c r="U151" s="24">
        <v>0</v>
      </c>
      <c r="V151" s="23" t="s">
        <v>734</v>
      </c>
    </row>
    <row r="152" spans="1:22">
      <c r="A152" s="23" t="s">
        <v>697</v>
      </c>
      <c r="B152" s="23" t="s">
        <v>39</v>
      </c>
      <c r="C152" s="23" t="s">
        <v>687</v>
      </c>
      <c r="D152" s="25">
        <v>601</v>
      </c>
      <c r="E152" s="25">
        <v>601</v>
      </c>
      <c r="H152" s="24" t="s">
        <v>696</v>
      </c>
      <c r="M152" s="23" t="s">
        <v>882</v>
      </c>
      <c r="N152" s="23" t="s">
        <v>695</v>
      </c>
      <c r="O152" s="23" t="s">
        <v>694</v>
      </c>
      <c r="P152" s="23" t="s">
        <v>693</v>
      </c>
      <c r="R152" s="23" t="s">
        <v>692</v>
      </c>
      <c r="S152" s="23" t="s">
        <v>691</v>
      </c>
      <c r="U152" s="24">
        <v>0</v>
      </c>
      <c r="V152" s="23" t="s">
        <v>734</v>
      </c>
    </row>
    <row r="153" spans="1:22">
      <c r="A153" s="23" t="s">
        <v>697</v>
      </c>
      <c r="B153" s="23" t="s">
        <v>39</v>
      </c>
      <c r="C153" s="23" t="s">
        <v>687</v>
      </c>
      <c r="D153" s="25">
        <v>603</v>
      </c>
      <c r="E153" s="25">
        <v>603</v>
      </c>
      <c r="H153" s="24" t="s">
        <v>696</v>
      </c>
      <c r="M153" s="23" t="s">
        <v>883</v>
      </c>
      <c r="N153" s="23" t="s">
        <v>695</v>
      </c>
      <c r="O153" s="23" t="s">
        <v>694</v>
      </c>
      <c r="P153" s="23" t="s">
        <v>693</v>
      </c>
      <c r="R153" s="23" t="s">
        <v>692</v>
      </c>
      <c r="S153" s="23" t="s">
        <v>691</v>
      </c>
      <c r="U153" s="24">
        <v>0</v>
      </c>
      <c r="V153" s="23" t="s">
        <v>734</v>
      </c>
    </row>
  </sheetData>
  <autoFilter ref="U1:U343" xr:uid="{00000000-0009-0000-0000-000000000000}"/>
  <phoneticPr fontId="12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643"/>
  <sheetViews>
    <sheetView topLeftCell="U1" zoomScale="85" zoomScaleNormal="85" workbookViewId="0">
      <selection activeCell="D13" sqref="D13"/>
    </sheetView>
  </sheetViews>
  <sheetFormatPr defaultColWidth="21" defaultRowHeight="13.5"/>
  <cols>
    <col min="1" max="6" width="21" style="1" customWidth="1"/>
    <col min="7" max="7" width="21" style="1"/>
    <col min="8" max="12" width="21" style="1" customWidth="1"/>
    <col min="13" max="13" width="21" style="1"/>
    <col min="14" max="16" width="21" style="1" customWidth="1"/>
    <col min="17" max="17" width="21" style="1"/>
    <col min="18" max="33" width="21" style="1" customWidth="1"/>
    <col min="34" max="16384" width="21" style="1"/>
  </cols>
  <sheetData>
    <row r="1" spans="1:33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9" t="s">
        <v>5</v>
      </c>
      <c r="G1" s="19" t="s">
        <v>6</v>
      </c>
      <c r="H1" s="19" t="s">
        <v>7</v>
      </c>
      <c r="I1" s="20" t="s">
        <v>8</v>
      </c>
      <c r="J1" s="19" t="s">
        <v>9</v>
      </c>
      <c r="K1" s="19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9" t="s">
        <v>15</v>
      </c>
      <c r="Q1" s="16" t="s">
        <v>16</v>
      </c>
      <c r="R1" s="17" t="s">
        <v>17</v>
      </c>
      <c r="S1" s="17" t="s">
        <v>18</v>
      </c>
      <c r="T1" s="17" t="s">
        <v>19</v>
      </c>
      <c r="U1" s="19" t="s">
        <v>20</v>
      </c>
      <c r="V1" s="16" t="s">
        <v>21</v>
      </c>
      <c r="W1" s="16" t="s">
        <v>22</v>
      </c>
      <c r="X1" s="19" t="s">
        <v>23</v>
      </c>
      <c r="Y1" s="16" t="s">
        <v>24</v>
      </c>
      <c r="Z1" s="16" t="s">
        <v>25</v>
      </c>
      <c r="AA1" s="21" t="s">
        <v>26</v>
      </c>
      <c r="AB1" s="16" t="s">
        <v>27</v>
      </c>
      <c r="AC1" s="19" t="s">
        <v>28</v>
      </c>
      <c r="AD1" s="19" t="s">
        <v>29</v>
      </c>
      <c r="AE1" s="16" t="s">
        <v>30</v>
      </c>
      <c r="AF1" s="16" t="s">
        <v>31</v>
      </c>
      <c r="AG1" s="16" t="s">
        <v>32</v>
      </c>
    </row>
    <row r="2" spans="1:33" ht="17.25" customHeight="1">
      <c r="A2" s="4" t="str">
        <f>TEXT(ROW(A1),"000")</f>
        <v>001</v>
      </c>
      <c r="B2" s="5" t="s">
        <v>33</v>
      </c>
      <c r="C2" s="6" t="s">
        <v>38</v>
      </c>
      <c r="D2" s="15" t="s">
        <v>686</v>
      </c>
      <c r="E2" s="6">
        <v>101</v>
      </c>
      <c r="F2" s="4"/>
      <c r="G2" s="6">
        <v>101</v>
      </c>
      <c r="H2" s="4"/>
      <c r="I2" s="9"/>
      <c r="J2" s="4"/>
      <c r="K2" s="4"/>
      <c r="L2" s="10"/>
      <c r="M2" s="10" t="s">
        <v>46</v>
      </c>
      <c r="N2" s="10"/>
      <c r="O2" s="4"/>
      <c r="P2" s="4"/>
      <c r="Q2" s="18" t="s">
        <v>35</v>
      </c>
      <c r="R2" s="12"/>
      <c r="S2" s="4"/>
      <c r="T2" s="10"/>
      <c r="U2" s="4"/>
      <c r="V2" s="4"/>
      <c r="W2" s="13"/>
      <c r="X2" s="13"/>
      <c r="Y2" s="22"/>
      <c r="Z2" s="22"/>
      <c r="AA2" s="11"/>
      <c r="AB2" s="22"/>
      <c r="AC2" s="22"/>
      <c r="AD2" s="22"/>
      <c r="AE2" s="4"/>
      <c r="AF2" s="4"/>
      <c r="AG2" s="4"/>
    </row>
    <row r="3" spans="1:33" ht="15">
      <c r="A3" s="4" t="str">
        <f t="shared" ref="A3:A66" si="0">TEXT(ROW(A2),"000")</f>
        <v>002</v>
      </c>
      <c r="B3" s="1" t="s">
        <v>33</v>
      </c>
      <c r="C3" s="6" t="s">
        <v>38</v>
      </c>
      <c r="D3" s="15" t="s">
        <v>686</v>
      </c>
      <c r="E3" s="6">
        <v>102</v>
      </c>
      <c r="F3" s="4"/>
      <c r="G3" s="6">
        <v>102</v>
      </c>
      <c r="H3" s="4"/>
      <c r="I3" s="9"/>
      <c r="J3" s="4"/>
      <c r="K3" s="4"/>
      <c r="L3" s="10"/>
      <c r="M3" s="10" t="s">
        <v>46</v>
      </c>
      <c r="N3" s="10"/>
      <c r="O3" s="4"/>
      <c r="P3" s="4"/>
      <c r="Q3" s="18" t="s">
        <v>47</v>
      </c>
    </row>
    <row r="4" spans="1:33" ht="15">
      <c r="A4" s="4" t="str">
        <f t="shared" si="0"/>
        <v>003</v>
      </c>
      <c r="B4" s="1" t="s">
        <v>33</v>
      </c>
      <c r="C4" s="6" t="s">
        <v>38</v>
      </c>
      <c r="D4" s="15" t="s">
        <v>686</v>
      </c>
      <c r="E4" s="6">
        <v>103</v>
      </c>
      <c r="F4" s="4"/>
      <c r="G4" s="6">
        <v>103</v>
      </c>
      <c r="H4" s="4"/>
      <c r="I4" s="9"/>
      <c r="J4" s="4"/>
      <c r="K4" s="4"/>
      <c r="L4" s="10"/>
      <c r="M4" s="10" t="s">
        <v>46</v>
      </c>
      <c r="N4" s="10"/>
      <c r="O4" s="4"/>
      <c r="P4" s="4"/>
      <c r="Q4" s="18" t="s">
        <v>48</v>
      </c>
    </row>
    <row r="5" spans="1:33" ht="15">
      <c r="A5" s="4" t="str">
        <f t="shared" si="0"/>
        <v>004</v>
      </c>
      <c r="B5" s="1" t="s">
        <v>33</v>
      </c>
      <c r="C5" s="6" t="s">
        <v>38</v>
      </c>
      <c r="D5" s="15" t="s">
        <v>686</v>
      </c>
      <c r="E5" s="6">
        <v>104</v>
      </c>
      <c r="F5" s="4"/>
      <c r="G5" s="6">
        <v>104</v>
      </c>
      <c r="H5" s="4"/>
      <c r="I5" s="9"/>
      <c r="J5" s="4"/>
      <c r="K5" s="4"/>
      <c r="L5" s="10"/>
      <c r="M5" s="10" t="s">
        <v>46</v>
      </c>
      <c r="N5" s="10"/>
      <c r="O5" s="4"/>
      <c r="P5" s="4"/>
      <c r="Q5" s="18" t="s">
        <v>49</v>
      </c>
    </row>
    <row r="6" spans="1:33" ht="15">
      <c r="A6" s="4" t="str">
        <f t="shared" si="0"/>
        <v>005</v>
      </c>
      <c r="B6" s="1" t="s">
        <v>33</v>
      </c>
      <c r="C6" s="6" t="s">
        <v>38</v>
      </c>
      <c r="D6" s="15" t="s">
        <v>686</v>
      </c>
      <c r="E6" s="6">
        <v>201</v>
      </c>
      <c r="F6" s="4"/>
      <c r="G6" s="6">
        <v>201</v>
      </c>
      <c r="H6" s="4"/>
      <c r="I6" s="9"/>
      <c r="J6" s="4"/>
      <c r="K6" s="4"/>
      <c r="L6" s="10"/>
      <c r="M6" s="10" t="s">
        <v>46</v>
      </c>
      <c r="N6" s="10"/>
      <c r="O6" s="4"/>
      <c r="P6" s="4"/>
      <c r="Q6" s="18" t="s">
        <v>50</v>
      </c>
    </row>
    <row r="7" spans="1:33" ht="15">
      <c r="A7" s="4" t="str">
        <f t="shared" si="0"/>
        <v>006</v>
      </c>
      <c r="B7" s="1" t="s">
        <v>33</v>
      </c>
      <c r="C7" s="6" t="s">
        <v>38</v>
      </c>
      <c r="D7" s="15" t="s">
        <v>686</v>
      </c>
      <c r="E7" s="6">
        <v>202</v>
      </c>
      <c r="F7" s="4"/>
      <c r="G7" s="6">
        <v>202</v>
      </c>
      <c r="H7" s="4"/>
      <c r="I7" s="9"/>
      <c r="J7" s="4"/>
      <c r="K7" s="4"/>
      <c r="L7" s="10"/>
      <c r="M7" s="10" t="s">
        <v>46</v>
      </c>
      <c r="N7" s="10"/>
      <c r="O7" s="4"/>
      <c r="P7" s="4"/>
      <c r="Q7" s="18" t="s">
        <v>51</v>
      </c>
    </row>
    <row r="8" spans="1:33" ht="15">
      <c r="A8" s="4" t="str">
        <f t="shared" si="0"/>
        <v>007</v>
      </c>
      <c r="B8" s="1" t="s">
        <v>33</v>
      </c>
      <c r="C8" s="6" t="s">
        <v>38</v>
      </c>
      <c r="D8" s="15" t="s">
        <v>686</v>
      </c>
      <c r="E8" s="6">
        <v>203</v>
      </c>
      <c r="F8" s="4"/>
      <c r="G8" s="6">
        <v>203</v>
      </c>
      <c r="H8" s="4"/>
      <c r="I8" s="9"/>
      <c r="J8" s="4"/>
      <c r="K8" s="4"/>
      <c r="L8" s="10"/>
      <c r="M8" s="10" t="s">
        <v>46</v>
      </c>
      <c r="N8" s="10"/>
      <c r="O8" s="4"/>
      <c r="P8" s="4"/>
      <c r="Q8" s="18" t="s">
        <v>52</v>
      </c>
    </row>
    <row r="9" spans="1:33" ht="15">
      <c r="A9" s="4" t="str">
        <f t="shared" si="0"/>
        <v>008</v>
      </c>
      <c r="B9" s="1" t="s">
        <v>33</v>
      </c>
      <c r="C9" s="6" t="s">
        <v>38</v>
      </c>
      <c r="D9" s="15" t="s">
        <v>686</v>
      </c>
      <c r="E9" s="6">
        <v>204</v>
      </c>
      <c r="F9" s="4"/>
      <c r="G9" s="6">
        <v>204</v>
      </c>
      <c r="H9" s="4"/>
      <c r="I9" s="9"/>
      <c r="J9" s="4"/>
      <c r="K9" s="4"/>
      <c r="L9" s="10"/>
      <c r="M9" s="10" t="s">
        <v>46</v>
      </c>
      <c r="N9" s="10"/>
      <c r="O9" s="4"/>
      <c r="P9" s="4"/>
      <c r="Q9" s="18" t="s">
        <v>53</v>
      </c>
    </row>
    <row r="10" spans="1:33" ht="15">
      <c r="A10" s="4" t="str">
        <f t="shared" si="0"/>
        <v>009</v>
      </c>
      <c r="B10" s="1" t="s">
        <v>33</v>
      </c>
      <c r="C10" s="6" t="s">
        <v>38</v>
      </c>
      <c r="D10" s="15" t="s">
        <v>686</v>
      </c>
      <c r="E10" s="6">
        <v>301</v>
      </c>
      <c r="F10" s="4"/>
      <c r="G10" s="6">
        <v>301</v>
      </c>
      <c r="H10" s="4"/>
      <c r="I10" s="9"/>
      <c r="J10" s="4"/>
      <c r="K10" s="4"/>
      <c r="L10" s="10"/>
      <c r="M10" s="10" t="s">
        <v>46</v>
      </c>
      <c r="N10" s="10"/>
      <c r="O10" s="4"/>
      <c r="P10" s="4"/>
      <c r="Q10" s="18" t="s">
        <v>54</v>
      </c>
    </row>
    <row r="11" spans="1:33" ht="15">
      <c r="A11" s="4" t="str">
        <f t="shared" si="0"/>
        <v>010</v>
      </c>
      <c r="B11" s="1" t="s">
        <v>33</v>
      </c>
      <c r="C11" s="6" t="s">
        <v>38</v>
      </c>
      <c r="D11" s="15" t="s">
        <v>686</v>
      </c>
      <c r="E11" s="6">
        <v>302</v>
      </c>
      <c r="F11" s="4"/>
      <c r="G11" s="6">
        <v>302</v>
      </c>
      <c r="H11" s="4"/>
      <c r="I11" s="9"/>
      <c r="J11" s="4"/>
      <c r="K11" s="4"/>
      <c r="L11" s="10"/>
      <c r="M11" s="10" t="s">
        <v>46</v>
      </c>
      <c r="N11" s="10"/>
      <c r="O11" s="4"/>
      <c r="P11" s="4"/>
      <c r="Q11" s="18" t="s">
        <v>55</v>
      </c>
    </row>
    <row r="12" spans="1:33" ht="15">
      <c r="A12" s="4" t="str">
        <f t="shared" si="0"/>
        <v>011</v>
      </c>
      <c r="B12" s="1" t="s">
        <v>33</v>
      </c>
      <c r="C12" s="6" t="s">
        <v>38</v>
      </c>
      <c r="D12" s="15" t="s">
        <v>686</v>
      </c>
      <c r="E12" s="6">
        <v>303</v>
      </c>
      <c r="F12" s="4"/>
      <c r="G12" s="6">
        <v>303</v>
      </c>
      <c r="H12" s="4"/>
      <c r="I12" s="9"/>
      <c r="J12" s="4"/>
      <c r="K12" s="4"/>
      <c r="L12" s="10"/>
      <c r="M12" s="10" t="s">
        <v>46</v>
      </c>
      <c r="N12" s="10"/>
      <c r="O12" s="4"/>
      <c r="P12" s="4"/>
      <c r="Q12" s="18" t="s">
        <v>56</v>
      </c>
    </row>
    <row r="13" spans="1:33" ht="15">
      <c r="A13" s="4" t="str">
        <f t="shared" si="0"/>
        <v>012</v>
      </c>
      <c r="B13" s="1" t="s">
        <v>33</v>
      </c>
      <c r="C13" s="6" t="s">
        <v>38</v>
      </c>
      <c r="D13" s="15" t="s">
        <v>686</v>
      </c>
      <c r="E13" s="6">
        <v>304</v>
      </c>
      <c r="F13" s="4"/>
      <c r="G13" s="6">
        <v>304</v>
      </c>
      <c r="H13" s="4"/>
      <c r="I13" s="9"/>
      <c r="J13" s="4"/>
      <c r="K13" s="4"/>
      <c r="L13" s="10"/>
      <c r="M13" s="10" t="s">
        <v>46</v>
      </c>
      <c r="N13" s="10"/>
      <c r="O13" s="4"/>
      <c r="P13" s="4"/>
      <c r="Q13" s="18" t="s">
        <v>57</v>
      </c>
    </row>
    <row r="14" spans="1:33" ht="15">
      <c r="A14" s="4" t="str">
        <f t="shared" si="0"/>
        <v>013</v>
      </c>
      <c r="B14" s="1" t="s">
        <v>33</v>
      </c>
      <c r="C14" s="6" t="s">
        <v>38</v>
      </c>
      <c r="D14" s="15" t="s">
        <v>686</v>
      </c>
      <c r="E14" s="6">
        <v>401</v>
      </c>
      <c r="F14" s="4"/>
      <c r="G14" s="6">
        <v>401</v>
      </c>
      <c r="H14" s="4"/>
      <c r="I14" s="9"/>
      <c r="J14" s="4"/>
      <c r="K14" s="4"/>
      <c r="L14" s="10"/>
      <c r="M14" s="10" t="s">
        <v>46</v>
      </c>
      <c r="N14" s="10"/>
      <c r="O14" s="4"/>
      <c r="P14" s="4"/>
      <c r="Q14" s="18" t="s">
        <v>58</v>
      </c>
    </row>
    <row r="15" spans="1:33" ht="15">
      <c r="A15" s="4" t="str">
        <f t="shared" si="0"/>
        <v>014</v>
      </c>
      <c r="B15" s="1" t="s">
        <v>33</v>
      </c>
      <c r="C15" s="6" t="s">
        <v>38</v>
      </c>
      <c r="D15" s="15" t="s">
        <v>686</v>
      </c>
      <c r="E15" s="6">
        <v>402</v>
      </c>
      <c r="F15" s="4"/>
      <c r="G15" s="6">
        <v>402</v>
      </c>
      <c r="H15" s="4"/>
      <c r="I15" s="9"/>
      <c r="J15" s="4"/>
      <c r="K15" s="4"/>
      <c r="L15" s="10"/>
      <c r="M15" s="10" t="s">
        <v>46</v>
      </c>
      <c r="N15" s="10"/>
      <c r="O15" s="4"/>
      <c r="P15" s="4"/>
      <c r="Q15" s="18" t="s">
        <v>59</v>
      </c>
    </row>
    <row r="16" spans="1:33" ht="15">
      <c r="A16" s="4" t="str">
        <f t="shared" si="0"/>
        <v>015</v>
      </c>
      <c r="B16" s="1" t="s">
        <v>33</v>
      </c>
      <c r="C16" s="6" t="s">
        <v>38</v>
      </c>
      <c r="D16" s="15" t="s">
        <v>686</v>
      </c>
      <c r="E16" s="6">
        <v>403</v>
      </c>
      <c r="F16" s="4"/>
      <c r="G16" s="6">
        <v>403</v>
      </c>
      <c r="H16" s="4"/>
      <c r="I16" s="9"/>
      <c r="J16" s="4"/>
      <c r="K16" s="4"/>
      <c r="L16" s="10"/>
      <c r="M16" s="10" t="s">
        <v>46</v>
      </c>
      <c r="N16" s="10"/>
      <c r="O16" s="4"/>
      <c r="P16" s="4"/>
      <c r="Q16" s="18" t="s">
        <v>60</v>
      </c>
    </row>
    <row r="17" spans="1:17" ht="15">
      <c r="A17" s="4" t="str">
        <f t="shared" si="0"/>
        <v>016</v>
      </c>
      <c r="B17" s="1" t="s">
        <v>33</v>
      </c>
      <c r="C17" s="6" t="s">
        <v>38</v>
      </c>
      <c r="D17" s="15" t="s">
        <v>686</v>
      </c>
      <c r="E17" s="6">
        <v>404</v>
      </c>
      <c r="F17" s="4"/>
      <c r="G17" s="6">
        <v>404</v>
      </c>
      <c r="H17" s="4"/>
      <c r="I17" s="9"/>
      <c r="J17" s="4"/>
      <c r="K17" s="4"/>
      <c r="L17" s="10"/>
      <c r="M17" s="10" t="s">
        <v>46</v>
      </c>
      <c r="N17" s="10"/>
      <c r="O17" s="4"/>
      <c r="P17" s="4"/>
      <c r="Q17" s="18" t="s">
        <v>61</v>
      </c>
    </row>
    <row r="18" spans="1:17" ht="15">
      <c r="A18" s="4" t="str">
        <f t="shared" si="0"/>
        <v>017</v>
      </c>
      <c r="B18" s="1" t="s">
        <v>33</v>
      </c>
      <c r="C18" s="6" t="s">
        <v>38</v>
      </c>
      <c r="D18" s="15" t="s">
        <v>686</v>
      </c>
      <c r="E18" s="6">
        <v>501</v>
      </c>
      <c r="F18" s="4"/>
      <c r="G18" s="6">
        <v>501</v>
      </c>
      <c r="H18" s="4"/>
      <c r="I18" s="9"/>
      <c r="J18" s="4"/>
      <c r="K18" s="4"/>
      <c r="L18" s="10"/>
      <c r="M18" s="10" t="s">
        <v>46</v>
      </c>
      <c r="N18" s="10"/>
      <c r="O18" s="4"/>
      <c r="P18" s="4"/>
      <c r="Q18" s="18" t="s">
        <v>137</v>
      </c>
    </row>
    <row r="19" spans="1:17" ht="15">
      <c r="A19" s="4" t="str">
        <f t="shared" si="0"/>
        <v>018</v>
      </c>
      <c r="B19" s="1" t="s">
        <v>33</v>
      </c>
      <c r="C19" s="6" t="s">
        <v>38</v>
      </c>
      <c r="D19" s="15" t="s">
        <v>686</v>
      </c>
      <c r="E19" s="6">
        <v>502</v>
      </c>
      <c r="F19" s="4"/>
      <c r="G19" s="6">
        <v>502</v>
      </c>
      <c r="H19" s="4"/>
      <c r="I19" s="9"/>
      <c r="J19" s="4"/>
      <c r="K19" s="4"/>
      <c r="L19" s="10"/>
      <c r="M19" s="10" t="s">
        <v>46</v>
      </c>
      <c r="N19" s="10"/>
      <c r="O19" s="4"/>
      <c r="P19" s="4"/>
      <c r="Q19" s="18" t="s">
        <v>138</v>
      </c>
    </row>
    <row r="20" spans="1:17" ht="15">
      <c r="A20" s="4" t="str">
        <f t="shared" si="0"/>
        <v>019</v>
      </c>
      <c r="B20" s="1" t="s">
        <v>33</v>
      </c>
      <c r="C20" s="6" t="s">
        <v>38</v>
      </c>
      <c r="D20" s="15" t="s">
        <v>686</v>
      </c>
      <c r="E20" s="6">
        <v>503</v>
      </c>
      <c r="F20" s="4"/>
      <c r="G20" s="6">
        <v>503</v>
      </c>
      <c r="H20" s="4"/>
      <c r="I20" s="9"/>
      <c r="J20" s="4"/>
      <c r="K20" s="4"/>
      <c r="L20" s="10"/>
      <c r="M20" s="10" t="s">
        <v>46</v>
      </c>
      <c r="N20" s="10"/>
      <c r="O20" s="4"/>
      <c r="P20" s="4"/>
      <c r="Q20" s="18" t="s">
        <v>139</v>
      </c>
    </row>
    <row r="21" spans="1:17" ht="15">
      <c r="A21" s="4" t="str">
        <f t="shared" si="0"/>
        <v>020</v>
      </c>
      <c r="B21" s="1" t="s">
        <v>33</v>
      </c>
      <c r="C21" s="6" t="s">
        <v>38</v>
      </c>
      <c r="D21" s="15" t="s">
        <v>686</v>
      </c>
      <c r="E21" s="6">
        <v>504</v>
      </c>
      <c r="F21" s="4"/>
      <c r="G21" s="6">
        <v>504</v>
      </c>
      <c r="H21" s="4"/>
      <c r="I21" s="9"/>
      <c r="J21" s="4"/>
      <c r="K21" s="4"/>
      <c r="L21" s="10"/>
      <c r="M21" s="10" t="s">
        <v>46</v>
      </c>
      <c r="N21" s="10"/>
      <c r="O21" s="4"/>
      <c r="P21" s="4"/>
      <c r="Q21" s="18" t="s">
        <v>140</v>
      </c>
    </row>
    <row r="22" spans="1:17" ht="15">
      <c r="A22" s="4" t="str">
        <f t="shared" si="0"/>
        <v>021</v>
      </c>
      <c r="B22" s="1" t="s">
        <v>33</v>
      </c>
      <c r="C22" s="6" t="s">
        <v>38</v>
      </c>
      <c r="D22" s="15" t="s">
        <v>686</v>
      </c>
      <c r="E22" s="6">
        <v>601</v>
      </c>
      <c r="F22" s="4"/>
      <c r="G22" s="6">
        <v>601</v>
      </c>
      <c r="H22" s="4"/>
      <c r="I22" s="9"/>
      <c r="J22" s="4"/>
      <c r="K22" s="4"/>
      <c r="L22" s="10"/>
      <c r="M22" s="10" t="s">
        <v>46</v>
      </c>
      <c r="N22" s="10"/>
      <c r="O22" s="4"/>
      <c r="P22" s="4"/>
      <c r="Q22" s="18" t="s">
        <v>141</v>
      </c>
    </row>
    <row r="23" spans="1:17" ht="15">
      <c r="A23" s="4" t="str">
        <f t="shared" si="0"/>
        <v>022</v>
      </c>
      <c r="B23" s="1" t="s">
        <v>33</v>
      </c>
      <c r="C23" s="6" t="s">
        <v>38</v>
      </c>
      <c r="D23" s="15" t="s">
        <v>686</v>
      </c>
      <c r="E23" s="6">
        <v>602</v>
      </c>
      <c r="F23" s="4"/>
      <c r="G23" s="6">
        <v>602</v>
      </c>
      <c r="H23" s="4"/>
      <c r="I23" s="9"/>
      <c r="J23" s="4"/>
      <c r="K23" s="4"/>
      <c r="L23" s="10"/>
      <c r="M23" s="10" t="s">
        <v>46</v>
      </c>
      <c r="N23" s="10"/>
      <c r="O23" s="4"/>
      <c r="P23" s="4"/>
      <c r="Q23" s="18" t="s">
        <v>142</v>
      </c>
    </row>
    <row r="24" spans="1:17" ht="15">
      <c r="A24" s="4" t="str">
        <f t="shared" si="0"/>
        <v>023</v>
      </c>
      <c r="B24" s="1" t="s">
        <v>33</v>
      </c>
      <c r="C24" s="6" t="s">
        <v>38</v>
      </c>
      <c r="D24" s="15" t="s">
        <v>686</v>
      </c>
      <c r="E24" s="6">
        <v>603</v>
      </c>
      <c r="F24" s="4"/>
      <c r="G24" s="6">
        <v>603</v>
      </c>
      <c r="H24" s="4"/>
      <c r="I24" s="9"/>
      <c r="J24" s="4"/>
      <c r="K24" s="4"/>
      <c r="L24" s="10"/>
      <c r="M24" s="10" t="s">
        <v>46</v>
      </c>
      <c r="N24" s="10"/>
      <c r="O24" s="4"/>
      <c r="P24" s="4"/>
      <c r="Q24" s="18" t="s">
        <v>143</v>
      </c>
    </row>
    <row r="25" spans="1:17" ht="15">
      <c r="A25" s="4" t="str">
        <f t="shared" si="0"/>
        <v>024</v>
      </c>
      <c r="B25" s="1" t="s">
        <v>33</v>
      </c>
      <c r="C25" s="6" t="s">
        <v>38</v>
      </c>
      <c r="D25" s="15" t="s">
        <v>686</v>
      </c>
      <c r="E25" s="6">
        <v>604</v>
      </c>
      <c r="F25" s="4"/>
      <c r="G25" s="6">
        <v>604</v>
      </c>
      <c r="H25" s="4"/>
      <c r="I25" s="9"/>
      <c r="J25" s="4"/>
      <c r="K25" s="4"/>
      <c r="L25" s="10"/>
      <c r="M25" s="10" t="s">
        <v>46</v>
      </c>
      <c r="N25" s="10"/>
      <c r="O25" s="4"/>
      <c r="P25" s="4"/>
      <c r="Q25" s="18" t="s">
        <v>144</v>
      </c>
    </row>
    <row r="26" spans="1:17" ht="15">
      <c r="A26" s="4" t="str">
        <f t="shared" si="0"/>
        <v>025</v>
      </c>
      <c r="B26" s="1" t="s">
        <v>33</v>
      </c>
      <c r="C26" s="6" t="s">
        <v>38</v>
      </c>
      <c r="D26" s="15" t="s">
        <v>687</v>
      </c>
      <c r="E26" s="6">
        <v>101</v>
      </c>
      <c r="F26" s="4"/>
      <c r="G26" s="6">
        <v>101</v>
      </c>
      <c r="H26" s="4"/>
      <c r="I26" s="9"/>
      <c r="J26" s="4"/>
      <c r="K26" s="4"/>
      <c r="L26" s="10"/>
      <c r="M26" s="10" t="s">
        <v>46</v>
      </c>
      <c r="N26" s="10"/>
      <c r="O26" s="4"/>
      <c r="P26" s="4"/>
      <c r="Q26" s="18" t="s">
        <v>145</v>
      </c>
    </row>
    <row r="27" spans="1:17" ht="15">
      <c r="A27" s="4" t="str">
        <f t="shared" si="0"/>
        <v>026</v>
      </c>
      <c r="B27" s="1" t="s">
        <v>33</v>
      </c>
      <c r="C27" s="6" t="s">
        <v>38</v>
      </c>
      <c r="D27" s="15" t="s">
        <v>687</v>
      </c>
      <c r="E27" s="6">
        <v>102</v>
      </c>
      <c r="F27" s="4"/>
      <c r="G27" s="6">
        <v>102</v>
      </c>
      <c r="H27" s="4"/>
      <c r="I27" s="9"/>
      <c r="J27" s="4"/>
      <c r="K27" s="4"/>
      <c r="L27" s="10"/>
      <c r="M27" s="10" t="s">
        <v>46</v>
      </c>
      <c r="N27" s="10"/>
      <c r="O27" s="4"/>
      <c r="P27" s="4"/>
      <c r="Q27" s="18" t="s">
        <v>146</v>
      </c>
    </row>
    <row r="28" spans="1:17" ht="15">
      <c r="A28" s="4" t="str">
        <f t="shared" si="0"/>
        <v>027</v>
      </c>
      <c r="B28" s="1" t="s">
        <v>33</v>
      </c>
      <c r="C28" s="6" t="s">
        <v>38</v>
      </c>
      <c r="D28" s="15" t="s">
        <v>687</v>
      </c>
      <c r="E28" s="6">
        <v>103</v>
      </c>
      <c r="F28" s="4"/>
      <c r="G28" s="6">
        <v>103</v>
      </c>
      <c r="H28" s="4"/>
      <c r="I28" s="9"/>
      <c r="J28" s="4"/>
      <c r="K28" s="4"/>
      <c r="L28" s="10"/>
      <c r="M28" s="10" t="s">
        <v>46</v>
      </c>
      <c r="N28" s="10"/>
      <c r="O28" s="4"/>
      <c r="P28" s="4"/>
      <c r="Q28" s="18" t="s">
        <v>147</v>
      </c>
    </row>
    <row r="29" spans="1:17" ht="15">
      <c r="A29" s="4" t="str">
        <f t="shared" si="0"/>
        <v>028</v>
      </c>
      <c r="B29" s="1" t="s">
        <v>33</v>
      </c>
      <c r="C29" s="6" t="s">
        <v>38</v>
      </c>
      <c r="D29" s="15" t="s">
        <v>687</v>
      </c>
      <c r="E29" s="6">
        <v>104</v>
      </c>
      <c r="F29" s="4"/>
      <c r="G29" s="6">
        <v>104</v>
      </c>
      <c r="H29" s="4"/>
      <c r="I29" s="9"/>
      <c r="J29" s="4"/>
      <c r="K29" s="4"/>
      <c r="L29" s="10"/>
      <c r="M29" s="10" t="s">
        <v>46</v>
      </c>
      <c r="N29" s="10"/>
      <c r="O29" s="4"/>
      <c r="P29" s="4"/>
      <c r="Q29" s="18" t="s">
        <v>148</v>
      </c>
    </row>
    <row r="30" spans="1:17" ht="15">
      <c r="A30" s="4" t="str">
        <f t="shared" si="0"/>
        <v>029</v>
      </c>
      <c r="B30" s="1" t="s">
        <v>33</v>
      </c>
      <c r="C30" s="6" t="s">
        <v>38</v>
      </c>
      <c r="D30" s="15" t="s">
        <v>687</v>
      </c>
      <c r="E30" s="6">
        <v>201</v>
      </c>
      <c r="F30" s="4"/>
      <c r="G30" s="6">
        <v>201</v>
      </c>
      <c r="H30" s="4"/>
      <c r="I30" s="9"/>
      <c r="J30" s="4"/>
      <c r="K30" s="4"/>
      <c r="L30" s="10"/>
      <c r="M30" s="10" t="s">
        <v>46</v>
      </c>
      <c r="N30" s="10"/>
      <c r="O30" s="4"/>
      <c r="P30" s="4"/>
      <c r="Q30" s="18" t="s">
        <v>149</v>
      </c>
    </row>
    <row r="31" spans="1:17" ht="15">
      <c r="A31" s="4" t="str">
        <f t="shared" si="0"/>
        <v>030</v>
      </c>
      <c r="B31" s="1" t="s">
        <v>33</v>
      </c>
      <c r="C31" s="6" t="s">
        <v>38</v>
      </c>
      <c r="D31" s="15" t="s">
        <v>687</v>
      </c>
      <c r="E31" s="6">
        <v>202</v>
      </c>
      <c r="F31" s="4"/>
      <c r="G31" s="6">
        <v>202</v>
      </c>
      <c r="H31" s="4"/>
      <c r="I31" s="9"/>
      <c r="J31" s="4"/>
      <c r="K31" s="4"/>
      <c r="L31" s="10"/>
      <c r="M31" s="10" t="s">
        <v>46</v>
      </c>
      <c r="N31" s="10"/>
      <c r="O31" s="4"/>
      <c r="P31" s="4"/>
      <c r="Q31" s="18" t="s">
        <v>150</v>
      </c>
    </row>
    <row r="32" spans="1:17" ht="15">
      <c r="A32" s="4" t="str">
        <f t="shared" si="0"/>
        <v>031</v>
      </c>
      <c r="B32" s="1" t="s">
        <v>33</v>
      </c>
      <c r="C32" s="6" t="s">
        <v>38</v>
      </c>
      <c r="D32" s="15" t="s">
        <v>687</v>
      </c>
      <c r="E32" s="6">
        <v>203</v>
      </c>
      <c r="F32" s="4"/>
      <c r="G32" s="6">
        <v>203</v>
      </c>
      <c r="H32" s="4"/>
      <c r="I32" s="9"/>
      <c r="J32" s="4"/>
      <c r="K32" s="4"/>
      <c r="L32" s="10"/>
      <c r="M32" s="10" t="s">
        <v>46</v>
      </c>
      <c r="N32" s="10"/>
      <c r="O32" s="4"/>
      <c r="P32" s="4"/>
      <c r="Q32" s="18" t="s">
        <v>151</v>
      </c>
    </row>
    <row r="33" spans="1:17" ht="15">
      <c r="A33" s="4" t="str">
        <f t="shared" si="0"/>
        <v>032</v>
      </c>
      <c r="B33" s="1" t="s">
        <v>33</v>
      </c>
      <c r="C33" s="6" t="s">
        <v>38</v>
      </c>
      <c r="D33" s="15" t="s">
        <v>687</v>
      </c>
      <c r="E33" s="6">
        <v>204</v>
      </c>
      <c r="F33" s="4"/>
      <c r="G33" s="6">
        <v>204</v>
      </c>
      <c r="H33" s="4"/>
      <c r="I33" s="9"/>
      <c r="J33" s="4"/>
      <c r="K33" s="4"/>
      <c r="L33" s="10"/>
      <c r="M33" s="10" t="s">
        <v>46</v>
      </c>
      <c r="N33" s="10"/>
      <c r="O33" s="4"/>
      <c r="P33" s="4"/>
      <c r="Q33" s="18" t="s">
        <v>152</v>
      </c>
    </row>
    <row r="34" spans="1:17" ht="15">
      <c r="A34" s="4" t="str">
        <f t="shared" si="0"/>
        <v>033</v>
      </c>
      <c r="B34" s="1" t="s">
        <v>33</v>
      </c>
      <c r="C34" s="6" t="s">
        <v>38</v>
      </c>
      <c r="D34" s="15" t="s">
        <v>687</v>
      </c>
      <c r="E34" s="6">
        <v>301</v>
      </c>
      <c r="F34" s="4"/>
      <c r="G34" s="6">
        <v>301</v>
      </c>
      <c r="H34" s="4"/>
      <c r="I34" s="9"/>
      <c r="J34" s="4"/>
      <c r="K34" s="4"/>
      <c r="L34" s="10"/>
      <c r="M34" s="10" t="s">
        <v>46</v>
      </c>
      <c r="N34" s="10"/>
      <c r="O34" s="4"/>
      <c r="P34" s="4"/>
      <c r="Q34" s="18" t="s">
        <v>349</v>
      </c>
    </row>
    <row r="35" spans="1:17" ht="15">
      <c r="A35" s="4" t="str">
        <f t="shared" si="0"/>
        <v>034</v>
      </c>
      <c r="B35" s="1" t="s">
        <v>33</v>
      </c>
      <c r="C35" s="6" t="s">
        <v>38</v>
      </c>
      <c r="D35" s="15" t="s">
        <v>687</v>
      </c>
      <c r="E35" s="6">
        <v>302</v>
      </c>
      <c r="F35" s="4"/>
      <c r="G35" s="6">
        <v>302</v>
      </c>
      <c r="H35" s="4"/>
      <c r="I35" s="9"/>
      <c r="J35" s="4"/>
      <c r="K35" s="4"/>
      <c r="L35" s="10"/>
      <c r="M35" s="10" t="s">
        <v>46</v>
      </c>
      <c r="N35" s="10"/>
      <c r="O35" s="4"/>
      <c r="P35" s="4"/>
      <c r="Q35" s="18" t="s">
        <v>118</v>
      </c>
    </row>
    <row r="36" spans="1:17" ht="15">
      <c r="A36" s="4" t="str">
        <f t="shared" si="0"/>
        <v>035</v>
      </c>
      <c r="B36" s="1" t="s">
        <v>33</v>
      </c>
      <c r="C36" s="6" t="s">
        <v>38</v>
      </c>
      <c r="D36" s="15" t="s">
        <v>687</v>
      </c>
      <c r="E36" s="6">
        <v>303</v>
      </c>
      <c r="F36" s="4"/>
      <c r="G36" s="6">
        <v>303</v>
      </c>
      <c r="H36" s="4"/>
      <c r="I36" s="9"/>
      <c r="J36" s="4"/>
      <c r="K36" s="4"/>
      <c r="L36" s="10"/>
      <c r="M36" s="10" t="s">
        <v>46</v>
      </c>
      <c r="N36" s="10"/>
      <c r="O36" s="4"/>
      <c r="P36" s="4"/>
      <c r="Q36" s="18" t="s">
        <v>119</v>
      </c>
    </row>
    <row r="37" spans="1:17" ht="15">
      <c r="A37" s="4" t="str">
        <f t="shared" si="0"/>
        <v>036</v>
      </c>
      <c r="B37" s="1" t="s">
        <v>33</v>
      </c>
      <c r="C37" s="6" t="s">
        <v>38</v>
      </c>
      <c r="D37" s="15" t="s">
        <v>687</v>
      </c>
      <c r="E37" s="6">
        <v>304</v>
      </c>
      <c r="F37" s="4"/>
      <c r="G37" s="6">
        <v>304</v>
      </c>
      <c r="H37" s="4"/>
      <c r="I37" s="9"/>
      <c r="J37" s="4"/>
      <c r="K37" s="4"/>
      <c r="L37" s="10"/>
      <c r="M37" s="10" t="s">
        <v>46</v>
      </c>
      <c r="N37" s="10"/>
      <c r="O37" s="4"/>
      <c r="P37" s="4"/>
      <c r="Q37" s="18" t="s">
        <v>120</v>
      </c>
    </row>
    <row r="38" spans="1:17" ht="15">
      <c r="A38" s="4" t="str">
        <f t="shared" si="0"/>
        <v>037</v>
      </c>
      <c r="B38" s="1" t="s">
        <v>33</v>
      </c>
      <c r="C38" s="6" t="s">
        <v>38</v>
      </c>
      <c r="D38" s="15" t="s">
        <v>687</v>
      </c>
      <c r="E38" s="6">
        <v>401</v>
      </c>
      <c r="F38" s="4"/>
      <c r="G38" s="6">
        <v>401</v>
      </c>
      <c r="H38" s="4"/>
      <c r="I38" s="9"/>
      <c r="J38" s="4"/>
      <c r="K38" s="4"/>
      <c r="L38" s="10"/>
      <c r="M38" s="10" t="s">
        <v>46</v>
      </c>
      <c r="N38" s="10"/>
      <c r="O38" s="4"/>
      <c r="P38" s="4"/>
      <c r="Q38" s="18" t="s">
        <v>121</v>
      </c>
    </row>
    <row r="39" spans="1:17" ht="15">
      <c r="A39" s="4" t="str">
        <f t="shared" si="0"/>
        <v>038</v>
      </c>
      <c r="B39" s="1" t="s">
        <v>33</v>
      </c>
      <c r="C39" s="6" t="s">
        <v>38</v>
      </c>
      <c r="D39" s="15" t="s">
        <v>687</v>
      </c>
      <c r="E39" s="6">
        <v>402</v>
      </c>
      <c r="F39" s="4"/>
      <c r="G39" s="6">
        <v>402</v>
      </c>
      <c r="H39" s="4"/>
      <c r="I39" s="9"/>
      <c r="J39" s="4"/>
      <c r="K39" s="4"/>
      <c r="L39" s="10"/>
      <c r="M39" s="10" t="s">
        <v>46</v>
      </c>
      <c r="N39" s="10"/>
      <c r="O39" s="4"/>
      <c r="P39" s="4"/>
      <c r="Q39" s="18" t="s">
        <v>122</v>
      </c>
    </row>
    <row r="40" spans="1:17" ht="15">
      <c r="A40" s="4" t="str">
        <f t="shared" si="0"/>
        <v>039</v>
      </c>
      <c r="B40" s="1" t="s">
        <v>33</v>
      </c>
      <c r="C40" s="6" t="s">
        <v>38</v>
      </c>
      <c r="D40" s="15" t="s">
        <v>687</v>
      </c>
      <c r="E40" s="6">
        <v>403</v>
      </c>
      <c r="F40" s="4"/>
      <c r="G40" s="6">
        <v>403</v>
      </c>
      <c r="H40" s="4"/>
      <c r="I40" s="9"/>
      <c r="J40" s="4"/>
      <c r="K40" s="4"/>
      <c r="L40" s="10"/>
      <c r="M40" s="10" t="s">
        <v>46</v>
      </c>
      <c r="N40" s="10"/>
      <c r="O40" s="4"/>
      <c r="P40" s="4"/>
      <c r="Q40" s="18" t="s">
        <v>123</v>
      </c>
    </row>
    <row r="41" spans="1:17" ht="15">
      <c r="A41" s="4" t="str">
        <f t="shared" si="0"/>
        <v>040</v>
      </c>
      <c r="B41" s="1" t="s">
        <v>33</v>
      </c>
      <c r="C41" s="6" t="s">
        <v>38</v>
      </c>
      <c r="D41" s="15" t="s">
        <v>687</v>
      </c>
      <c r="E41" s="6">
        <v>404</v>
      </c>
      <c r="F41" s="4"/>
      <c r="G41" s="6">
        <v>404</v>
      </c>
      <c r="H41" s="4"/>
      <c r="I41" s="9"/>
      <c r="J41" s="4"/>
      <c r="K41" s="4"/>
      <c r="L41" s="10"/>
      <c r="M41" s="10" t="s">
        <v>46</v>
      </c>
      <c r="N41" s="10"/>
      <c r="O41" s="4"/>
      <c r="P41" s="4"/>
      <c r="Q41" s="18" t="s">
        <v>124</v>
      </c>
    </row>
    <row r="42" spans="1:17" ht="15">
      <c r="A42" s="4" t="str">
        <f t="shared" si="0"/>
        <v>041</v>
      </c>
      <c r="B42" s="1" t="s">
        <v>33</v>
      </c>
      <c r="C42" s="6" t="s">
        <v>38</v>
      </c>
      <c r="D42" s="15" t="s">
        <v>687</v>
      </c>
      <c r="E42" s="6">
        <v>501</v>
      </c>
      <c r="F42" s="4"/>
      <c r="G42" s="6">
        <v>501</v>
      </c>
      <c r="H42" s="4"/>
      <c r="I42" s="9"/>
      <c r="J42" s="4"/>
      <c r="K42" s="4"/>
      <c r="L42" s="10"/>
      <c r="M42" s="10" t="s">
        <v>46</v>
      </c>
      <c r="N42" s="10"/>
      <c r="O42" s="4"/>
      <c r="P42" s="4"/>
      <c r="Q42" s="18" t="s">
        <v>125</v>
      </c>
    </row>
    <row r="43" spans="1:17" ht="15">
      <c r="A43" s="4" t="str">
        <f t="shared" si="0"/>
        <v>042</v>
      </c>
      <c r="B43" s="1" t="s">
        <v>33</v>
      </c>
      <c r="C43" s="6" t="s">
        <v>38</v>
      </c>
      <c r="D43" s="15" t="s">
        <v>687</v>
      </c>
      <c r="E43" s="6">
        <v>502</v>
      </c>
      <c r="F43" s="4"/>
      <c r="G43" s="6">
        <v>502</v>
      </c>
      <c r="H43" s="4"/>
      <c r="I43" s="9"/>
      <c r="J43" s="4"/>
      <c r="K43" s="4"/>
      <c r="L43" s="10"/>
      <c r="M43" s="10" t="s">
        <v>46</v>
      </c>
      <c r="N43" s="10"/>
      <c r="O43" s="4"/>
      <c r="P43" s="4"/>
      <c r="Q43" s="18" t="s">
        <v>126</v>
      </c>
    </row>
    <row r="44" spans="1:17" ht="15">
      <c r="A44" s="4" t="str">
        <f t="shared" si="0"/>
        <v>043</v>
      </c>
      <c r="B44" s="1" t="s">
        <v>33</v>
      </c>
      <c r="C44" s="6" t="s">
        <v>38</v>
      </c>
      <c r="D44" s="15" t="s">
        <v>687</v>
      </c>
      <c r="E44" s="6">
        <v>503</v>
      </c>
      <c r="F44" s="4"/>
      <c r="G44" s="6">
        <v>503</v>
      </c>
      <c r="H44" s="4"/>
      <c r="I44" s="9"/>
      <c r="J44" s="4"/>
      <c r="K44" s="4"/>
      <c r="L44" s="10"/>
      <c r="M44" s="10" t="s">
        <v>46</v>
      </c>
      <c r="N44" s="10"/>
      <c r="O44" s="4"/>
      <c r="P44" s="4"/>
      <c r="Q44" s="18" t="s">
        <v>127</v>
      </c>
    </row>
    <row r="45" spans="1:17" ht="15">
      <c r="A45" s="4" t="str">
        <f t="shared" si="0"/>
        <v>044</v>
      </c>
      <c r="B45" s="1" t="s">
        <v>33</v>
      </c>
      <c r="C45" s="6" t="s">
        <v>38</v>
      </c>
      <c r="D45" s="15" t="s">
        <v>687</v>
      </c>
      <c r="E45" s="6">
        <v>504</v>
      </c>
      <c r="F45" s="4"/>
      <c r="G45" s="6">
        <v>504</v>
      </c>
      <c r="H45" s="4"/>
      <c r="I45" s="9"/>
      <c r="J45" s="4"/>
      <c r="K45" s="4"/>
      <c r="L45" s="10"/>
      <c r="M45" s="10" t="s">
        <v>46</v>
      </c>
      <c r="N45" s="10"/>
      <c r="O45" s="4"/>
      <c r="P45" s="4"/>
      <c r="Q45" s="18" t="s">
        <v>128</v>
      </c>
    </row>
    <row r="46" spans="1:17" ht="15">
      <c r="A46" s="4" t="str">
        <f t="shared" si="0"/>
        <v>045</v>
      </c>
      <c r="B46" s="1" t="s">
        <v>33</v>
      </c>
      <c r="C46" s="6" t="s">
        <v>38</v>
      </c>
      <c r="D46" s="15" t="s">
        <v>687</v>
      </c>
      <c r="E46" s="6">
        <v>601</v>
      </c>
      <c r="F46" s="4"/>
      <c r="G46" s="6">
        <v>601</v>
      </c>
      <c r="H46" s="4"/>
      <c r="I46" s="9"/>
      <c r="J46" s="4"/>
      <c r="K46" s="4"/>
      <c r="L46" s="10"/>
      <c r="M46" s="10" t="s">
        <v>46</v>
      </c>
      <c r="N46" s="10"/>
      <c r="O46" s="4"/>
      <c r="P46" s="4"/>
      <c r="Q46" s="18" t="s">
        <v>129</v>
      </c>
    </row>
    <row r="47" spans="1:17" ht="15">
      <c r="A47" s="4" t="str">
        <f t="shared" si="0"/>
        <v>046</v>
      </c>
      <c r="B47" s="1" t="s">
        <v>33</v>
      </c>
      <c r="C47" s="6" t="s">
        <v>38</v>
      </c>
      <c r="D47" s="15" t="s">
        <v>687</v>
      </c>
      <c r="E47" s="6">
        <v>602</v>
      </c>
      <c r="F47" s="4"/>
      <c r="G47" s="6">
        <v>602</v>
      </c>
      <c r="H47" s="4"/>
      <c r="I47" s="9"/>
      <c r="J47" s="4"/>
      <c r="K47" s="4"/>
      <c r="L47" s="10"/>
      <c r="M47" s="10" t="s">
        <v>46</v>
      </c>
      <c r="N47" s="10"/>
      <c r="O47" s="4"/>
      <c r="P47" s="4"/>
      <c r="Q47" s="18" t="s">
        <v>130</v>
      </c>
    </row>
    <row r="48" spans="1:17" ht="15">
      <c r="A48" s="4" t="str">
        <f t="shared" si="0"/>
        <v>047</v>
      </c>
      <c r="B48" s="1" t="s">
        <v>33</v>
      </c>
      <c r="C48" s="6" t="s">
        <v>38</v>
      </c>
      <c r="D48" s="15" t="s">
        <v>687</v>
      </c>
      <c r="E48" s="6">
        <v>603</v>
      </c>
      <c r="F48" s="4"/>
      <c r="G48" s="6">
        <v>603</v>
      </c>
      <c r="H48" s="4"/>
      <c r="I48" s="9"/>
      <c r="J48" s="4"/>
      <c r="K48" s="4"/>
      <c r="L48" s="10"/>
      <c r="M48" s="10" t="s">
        <v>46</v>
      </c>
      <c r="N48" s="10"/>
      <c r="O48" s="4"/>
      <c r="P48" s="4"/>
      <c r="Q48" s="18" t="s">
        <v>131</v>
      </c>
    </row>
    <row r="49" spans="1:17" ht="15">
      <c r="A49" s="4" t="str">
        <f t="shared" si="0"/>
        <v>048</v>
      </c>
      <c r="B49" s="1" t="s">
        <v>33</v>
      </c>
      <c r="C49" s="6" t="s">
        <v>38</v>
      </c>
      <c r="D49" s="15" t="s">
        <v>687</v>
      </c>
      <c r="E49" s="6">
        <v>604</v>
      </c>
      <c r="F49" s="4"/>
      <c r="G49" s="6">
        <v>604</v>
      </c>
      <c r="H49" s="4"/>
      <c r="I49" s="9"/>
      <c r="J49" s="4"/>
      <c r="K49" s="4"/>
      <c r="L49" s="10"/>
      <c r="M49" s="10" t="s">
        <v>46</v>
      </c>
      <c r="N49" s="10"/>
      <c r="O49" s="4"/>
      <c r="P49" s="4"/>
      <c r="Q49" s="18" t="s">
        <v>132</v>
      </c>
    </row>
    <row r="50" spans="1:17" ht="15">
      <c r="A50" s="4" t="str">
        <f t="shared" si="0"/>
        <v>049</v>
      </c>
      <c r="B50" s="1" t="s">
        <v>33</v>
      </c>
      <c r="C50" s="6" t="s">
        <v>38</v>
      </c>
      <c r="D50" s="15" t="s">
        <v>688</v>
      </c>
      <c r="E50" s="6">
        <v>101</v>
      </c>
      <c r="F50" s="4"/>
      <c r="G50" s="6">
        <v>101</v>
      </c>
      <c r="H50" s="4"/>
      <c r="I50" s="9"/>
      <c r="J50" s="4"/>
      <c r="K50" s="4"/>
      <c r="L50" s="10"/>
      <c r="M50" s="10" t="s">
        <v>46</v>
      </c>
      <c r="N50" s="10"/>
      <c r="O50" s="4"/>
      <c r="P50" s="4"/>
      <c r="Q50" s="18" t="s">
        <v>133</v>
      </c>
    </row>
    <row r="51" spans="1:17" ht="15">
      <c r="A51" s="4" t="str">
        <f t="shared" si="0"/>
        <v>050</v>
      </c>
      <c r="B51" s="1" t="s">
        <v>33</v>
      </c>
      <c r="C51" s="6" t="s">
        <v>38</v>
      </c>
      <c r="D51" s="15" t="s">
        <v>688</v>
      </c>
      <c r="E51" s="6">
        <v>102</v>
      </c>
      <c r="F51" s="4"/>
      <c r="G51" s="6">
        <v>102</v>
      </c>
      <c r="H51" s="4"/>
      <c r="I51" s="9"/>
      <c r="J51" s="4"/>
      <c r="K51" s="4"/>
      <c r="L51" s="10"/>
      <c r="M51" s="10" t="s">
        <v>46</v>
      </c>
      <c r="N51" s="10"/>
      <c r="O51" s="4"/>
      <c r="P51" s="4"/>
      <c r="Q51" s="18" t="s">
        <v>134</v>
      </c>
    </row>
    <row r="52" spans="1:17" ht="15">
      <c r="A52" s="4" t="str">
        <f t="shared" si="0"/>
        <v>051</v>
      </c>
      <c r="B52" s="1" t="s">
        <v>33</v>
      </c>
      <c r="C52" s="6" t="s">
        <v>38</v>
      </c>
      <c r="D52" s="15" t="s">
        <v>688</v>
      </c>
      <c r="E52" s="6">
        <v>103</v>
      </c>
      <c r="F52" s="4"/>
      <c r="G52" s="6">
        <v>103</v>
      </c>
      <c r="H52" s="4"/>
      <c r="I52" s="9"/>
      <c r="J52" s="4"/>
      <c r="K52" s="4"/>
      <c r="L52" s="10"/>
      <c r="M52" s="10" t="s">
        <v>46</v>
      </c>
      <c r="N52" s="10"/>
      <c r="O52" s="4"/>
      <c r="P52" s="4"/>
      <c r="Q52" s="18" t="s">
        <v>135</v>
      </c>
    </row>
    <row r="53" spans="1:17" ht="15">
      <c r="A53" s="4" t="str">
        <f t="shared" si="0"/>
        <v>052</v>
      </c>
      <c r="B53" s="1" t="s">
        <v>33</v>
      </c>
      <c r="C53" s="6" t="s">
        <v>38</v>
      </c>
      <c r="D53" s="15" t="s">
        <v>688</v>
      </c>
      <c r="E53" s="6">
        <v>104</v>
      </c>
      <c r="F53" s="4"/>
      <c r="G53" s="6">
        <v>104</v>
      </c>
      <c r="H53" s="4"/>
      <c r="I53" s="9"/>
      <c r="J53" s="4"/>
      <c r="K53" s="4"/>
      <c r="L53" s="10"/>
      <c r="M53" s="10" t="s">
        <v>46</v>
      </c>
      <c r="N53" s="10"/>
      <c r="O53" s="4"/>
      <c r="P53" s="4"/>
      <c r="Q53" s="18" t="s">
        <v>136</v>
      </c>
    </row>
    <row r="54" spans="1:17" ht="15">
      <c r="A54" s="4" t="str">
        <f t="shared" si="0"/>
        <v>053</v>
      </c>
      <c r="B54" s="1" t="s">
        <v>33</v>
      </c>
      <c r="C54" s="6" t="s">
        <v>38</v>
      </c>
      <c r="D54" s="15" t="s">
        <v>688</v>
      </c>
      <c r="E54" s="6">
        <v>201</v>
      </c>
      <c r="F54" s="4"/>
      <c r="G54" s="6">
        <v>201</v>
      </c>
      <c r="H54" s="4"/>
      <c r="I54" s="9"/>
      <c r="J54" s="4"/>
      <c r="K54" s="4"/>
      <c r="L54" s="10"/>
      <c r="M54" s="10" t="s">
        <v>46</v>
      </c>
      <c r="N54" s="10"/>
      <c r="O54" s="4"/>
      <c r="P54" s="4"/>
      <c r="Q54" s="18" t="s">
        <v>62</v>
      </c>
    </row>
    <row r="55" spans="1:17" ht="15">
      <c r="A55" s="4" t="str">
        <f t="shared" si="0"/>
        <v>054</v>
      </c>
      <c r="B55" s="1" t="s">
        <v>33</v>
      </c>
      <c r="C55" s="6" t="s">
        <v>38</v>
      </c>
      <c r="D55" s="15" t="s">
        <v>688</v>
      </c>
      <c r="E55" s="6">
        <v>202</v>
      </c>
      <c r="F55" s="4"/>
      <c r="G55" s="6">
        <v>202</v>
      </c>
      <c r="H55" s="4"/>
      <c r="I55" s="9"/>
      <c r="J55" s="4"/>
      <c r="K55" s="4"/>
      <c r="L55" s="10"/>
      <c r="M55" s="10" t="s">
        <v>46</v>
      </c>
      <c r="N55" s="10"/>
      <c r="O55" s="4"/>
      <c r="P55" s="4"/>
      <c r="Q55" s="18" t="s">
        <v>63</v>
      </c>
    </row>
    <row r="56" spans="1:17" ht="15">
      <c r="A56" s="4" t="str">
        <f t="shared" si="0"/>
        <v>055</v>
      </c>
      <c r="B56" s="1" t="s">
        <v>33</v>
      </c>
      <c r="C56" s="6" t="s">
        <v>38</v>
      </c>
      <c r="D56" s="15" t="s">
        <v>688</v>
      </c>
      <c r="E56" s="6">
        <v>203</v>
      </c>
      <c r="F56" s="4"/>
      <c r="G56" s="6">
        <v>203</v>
      </c>
      <c r="H56" s="4"/>
      <c r="I56" s="9"/>
      <c r="J56" s="4"/>
      <c r="K56" s="4"/>
      <c r="L56" s="10"/>
      <c r="M56" s="10" t="s">
        <v>46</v>
      </c>
      <c r="N56" s="10"/>
      <c r="O56" s="4"/>
      <c r="P56" s="4"/>
      <c r="Q56" s="18" t="s">
        <v>64</v>
      </c>
    </row>
    <row r="57" spans="1:17" ht="15">
      <c r="A57" s="4" t="str">
        <f t="shared" si="0"/>
        <v>056</v>
      </c>
      <c r="B57" s="1" t="s">
        <v>33</v>
      </c>
      <c r="C57" s="6" t="s">
        <v>38</v>
      </c>
      <c r="D57" s="15" t="s">
        <v>688</v>
      </c>
      <c r="E57" s="6">
        <v>204</v>
      </c>
      <c r="F57" s="4"/>
      <c r="G57" s="6">
        <v>204</v>
      </c>
      <c r="H57" s="4"/>
      <c r="I57" s="9"/>
      <c r="J57" s="4"/>
      <c r="K57" s="4"/>
      <c r="L57" s="10"/>
      <c r="M57" s="10" t="s">
        <v>46</v>
      </c>
      <c r="N57" s="10"/>
      <c r="O57" s="4"/>
      <c r="P57" s="4"/>
      <c r="Q57" s="18" t="s">
        <v>65</v>
      </c>
    </row>
    <row r="58" spans="1:17" ht="15">
      <c r="A58" s="4" t="str">
        <f t="shared" si="0"/>
        <v>057</v>
      </c>
      <c r="B58" s="1" t="s">
        <v>33</v>
      </c>
      <c r="C58" s="6" t="s">
        <v>38</v>
      </c>
      <c r="D58" s="15" t="s">
        <v>688</v>
      </c>
      <c r="E58" s="6">
        <v>301</v>
      </c>
      <c r="F58" s="4"/>
      <c r="G58" s="6">
        <v>301</v>
      </c>
      <c r="H58" s="4"/>
      <c r="I58" s="9"/>
      <c r="J58" s="4"/>
      <c r="K58" s="4"/>
      <c r="L58" s="10"/>
      <c r="M58" s="10" t="s">
        <v>46</v>
      </c>
      <c r="N58" s="10"/>
      <c r="O58" s="4"/>
      <c r="P58" s="4"/>
      <c r="Q58" s="18" t="s">
        <v>66</v>
      </c>
    </row>
    <row r="59" spans="1:17" ht="15">
      <c r="A59" s="4" t="str">
        <f t="shared" si="0"/>
        <v>058</v>
      </c>
      <c r="B59" s="1" t="s">
        <v>33</v>
      </c>
      <c r="C59" s="6" t="s">
        <v>38</v>
      </c>
      <c r="D59" s="15" t="s">
        <v>688</v>
      </c>
      <c r="E59" s="6">
        <v>302</v>
      </c>
      <c r="F59" s="4"/>
      <c r="G59" s="6">
        <v>302</v>
      </c>
      <c r="H59" s="4"/>
      <c r="I59" s="9"/>
      <c r="J59" s="4"/>
      <c r="K59" s="4"/>
      <c r="L59" s="10"/>
      <c r="M59" s="10" t="s">
        <v>46</v>
      </c>
      <c r="N59" s="10"/>
      <c r="O59" s="4"/>
      <c r="P59" s="4"/>
      <c r="Q59" s="18" t="s">
        <v>67</v>
      </c>
    </row>
    <row r="60" spans="1:17" ht="15">
      <c r="A60" s="4" t="str">
        <f t="shared" si="0"/>
        <v>059</v>
      </c>
      <c r="B60" s="1" t="s">
        <v>33</v>
      </c>
      <c r="C60" s="6" t="s">
        <v>38</v>
      </c>
      <c r="D60" s="15" t="s">
        <v>688</v>
      </c>
      <c r="E60" s="6">
        <v>303</v>
      </c>
      <c r="F60" s="4"/>
      <c r="G60" s="6">
        <v>303</v>
      </c>
      <c r="H60" s="4"/>
      <c r="I60" s="9"/>
      <c r="J60" s="4"/>
      <c r="K60" s="4"/>
      <c r="L60" s="10"/>
      <c r="M60" s="10" t="s">
        <v>46</v>
      </c>
      <c r="N60" s="10"/>
      <c r="O60" s="4"/>
      <c r="P60" s="4"/>
      <c r="Q60" s="18" t="s">
        <v>68</v>
      </c>
    </row>
    <row r="61" spans="1:17" ht="15">
      <c r="A61" s="4" t="str">
        <f t="shared" si="0"/>
        <v>060</v>
      </c>
      <c r="B61" s="1" t="s">
        <v>33</v>
      </c>
      <c r="C61" s="6" t="s">
        <v>38</v>
      </c>
      <c r="D61" s="15" t="s">
        <v>688</v>
      </c>
      <c r="E61" s="6">
        <v>304</v>
      </c>
      <c r="F61" s="4"/>
      <c r="G61" s="6">
        <v>304</v>
      </c>
      <c r="H61" s="4"/>
      <c r="I61" s="9"/>
      <c r="J61" s="4"/>
      <c r="K61" s="4"/>
      <c r="L61" s="10"/>
      <c r="M61" s="10" t="s">
        <v>46</v>
      </c>
      <c r="N61" s="10"/>
      <c r="O61" s="4"/>
      <c r="P61" s="4"/>
      <c r="Q61" s="18" t="s">
        <v>69</v>
      </c>
    </row>
    <row r="62" spans="1:17" ht="15">
      <c r="A62" s="4" t="str">
        <f t="shared" si="0"/>
        <v>061</v>
      </c>
      <c r="B62" s="1" t="s">
        <v>33</v>
      </c>
      <c r="C62" s="6" t="s">
        <v>38</v>
      </c>
      <c r="D62" s="15" t="s">
        <v>688</v>
      </c>
      <c r="E62" s="6">
        <v>401</v>
      </c>
      <c r="F62" s="4"/>
      <c r="G62" s="6">
        <v>401</v>
      </c>
      <c r="H62" s="4"/>
      <c r="I62" s="9"/>
      <c r="J62" s="4"/>
      <c r="K62" s="4"/>
      <c r="L62" s="10"/>
      <c r="M62" s="10" t="s">
        <v>46</v>
      </c>
      <c r="N62" s="10"/>
      <c r="O62" s="4"/>
      <c r="P62" s="4"/>
      <c r="Q62" s="18" t="s">
        <v>70</v>
      </c>
    </row>
    <row r="63" spans="1:17" ht="15">
      <c r="A63" s="4" t="str">
        <f t="shared" si="0"/>
        <v>062</v>
      </c>
      <c r="B63" s="1" t="s">
        <v>33</v>
      </c>
      <c r="C63" s="6" t="s">
        <v>38</v>
      </c>
      <c r="D63" s="15" t="s">
        <v>688</v>
      </c>
      <c r="E63" s="6">
        <v>402</v>
      </c>
      <c r="F63" s="4"/>
      <c r="G63" s="6">
        <v>402</v>
      </c>
      <c r="H63" s="4"/>
      <c r="I63" s="9"/>
      <c r="J63" s="4"/>
      <c r="K63" s="4"/>
      <c r="L63" s="10"/>
      <c r="M63" s="10" t="s">
        <v>46</v>
      </c>
      <c r="N63" s="10"/>
      <c r="O63" s="4"/>
      <c r="P63" s="4"/>
      <c r="Q63" s="18" t="s">
        <v>71</v>
      </c>
    </row>
    <row r="64" spans="1:17" ht="15">
      <c r="A64" s="4" t="str">
        <f t="shared" si="0"/>
        <v>063</v>
      </c>
      <c r="B64" s="1" t="s">
        <v>33</v>
      </c>
      <c r="C64" s="6" t="s">
        <v>38</v>
      </c>
      <c r="D64" s="15" t="s">
        <v>688</v>
      </c>
      <c r="E64" s="6">
        <v>403</v>
      </c>
      <c r="F64" s="4"/>
      <c r="G64" s="6">
        <v>403</v>
      </c>
      <c r="H64" s="4"/>
      <c r="I64" s="9"/>
      <c r="J64" s="4"/>
      <c r="K64" s="4"/>
      <c r="L64" s="10"/>
      <c r="M64" s="10" t="s">
        <v>46</v>
      </c>
      <c r="N64" s="10"/>
      <c r="O64" s="4"/>
      <c r="P64" s="4"/>
      <c r="Q64" s="18" t="s">
        <v>72</v>
      </c>
    </row>
    <row r="65" spans="1:17" ht="15">
      <c r="A65" s="4" t="str">
        <f t="shared" si="0"/>
        <v>064</v>
      </c>
      <c r="B65" s="1" t="s">
        <v>33</v>
      </c>
      <c r="C65" s="6" t="s">
        <v>38</v>
      </c>
      <c r="D65" s="15" t="s">
        <v>688</v>
      </c>
      <c r="E65" s="6">
        <v>404</v>
      </c>
      <c r="F65" s="4"/>
      <c r="G65" s="6">
        <v>404</v>
      </c>
      <c r="H65" s="4"/>
      <c r="I65" s="9"/>
      <c r="J65" s="4"/>
      <c r="K65" s="4"/>
      <c r="L65" s="10"/>
      <c r="M65" s="10" t="s">
        <v>46</v>
      </c>
      <c r="N65" s="10"/>
      <c r="O65" s="4"/>
      <c r="P65" s="4"/>
      <c r="Q65" s="18" t="s">
        <v>73</v>
      </c>
    </row>
    <row r="66" spans="1:17" ht="15">
      <c r="A66" s="4" t="str">
        <f t="shared" si="0"/>
        <v>065</v>
      </c>
      <c r="B66" s="1" t="s">
        <v>33</v>
      </c>
      <c r="C66" s="6" t="s">
        <v>38</v>
      </c>
      <c r="D66" s="15" t="s">
        <v>688</v>
      </c>
      <c r="E66" s="6">
        <v>501</v>
      </c>
      <c r="F66" s="4"/>
      <c r="G66" s="6">
        <v>501</v>
      </c>
      <c r="H66" s="4"/>
      <c r="I66" s="9"/>
      <c r="J66" s="4"/>
      <c r="K66" s="4"/>
      <c r="L66" s="10"/>
      <c r="M66" s="10" t="s">
        <v>46</v>
      </c>
      <c r="N66" s="10"/>
      <c r="O66" s="4"/>
      <c r="P66" s="4"/>
      <c r="Q66" s="18" t="s">
        <v>74</v>
      </c>
    </row>
    <row r="67" spans="1:17" ht="15">
      <c r="A67" s="4" t="str">
        <f t="shared" ref="A67:A130" si="1">TEXT(ROW(A66),"000")</f>
        <v>066</v>
      </c>
      <c r="B67" s="1" t="s">
        <v>33</v>
      </c>
      <c r="C67" s="6" t="s">
        <v>38</v>
      </c>
      <c r="D67" s="15" t="s">
        <v>688</v>
      </c>
      <c r="E67" s="6">
        <v>502</v>
      </c>
      <c r="F67" s="4"/>
      <c r="G67" s="6">
        <v>502</v>
      </c>
      <c r="H67" s="4"/>
      <c r="I67" s="9"/>
      <c r="J67" s="4"/>
      <c r="K67" s="4"/>
      <c r="L67" s="10"/>
      <c r="M67" s="10" t="s">
        <v>46</v>
      </c>
      <c r="N67" s="10"/>
      <c r="O67" s="4"/>
      <c r="P67" s="4"/>
      <c r="Q67" s="18" t="s">
        <v>75</v>
      </c>
    </row>
    <row r="68" spans="1:17" ht="15">
      <c r="A68" s="4" t="str">
        <f t="shared" si="1"/>
        <v>067</v>
      </c>
      <c r="B68" s="1" t="s">
        <v>33</v>
      </c>
      <c r="C68" s="6" t="s">
        <v>38</v>
      </c>
      <c r="D68" s="15" t="s">
        <v>688</v>
      </c>
      <c r="E68" s="6">
        <v>503</v>
      </c>
      <c r="F68" s="4"/>
      <c r="G68" s="6">
        <v>503</v>
      </c>
      <c r="H68" s="4"/>
      <c r="I68" s="9"/>
      <c r="J68" s="4"/>
      <c r="K68" s="4"/>
      <c r="L68" s="10"/>
      <c r="M68" s="10" t="s">
        <v>46</v>
      </c>
      <c r="N68" s="10"/>
      <c r="O68" s="4"/>
      <c r="P68" s="4"/>
      <c r="Q68" s="18" t="s">
        <v>76</v>
      </c>
    </row>
    <row r="69" spans="1:17" ht="15">
      <c r="A69" s="4" t="str">
        <f t="shared" si="1"/>
        <v>068</v>
      </c>
      <c r="B69" s="1" t="s">
        <v>33</v>
      </c>
      <c r="C69" s="6" t="s">
        <v>38</v>
      </c>
      <c r="D69" s="15" t="s">
        <v>688</v>
      </c>
      <c r="E69" s="6">
        <v>504</v>
      </c>
      <c r="F69" s="4"/>
      <c r="G69" s="6">
        <v>504</v>
      </c>
      <c r="H69" s="4"/>
      <c r="I69" s="9"/>
      <c r="J69" s="4"/>
      <c r="K69" s="4"/>
      <c r="L69" s="10"/>
      <c r="M69" s="10" t="s">
        <v>46</v>
      </c>
      <c r="N69" s="10"/>
      <c r="O69" s="4"/>
      <c r="P69" s="4"/>
      <c r="Q69" s="18" t="s">
        <v>77</v>
      </c>
    </row>
    <row r="70" spans="1:17" ht="15">
      <c r="A70" s="4" t="str">
        <f t="shared" si="1"/>
        <v>069</v>
      </c>
      <c r="B70" s="1" t="s">
        <v>33</v>
      </c>
      <c r="C70" s="6" t="s">
        <v>38</v>
      </c>
      <c r="D70" s="15" t="s">
        <v>688</v>
      </c>
      <c r="E70" s="6">
        <v>601</v>
      </c>
      <c r="F70" s="4"/>
      <c r="G70" s="6">
        <v>601</v>
      </c>
      <c r="H70" s="4"/>
      <c r="I70" s="9"/>
      <c r="J70" s="4"/>
      <c r="K70" s="4"/>
      <c r="L70" s="10"/>
      <c r="M70" s="10" t="s">
        <v>46</v>
      </c>
      <c r="N70" s="10"/>
      <c r="O70" s="4"/>
      <c r="P70" s="4"/>
      <c r="Q70" s="18" t="s">
        <v>78</v>
      </c>
    </row>
    <row r="71" spans="1:17" ht="15">
      <c r="A71" s="4" t="str">
        <f t="shared" si="1"/>
        <v>070</v>
      </c>
      <c r="B71" s="1" t="s">
        <v>33</v>
      </c>
      <c r="C71" s="6" t="s">
        <v>38</v>
      </c>
      <c r="D71" s="15" t="s">
        <v>688</v>
      </c>
      <c r="E71" s="6">
        <v>602</v>
      </c>
      <c r="F71" s="4"/>
      <c r="G71" s="6">
        <v>602</v>
      </c>
      <c r="H71" s="4"/>
      <c r="I71" s="9"/>
      <c r="J71" s="4"/>
      <c r="K71" s="4"/>
      <c r="L71" s="10"/>
      <c r="M71" s="10" t="s">
        <v>46</v>
      </c>
      <c r="N71" s="10"/>
      <c r="O71" s="4"/>
      <c r="P71" s="4"/>
      <c r="Q71" s="18" t="s">
        <v>79</v>
      </c>
    </row>
    <row r="72" spans="1:17" ht="15">
      <c r="A72" s="4" t="str">
        <f t="shared" si="1"/>
        <v>071</v>
      </c>
      <c r="B72" s="1" t="s">
        <v>33</v>
      </c>
      <c r="C72" s="6" t="s">
        <v>38</v>
      </c>
      <c r="D72" s="15" t="s">
        <v>688</v>
      </c>
      <c r="E72" s="6">
        <v>603</v>
      </c>
      <c r="F72" s="4"/>
      <c r="G72" s="6">
        <v>603</v>
      </c>
      <c r="H72" s="4"/>
      <c r="I72" s="9"/>
      <c r="J72" s="4"/>
      <c r="K72" s="4"/>
      <c r="L72" s="10"/>
      <c r="M72" s="10" t="s">
        <v>46</v>
      </c>
      <c r="N72" s="10"/>
      <c r="O72" s="4"/>
      <c r="P72" s="4"/>
      <c r="Q72" s="18" t="s">
        <v>80</v>
      </c>
    </row>
    <row r="73" spans="1:17" ht="15">
      <c r="A73" s="4" t="str">
        <f t="shared" si="1"/>
        <v>072</v>
      </c>
      <c r="B73" s="1" t="s">
        <v>33</v>
      </c>
      <c r="C73" s="6" t="s">
        <v>38</v>
      </c>
      <c r="D73" s="15" t="s">
        <v>688</v>
      </c>
      <c r="E73" s="6">
        <v>604</v>
      </c>
      <c r="F73" s="4"/>
      <c r="G73" s="6">
        <v>604</v>
      </c>
      <c r="H73" s="4"/>
      <c r="I73" s="9"/>
      <c r="J73" s="4"/>
      <c r="K73" s="4"/>
      <c r="L73" s="10"/>
      <c r="M73" s="10" t="s">
        <v>46</v>
      </c>
      <c r="N73" s="10"/>
      <c r="O73" s="4"/>
      <c r="P73" s="4"/>
      <c r="Q73" s="18" t="s">
        <v>81</v>
      </c>
    </row>
    <row r="74" spans="1:17" ht="15">
      <c r="A74" s="4" t="str">
        <f t="shared" si="1"/>
        <v>073</v>
      </c>
      <c r="B74" s="1" t="s">
        <v>33</v>
      </c>
      <c r="C74" s="6" t="s">
        <v>679</v>
      </c>
      <c r="D74" s="15" t="s">
        <v>686</v>
      </c>
      <c r="E74" s="6">
        <v>201</v>
      </c>
      <c r="F74" s="4"/>
      <c r="G74" s="6">
        <v>201</v>
      </c>
      <c r="H74" s="4"/>
      <c r="I74" s="9"/>
      <c r="J74" s="4"/>
      <c r="K74" s="4"/>
      <c r="L74" s="10"/>
      <c r="M74" s="10" t="s">
        <v>46</v>
      </c>
      <c r="N74" s="10"/>
      <c r="O74" s="4"/>
      <c r="P74" s="4"/>
      <c r="Q74" s="18" t="s">
        <v>350</v>
      </c>
    </row>
    <row r="75" spans="1:17" ht="15">
      <c r="A75" s="4" t="str">
        <f t="shared" si="1"/>
        <v>074</v>
      </c>
      <c r="B75" s="1" t="s">
        <v>33</v>
      </c>
      <c r="C75" s="6" t="s">
        <v>679</v>
      </c>
      <c r="D75" s="15" t="s">
        <v>686</v>
      </c>
      <c r="E75" s="6">
        <v>202</v>
      </c>
      <c r="F75" s="4"/>
      <c r="G75" s="6">
        <v>202</v>
      </c>
      <c r="H75" s="4"/>
      <c r="I75" s="9"/>
      <c r="J75" s="4"/>
      <c r="K75" s="4"/>
      <c r="L75" s="10"/>
      <c r="M75" s="10" t="s">
        <v>46</v>
      </c>
      <c r="N75" s="10"/>
      <c r="O75" s="4"/>
      <c r="P75" s="4"/>
      <c r="Q75" s="18" t="s">
        <v>351</v>
      </c>
    </row>
    <row r="76" spans="1:17" ht="15">
      <c r="A76" s="4" t="str">
        <f t="shared" si="1"/>
        <v>075</v>
      </c>
      <c r="B76" s="1" t="s">
        <v>33</v>
      </c>
      <c r="C76" s="6" t="s">
        <v>679</v>
      </c>
      <c r="D76" s="15" t="s">
        <v>686</v>
      </c>
      <c r="E76" s="6">
        <v>203</v>
      </c>
      <c r="F76" s="4"/>
      <c r="G76" s="6">
        <v>203</v>
      </c>
      <c r="H76" s="4"/>
      <c r="I76" s="9"/>
      <c r="J76" s="4"/>
      <c r="K76" s="4"/>
      <c r="L76" s="10"/>
      <c r="M76" s="10" t="s">
        <v>46</v>
      </c>
      <c r="N76" s="10"/>
      <c r="O76" s="4"/>
      <c r="P76" s="4"/>
      <c r="Q76" s="18" t="s">
        <v>352</v>
      </c>
    </row>
    <row r="77" spans="1:17" ht="15">
      <c r="A77" s="4" t="str">
        <f t="shared" si="1"/>
        <v>076</v>
      </c>
      <c r="B77" s="1" t="s">
        <v>33</v>
      </c>
      <c r="C77" s="6" t="s">
        <v>679</v>
      </c>
      <c r="D77" s="15" t="s">
        <v>686</v>
      </c>
      <c r="E77" s="6">
        <v>204</v>
      </c>
      <c r="F77" s="4"/>
      <c r="G77" s="6">
        <v>204</v>
      </c>
      <c r="H77" s="4"/>
      <c r="I77" s="9"/>
      <c r="J77" s="4"/>
      <c r="K77" s="4"/>
      <c r="L77" s="10"/>
      <c r="M77" s="10" t="s">
        <v>46</v>
      </c>
      <c r="N77" s="10"/>
      <c r="O77" s="4"/>
      <c r="P77" s="4"/>
      <c r="Q77" s="18" t="s">
        <v>353</v>
      </c>
    </row>
    <row r="78" spans="1:17" ht="15">
      <c r="A78" s="4" t="str">
        <f t="shared" si="1"/>
        <v>077</v>
      </c>
      <c r="B78" s="1" t="s">
        <v>33</v>
      </c>
      <c r="C78" s="6" t="s">
        <v>679</v>
      </c>
      <c r="D78" s="15" t="s">
        <v>686</v>
      </c>
      <c r="E78" s="6">
        <v>301</v>
      </c>
      <c r="F78" s="4"/>
      <c r="G78" s="6">
        <v>301</v>
      </c>
      <c r="H78" s="4"/>
      <c r="I78" s="9"/>
      <c r="J78" s="4"/>
      <c r="K78" s="4"/>
      <c r="L78" s="10"/>
      <c r="M78" s="10" t="s">
        <v>46</v>
      </c>
      <c r="N78" s="10"/>
      <c r="O78" s="4"/>
      <c r="P78" s="4"/>
      <c r="Q78" s="18" t="s">
        <v>354</v>
      </c>
    </row>
    <row r="79" spans="1:17" ht="15">
      <c r="A79" s="4" t="str">
        <f t="shared" si="1"/>
        <v>078</v>
      </c>
      <c r="B79" s="1" t="s">
        <v>33</v>
      </c>
      <c r="C79" s="6" t="s">
        <v>679</v>
      </c>
      <c r="D79" s="15" t="s">
        <v>686</v>
      </c>
      <c r="E79" s="6">
        <v>302</v>
      </c>
      <c r="F79" s="4"/>
      <c r="G79" s="6">
        <v>302</v>
      </c>
      <c r="H79" s="4"/>
      <c r="I79" s="9"/>
      <c r="J79" s="4"/>
      <c r="K79" s="4"/>
      <c r="L79" s="10"/>
      <c r="M79" s="10" t="s">
        <v>46</v>
      </c>
      <c r="N79" s="10"/>
      <c r="O79" s="4"/>
      <c r="P79" s="4"/>
      <c r="Q79" s="18" t="s">
        <v>355</v>
      </c>
    </row>
    <row r="80" spans="1:17" ht="15">
      <c r="A80" s="4" t="str">
        <f t="shared" si="1"/>
        <v>079</v>
      </c>
      <c r="B80" s="1" t="s">
        <v>33</v>
      </c>
      <c r="C80" s="6" t="s">
        <v>679</v>
      </c>
      <c r="D80" s="15" t="s">
        <v>686</v>
      </c>
      <c r="E80" s="6">
        <v>303</v>
      </c>
      <c r="F80" s="4"/>
      <c r="G80" s="6">
        <v>303</v>
      </c>
      <c r="H80" s="4"/>
      <c r="I80" s="9"/>
      <c r="J80" s="4"/>
      <c r="K80" s="4"/>
      <c r="L80" s="10"/>
      <c r="M80" s="10" t="s">
        <v>46</v>
      </c>
      <c r="N80" s="10"/>
      <c r="O80" s="4"/>
      <c r="P80" s="4"/>
      <c r="Q80" s="18" t="s">
        <v>356</v>
      </c>
    </row>
    <row r="81" spans="1:17" ht="15">
      <c r="A81" s="4" t="str">
        <f t="shared" si="1"/>
        <v>080</v>
      </c>
      <c r="B81" s="1" t="s">
        <v>33</v>
      </c>
      <c r="C81" s="6" t="s">
        <v>679</v>
      </c>
      <c r="D81" s="15" t="s">
        <v>686</v>
      </c>
      <c r="E81" s="6">
        <v>304</v>
      </c>
      <c r="F81" s="4"/>
      <c r="G81" s="6">
        <v>304</v>
      </c>
      <c r="H81" s="4"/>
      <c r="I81" s="9"/>
      <c r="J81" s="4"/>
      <c r="K81" s="4"/>
      <c r="L81" s="10"/>
      <c r="M81" s="10" t="s">
        <v>46</v>
      </c>
      <c r="N81" s="10"/>
      <c r="O81" s="4"/>
      <c r="P81" s="4"/>
      <c r="Q81" s="18" t="s">
        <v>357</v>
      </c>
    </row>
    <row r="82" spans="1:17" ht="15">
      <c r="A82" s="4" t="str">
        <f t="shared" si="1"/>
        <v>081</v>
      </c>
      <c r="B82" s="1" t="s">
        <v>33</v>
      </c>
      <c r="C82" s="6" t="s">
        <v>679</v>
      </c>
      <c r="D82" s="15" t="s">
        <v>686</v>
      </c>
      <c r="E82" s="6">
        <v>401</v>
      </c>
      <c r="F82" s="4"/>
      <c r="G82" s="6">
        <v>401</v>
      </c>
      <c r="H82" s="4"/>
      <c r="I82" s="9"/>
      <c r="J82" s="4"/>
      <c r="K82" s="4"/>
      <c r="L82" s="10"/>
      <c r="M82" s="10" t="s">
        <v>46</v>
      </c>
      <c r="N82" s="10"/>
      <c r="O82" s="4"/>
      <c r="P82" s="4"/>
      <c r="Q82" s="18" t="s">
        <v>358</v>
      </c>
    </row>
    <row r="83" spans="1:17" ht="15">
      <c r="A83" s="4" t="str">
        <f t="shared" si="1"/>
        <v>082</v>
      </c>
      <c r="B83" s="1" t="s">
        <v>33</v>
      </c>
      <c r="C83" s="6" t="s">
        <v>679</v>
      </c>
      <c r="D83" s="15" t="s">
        <v>686</v>
      </c>
      <c r="E83" s="6">
        <v>402</v>
      </c>
      <c r="F83" s="4"/>
      <c r="G83" s="6">
        <v>402</v>
      </c>
      <c r="H83" s="4"/>
      <c r="I83" s="9"/>
      <c r="J83" s="4"/>
      <c r="K83" s="4"/>
      <c r="L83" s="10"/>
      <c r="M83" s="10" t="s">
        <v>46</v>
      </c>
      <c r="N83" s="10"/>
      <c r="O83" s="4"/>
      <c r="P83" s="4"/>
      <c r="Q83" s="18" t="s">
        <v>359</v>
      </c>
    </row>
    <row r="84" spans="1:17" ht="15">
      <c r="A84" s="4" t="str">
        <f t="shared" si="1"/>
        <v>083</v>
      </c>
      <c r="B84" s="1" t="s">
        <v>33</v>
      </c>
      <c r="C84" s="6" t="s">
        <v>679</v>
      </c>
      <c r="D84" s="15" t="s">
        <v>686</v>
      </c>
      <c r="E84" s="6">
        <v>403</v>
      </c>
      <c r="F84" s="4"/>
      <c r="G84" s="6">
        <v>403</v>
      </c>
      <c r="H84" s="4"/>
      <c r="I84" s="9"/>
      <c r="J84" s="4"/>
      <c r="K84" s="4"/>
      <c r="L84" s="10"/>
      <c r="M84" s="10" t="s">
        <v>46</v>
      </c>
      <c r="N84" s="10"/>
      <c r="O84" s="4"/>
      <c r="P84" s="4"/>
      <c r="Q84" s="18" t="s">
        <v>360</v>
      </c>
    </row>
    <row r="85" spans="1:17" ht="15">
      <c r="A85" s="4" t="str">
        <f t="shared" si="1"/>
        <v>084</v>
      </c>
      <c r="B85" s="1" t="s">
        <v>33</v>
      </c>
      <c r="C85" s="6" t="s">
        <v>679</v>
      </c>
      <c r="D85" s="15" t="s">
        <v>686</v>
      </c>
      <c r="E85" s="6">
        <v>404</v>
      </c>
      <c r="F85" s="4"/>
      <c r="G85" s="6">
        <v>404</v>
      </c>
      <c r="H85" s="4"/>
      <c r="I85" s="9"/>
      <c r="J85" s="4"/>
      <c r="K85" s="4"/>
      <c r="L85" s="10"/>
      <c r="M85" s="10" t="s">
        <v>46</v>
      </c>
      <c r="N85" s="10"/>
      <c r="O85" s="4"/>
      <c r="P85" s="4"/>
      <c r="Q85" s="18" t="s">
        <v>361</v>
      </c>
    </row>
    <row r="86" spans="1:17" ht="15">
      <c r="A86" s="4" t="str">
        <f t="shared" si="1"/>
        <v>085</v>
      </c>
      <c r="B86" s="1" t="s">
        <v>33</v>
      </c>
      <c r="C86" s="6" t="s">
        <v>679</v>
      </c>
      <c r="D86" s="15" t="s">
        <v>686</v>
      </c>
      <c r="E86" s="6">
        <v>501</v>
      </c>
      <c r="F86" s="4"/>
      <c r="G86" s="6">
        <v>501</v>
      </c>
      <c r="H86" s="4"/>
      <c r="I86" s="9"/>
      <c r="J86" s="4"/>
      <c r="K86" s="4"/>
      <c r="L86" s="10"/>
      <c r="M86" s="10" t="s">
        <v>46</v>
      </c>
      <c r="N86" s="10"/>
      <c r="O86" s="4"/>
      <c r="P86" s="4"/>
      <c r="Q86" s="18" t="s">
        <v>362</v>
      </c>
    </row>
    <row r="87" spans="1:17" ht="15">
      <c r="A87" s="4" t="str">
        <f t="shared" si="1"/>
        <v>086</v>
      </c>
      <c r="B87" s="1" t="s">
        <v>33</v>
      </c>
      <c r="C87" s="6" t="s">
        <v>679</v>
      </c>
      <c r="D87" s="15" t="s">
        <v>686</v>
      </c>
      <c r="E87" s="6">
        <v>502</v>
      </c>
      <c r="F87" s="4"/>
      <c r="G87" s="6">
        <v>502</v>
      </c>
      <c r="H87" s="4"/>
      <c r="I87" s="9"/>
      <c r="J87" s="4"/>
      <c r="K87" s="4"/>
      <c r="L87" s="10"/>
      <c r="M87" s="10" t="s">
        <v>46</v>
      </c>
      <c r="N87" s="10"/>
      <c r="O87" s="4"/>
      <c r="P87" s="4"/>
      <c r="Q87" s="18" t="s">
        <v>363</v>
      </c>
    </row>
    <row r="88" spans="1:17" ht="15">
      <c r="A88" s="4" t="str">
        <f t="shared" si="1"/>
        <v>087</v>
      </c>
      <c r="B88" s="1" t="s">
        <v>33</v>
      </c>
      <c r="C88" s="6" t="s">
        <v>679</v>
      </c>
      <c r="D88" s="15" t="s">
        <v>686</v>
      </c>
      <c r="E88" s="6">
        <v>503</v>
      </c>
      <c r="F88" s="4"/>
      <c r="G88" s="6">
        <v>503</v>
      </c>
      <c r="H88" s="4"/>
      <c r="I88" s="9"/>
      <c r="J88" s="4"/>
      <c r="K88" s="4"/>
      <c r="L88" s="10"/>
      <c r="M88" s="10" t="s">
        <v>46</v>
      </c>
      <c r="N88" s="10"/>
      <c r="O88" s="4"/>
      <c r="P88" s="4"/>
      <c r="Q88" s="18" t="s">
        <v>364</v>
      </c>
    </row>
    <row r="89" spans="1:17" ht="15">
      <c r="A89" s="4" t="str">
        <f t="shared" si="1"/>
        <v>088</v>
      </c>
      <c r="B89" s="1" t="s">
        <v>33</v>
      </c>
      <c r="C89" s="6" t="s">
        <v>679</v>
      </c>
      <c r="D89" s="15" t="s">
        <v>686</v>
      </c>
      <c r="E89" s="6">
        <v>504</v>
      </c>
      <c r="F89" s="4"/>
      <c r="G89" s="6">
        <v>504</v>
      </c>
      <c r="H89" s="4"/>
      <c r="I89" s="9"/>
      <c r="J89" s="4"/>
      <c r="K89" s="4"/>
      <c r="L89" s="10"/>
      <c r="M89" s="10" t="s">
        <v>46</v>
      </c>
      <c r="N89" s="10"/>
      <c r="O89" s="4"/>
      <c r="P89" s="4"/>
      <c r="Q89" s="18" t="s">
        <v>365</v>
      </c>
    </row>
    <row r="90" spans="1:17" ht="15">
      <c r="A90" s="4" t="str">
        <f t="shared" si="1"/>
        <v>089</v>
      </c>
      <c r="B90" s="1" t="s">
        <v>33</v>
      </c>
      <c r="C90" s="6" t="s">
        <v>679</v>
      </c>
      <c r="D90" s="15" t="s">
        <v>686</v>
      </c>
      <c r="E90" s="6">
        <v>601</v>
      </c>
      <c r="F90" s="4"/>
      <c r="G90" s="6">
        <v>601</v>
      </c>
      <c r="H90" s="4"/>
      <c r="I90" s="9"/>
      <c r="J90" s="4"/>
      <c r="K90" s="4"/>
      <c r="L90" s="10"/>
      <c r="M90" s="10" t="s">
        <v>46</v>
      </c>
      <c r="N90" s="10"/>
      <c r="O90" s="4"/>
      <c r="P90" s="4"/>
      <c r="Q90" s="18" t="s">
        <v>366</v>
      </c>
    </row>
    <row r="91" spans="1:17" ht="15">
      <c r="A91" s="4" t="str">
        <f t="shared" si="1"/>
        <v>090</v>
      </c>
      <c r="B91" s="1" t="s">
        <v>33</v>
      </c>
      <c r="C91" s="6" t="s">
        <v>679</v>
      </c>
      <c r="D91" s="15" t="s">
        <v>686</v>
      </c>
      <c r="E91" s="6">
        <v>602</v>
      </c>
      <c r="F91" s="4"/>
      <c r="G91" s="6">
        <v>602</v>
      </c>
      <c r="H91" s="4"/>
      <c r="I91" s="9"/>
      <c r="J91" s="4"/>
      <c r="K91" s="4"/>
      <c r="L91" s="10"/>
      <c r="M91" s="10" t="s">
        <v>46</v>
      </c>
      <c r="N91" s="10"/>
      <c r="O91" s="4"/>
      <c r="P91" s="4"/>
      <c r="Q91" s="18" t="s">
        <v>367</v>
      </c>
    </row>
    <row r="92" spans="1:17" ht="15">
      <c r="A92" s="4" t="str">
        <f t="shared" si="1"/>
        <v>091</v>
      </c>
      <c r="B92" s="1" t="s">
        <v>33</v>
      </c>
      <c r="C92" s="6" t="s">
        <v>679</v>
      </c>
      <c r="D92" s="15" t="s">
        <v>686</v>
      </c>
      <c r="E92" s="6">
        <v>603</v>
      </c>
      <c r="F92" s="4"/>
      <c r="G92" s="6">
        <v>603</v>
      </c>
      <c r="H92" s="4"/>
      <c r="I92" s="9"/>
      <c r="J92" s="4"/>
      <c r="K92" s="4"/>
      <c r="L92" s="10"/>
      <c r="M92" s="10" t="s">
        <v>46</v>
      </c>
      <c r="N92" s="10"/>
      <c r="O92" s="4"/>
      <c r="P92" s="4"/>
      <c r="Q92" s="18" t="s">
        <v>368</v>
      </c>
    </row>
    <row r="93" spans="1:17" ht="15">
      <c r="A93" s="4" t="str">
        <f t="shared" si="1"/>
        <v>092</v>
      </c>
      <c r="B93" s="1" t="s">
        <v>33</v>
      </c>
      <c r="C93" s="6" t="s">
        <v>679</v>
      </c>
      <c r="D93" s="15" t="s">
        <v>686</v>
      </c>
      <c r="E93" s="6">
        <v>604</v>
      </c>
      <c r="F93" s="4"/>
      <c r="G93" s="6">
        <v>604</v>
      </c>
      <c r="H93" s="4"/>
      <c r="I93" s="9"/>
      <c r="J93" s="4"/>
      <c r="K93" s="4"/>
      <c r="L93" s="10"/>
      <c r="M93" s="10" t="s">
        <v>46</v>
      </c>
      <c r="N93" s="10"/>
      <c r="O93" s="4"/>
      <c r="P93" s="4"/>
      <c r="Q93" s="18" t="s">
        <v>369</v>
      </c>
    </row>
    <row r="94" spans="1:17" ht="15">
      <c r="A94" s="4" t="str">
        <f t="shared" si="1"/>
        <v>093</v>
      </c>
      <c r="B94" s="1" t="s">
        <v>33</v>
      </c>
      <c r="C94" s="6" t="s">
        <v>679</v>
      </c>
      <c r="D94" s="15" t="s">
        <v>687</v>
      </c>
      <c r="E94" s="6">
        <v>201</v>
      </c>
      <c r="F94" s="4"/>
      <c r="G94" s="6">
        <v>201</v>
      </c>
      <c r="H94" s="4"/>
      <c r="I94" s="9"/>
      <c r="J94" s="4"/>
      <c r="K94" s="4"/>
      <c r="L94" s="10"/>
      <c r="M94" s="10" t="s">
        <v>46</v>
      </c>
      <c r="N94" s="10"/>
      <c r="O94" s="4"/>
      <c r="P94" s="4"/>
      <c r="Q94" s="18" t="s">
        <v>370</v>
      </c>
    </row>
    <row r="95" spans="1:17" ht="15">
      <c r="A95" s="4" t="str">
        <f t="shared" si="1"/>
        <v>094</v>
      </c>
      <c r="B95" s="1" t="s">
        <v>33</v>
      </c>
      <c r="C95" s="6" t="s">
        <v>679</v>
      </c>
      <c r="D95" s="15" t="s">
        <v>687</v>
      </c>
      <c r="E95" s="6">
        <v>202</v>
      </c>
      <c r="F95" s="4"/>
      <c r="G95" s="6">
        <v>202</v>
      </c>
      <c r="H95" s="4"/>
      <c r="I95" s="9"/>
      <c r="J95" s="4"/>
      <c r="K95" s="4"/>
      <c r="L95" s="10"/>
      <c r="M95" s="10" t="s">
        <v>46</v>
      </c>
      <c r="N95" s="10"/>
      <c r="O95" s="4"/>
      <c r="P95" s="4"/>
      <c r="Q95" s="18" t="s">
        <v>371</v>
      </c>
    </row>
    <row r="96" spans="1:17" ht="15">
      <c r="A96" s="4" t="str">
        <f t="shared" si="1"/>
        <v>095</v>
      </c>
      <c r="B96" s="1" t="s">
        <v>33</v>
      </c>
      <c r="C96" s="6" t="s">
        <v>679</v>
      </c>
      <c r="D96" s="15" t="s">
        <v>687</v>
      </c>
      <c r="E96" s="6">
        <v>203</v>
      </c>
      <c r="F96" s="4"/>
      <c r="G96" s="6">
        <v>203</v>
      </c>
      <c r="H96" s="4"/>
      <c r="I96" s="9"/>
      <c r="J96" s="4"/>
      <c r="K96" s="4"/>
      <c r="L96" s="10"/>
      <c r="M96" s="10" t="s">
        <v>46</v>
      </c>
      <c r="N96" s="10"/>
      <c r="O96" s="4"/>
      <c r="P96" s="4"/>
      <c r="Q96" s="18" t="s">
        <v>372</v>
      </c>
    </row>
    <row r="97" spans="1:17" ht="15">
      <c r="A97" s="4" t="str">
        <f t="shared" si="1"/>
        <v>096</v>
      </c>
      <c r="B97" s="1" t="s">
        <v>33</v>
      </c>
      <c r="C97" s="6" t="s">
        <v>679</v>
      </c>
      <c r="D97" s="15" t="s">
        <v>687</v>
      </c>
      <c r="E97" s="6">
        <v>204</v>
      </c>
      <c r="F97" s="4"/>
      <c r="G97" s="6">
        <v>204</v>
      </c>
      <c r="H97" s="4"/>
      <c r="I97" s="9"/>
      <c r="J97" s="4"/>
      <c r="K97" s="4"/>
      <c r="L97" s="10"/>
      <c r="M97" s="10" t="s">
        <v>46</v>
      </c>
      <c r="N97" s="10"/>
      <c r="O97" s="4"/>
      <c r="P97" s="4"/>
      <c r="Q97" s="18" t="s">
        <v>373</v>
      </c>
    </row>
    <row r="98" spans="1:17" ht="15">
      <c r="A98" s="4" t="str">
        <f t="shared" si="1"/>
        <v>097</v>
      </c>
      <c r="B98" s="1" t="s">
        <v>33</v>
      </c>
      <c r="C98" s="6" t="s">
        <v>679</v>
      </c>
      <c r="D98" s="15" t="s">
        <v>687</v>
      </c>
      <c r="E98" s="6">
        <v>301</v>
      </c>
      <c r="F98" s="4"/>
      <c r="G98" s="6">
        <v>301</v>
      </c>
      <c r="H98" s="4"/>
      <c r="I98" s="9"/>
      <c r="J98" s="4"/>
      <c r="K98" s="4"/>
      <c r="L98" s="10"/>
      <c r="M98" s="10" t="s">
        <v>46</v>
      </c>
      <c r="N98" s="10"/>
      <c r="O98" s="4"/>
      <c r="P98" s="4"/>
      <c r="Q98" s="18" t="s">
        <v>374</v>
      </c>
    </row>
    <row r="99" spans="1:17" ht="15">
      <c r="A99" s="4" t="str">
        <f t="shared" si="1"/>
        <v>098</v>
      </c>
      <c r="B99" s="1" t="s">
        <v>33</v>
      </c>
      <c r="C99" s="6" t="s">
        <v>679</v>
      </c>
      <c r="D99" s="15" t="s">
        <v>687</v>
      </c>
      <c r="E99" s="6">
        <v>302</v>
      </c>
      <c r="F99" s="4"/>
      <c r="G99" s="6">
        <v>302</v>
      </c>
      <c r="H99" s="4"/>
      <c r="I99" s="9"/>
      <c r="J99" s="4"/>
      <c r="K99" s="4"/>
      <c r="L99" s="10"/>
      <c r="M99" s="10" t="s">
        <v>46</v>
      </c>
      <c r="N99" s="10"/>
      <c r="O99" s="4"/>
      <c r="P99" s="4"/>
      <c r="Q99" s="18" t="s">
        <v>375</v>
      </c>
    </row>
    <row r="100" spans="1:17" ht="15">
      <c r="A100" s="4" t="str">
        <f t="shared" si="1"/>
        <v>099</v>
      </c>
      <c r="B100" s="1" t="s">
        <v>33</v>
      </c>
      <c r="C100" s="6" t="s">
        <v>679</v>
      </c>
      <c r="D100" s="15" t="s">
        <v>687</v>
      </c>
      <c r="E100" s="6">
        <v>303</v>
      </c>
      <c r="F100" s="4"/>
      <c r="G100" s="6">
        <v>303</v>
      </c>
      <c r="H100" s="4"/>
      <c r="I100" s="9"/>
      <c r="J100" s="4"/>
      <c r="K100" s="4"/>
      <c r="L100" s="10"/>
      <c r="M100" s="10" t="s">
        <v>46</v>
      </c>
      <c r="N100" s="10"/>
      <c r="O100" s="4"/>
      <c r="P100" s="4"/>
      <c r="Q100" s="18" t="s">
        <v>376</v>
      </c>
    </row>
    <row r="101" spans="1:17" ht="15">
      <c r="A101" s="4" t="str">
        <f t="shared" si="1"/>
        <v>100</v>
      </c>
      <c r="B101" s="1" t="s">
        <v>33</v>
      </c>
      <c r="C101" s="6" t="s">
        <v>679</v>
      </c>
      <c r="D101" s="15" t="s">
        <v>687</v>
      </c>
      <c r="E101" s="6">
        <v>304</v>
      </c>
      <c r="F101" s="4"/>
      <c r="G101" s="6">
        <v>304</v>
      </c>
      <c r="H101" s="4"/>
      <c r="I101" s="9"/>
      <c r="J101" s="4"/>
      <c r="K101" s="4"/>
      <c r="L101" s="10"/>
      <c r="M101" s="10" t="s">
        <v>46</v>
      </c>
      <c r="N101" s="10"/>
      <c r="O101" s="4"/>
      <c r="P101" s="4"/>
      <c r="Q101" s="18" t="s">
        <v>377</v>
      </c>
    </row>
    <row r="102" spans="1:17" ht="15">
      <c r="A102" s="4" t="str">
        <f t="shared" si="1"/>
        <v>101</v>
      </c>
      <c r="B102" s="1" t="s">
        <v>33</v>
      </c>
      <c r="C102" s="6" t="s">
        <v>679</v>
      </c>
      <c r="D102" s="15" t="s">
        <v>687</v>
      </c>
      <c r="E102" s="6">
        <v>401</v>
      </c>
      <c r="F102" s="4"/>
      <c r="G102" s="6">
        <v>401</v>
      </c>
      <c r="H102" s="4"/>
      <c r="I102" s="9"/>
      <c r="J102" s="4"/>
      <c r="K102" s="4"/>
      <c r="L102" s="10"/>
      <c r="M102" s="10" t="s">
        <v>46</v>
      </c>
      <c r="N102" s="10"/>
      <c r="O102" s="4"/>
      <c r="P102" s="4"/>
      <c r="Q102" s="18" t="s">
        <v>378</v>
      </c>
    </row>
    <row r="103" spans="1:17" ht="15">
      <c r="A103" s="4" t="str">
        <f t="shared" si="1"/>
        <v>102</v>
      </c>
      <c r="B103" s="1" t="s">
        <v>33</v>
      </c>
      <c r="C103" s="6" t="s">
        <v>679</v>
      </c>
      <c r="D103" s="15" t="s">
        <v>687</v>
      </c>
      <c r="E103" s="6">
        <v>402</v>
      </c>
      <c r="F103" s="4"/>
      <c r="G103" s="6">
        <v>402</v>
      </c>
      <c r="H103" s="4"/>
      <c r="I103" s="9"/>
      <c r="J103" s="4"/>
      <c r="K103" s="4"/>
      <c r="L103" s="10"/>
      <c r="M103" s="10" t="s">
        <v>46</v>
      </c>
      <c r="N103" s="10"/>
      <c r="O103" s="4"/>
      <c r="P103" s="4"/>
      <c r="Q103" s="18" t="s">
        <v>379</v>
      </c>
    </row>
    <row r="104" spans="1:17" ht="15">
      <c r="A104" s="4" t="str">
        <f t="shared" si="1"/>
        <v>103</v>
      </c>
      <c r="B104" s="1" t="s">
        <v>33</v>
      </c>
      <c r="C104" s="6" t="s">
        <v>679</v>
      </c>
      <c r="D104" s="15" t="s">
        <v>687</v>
      </c>
      <c r="E104" s="6">
        <v>403</v>
      </c>
      <c r="F104" s="4"/>
      <c r="G104" s="6">
        <v>403</v>
      </c>
      <c r="H104" s="4"/>
      <c r="I104" s="9"/>
      <c r="J104" s="4"/>
      <c r="K104" s="4"/>
      <c r="L104" s="10"/>
      <c r="M104" s="10" t="s">
        <v>46</v>
      </c>
      <c r="N104" s="10"/>
      <c r="O104" s="4"/>
      <c r="P104" s="4"/>
      <c r="Q104" s="18" t="s">
        <v>380</v>
      </c>
    </row>
    <row r="105" spans="1:17" ht="15">
      <c r="A105" s="4" t="str">
        <f t="shared" si="1"/>
        <v>104</v>
      </c>
      <c r="B105" s="1" t="s">
        <v>33</v>
      </c>
      <c r="C105" s="6" t="s">
        <v>679</v>
      </c>
      <c r="D105" s="15" t="s">
        <v>687</v>
      </c>
      <c r="E105" s="6">
        <v>404</v>
      </c>
      <c r="F105" s="4"/>
      <c r="G105" s="6">
        <v>404</v>
      </c>
      <c r="H105" s="4"/>
      <c r="I105" s="9"/>
      <c r="J105" s="4"/>
      <c r="K105" s="4"/>
      <c r="L105" s="10"/>
      <c r="M105" s="10" t="s">
        <v>46</v>
      </c>
      <c r="N105" s="10"/>
      <c r="O105" s="4"/>
      <c r="P105" s="4"/>
      <c r="Q105" s="18" t="s">
        <v>381</v>
      </c>
    </row>
    <row r="106" spans="1:17" ht="15">
      <c r="A106" s="4" t="str">
        <f t="shared" si="1"/>
        <v>105</v>
      </c>
      <c r="B106" s="1" t="s">
        <v>33</v>
      </c>
      <c r="C106" s="6" t="s">
        <v>679</v>
      </c>
      <c r="D106" s="15" t="s">
        <v>687</v>
      </c>
      <c r="E106" s="6">
        <v>501</v>
      </c>
      <c r="F106" s="4"/>
      <c r="G106" s="6">
        <v>501</v>
      </c>
      <c r="H106" s="4"/>
      <c r="I106" s="9"/>
      <c r="J106" s="4"/>
      <c r="K106" s="4"/>
      <c r="L106" s="10"/>
      <c r="M106" s="10" t="s">
        <v>46</v>
      </c>
      <c r="N106" s="10"/>
      <c r="O106" s="4"/>
      <c r="P106" s="4"/>
      <c r="Q106" s="18" t="s">
        <v>382</v>
      </c>
    </row>
    <row r="107" spans="1:17" ht="15">
      <c r="A107" s="4" t="str">
        <f t="shared" si="1"/>
        <v>106</v>
      </c>
      <c r="B107" s="1" t="s">
        <v>33</v>
      </c>
      <c r="C107" s="6" t="s">
        <v>679</v>
      </c>
      <c r="D107" s="15" t="s">
        <v>687</v>
      </c>
      <c r="E107" s="6">
        <v>502</v>
      </c>
      <c r="F107" s="4"/>
      <c r="G107" s="6">
        <v>502</v>
      </c>
      <c r="H107" s="4"/>
      <c r="I107" s="9"/>
      <c r="J107" s="4"/>
      <c r="K107" s="4"/>
      <c r="L107" s="10"/>
      <c r="M107" s="10" t="s">
        <v>46</v>
      </c>
      <c r="N107" s="10"/>
      <c r="O107" s="4"/>
      <c r="P107" s="4"/>
      <c r="Q107" s="18" t="s">
        <v>383</v>
      </c>
    </row>
    <row r="108" spans="1:17" ht="15">
      <c r="A108" s="4" t="str">
        <f t="shared" si="1"/>
        <v>107</v>
      </c>
      <c r="B108" s="1" t="s">
        <v>33</v>
      </c>
      <c r="C108" s="6" t="s">
        <v>679</v>
      </c>
      <c r="D108" s="15" t="s">
        <v>687</v>
      </c>
      <c r="E108" s="6">
        <v>503</v>
      </c>
      <c r="F108" s="4"/>
      <c r="G108" s="6">
        <v>503</v>
      </c>
      <c r="H108" s="4"/>
      <c r="I108" s="9"/>
      <c r="J108" s="4"/>
      <c r="K108" s="4"/>
      <c r="L108" s="10"/>
      <c r="M108" s="10" t="s">
        <v>46</v>
      </c>
      <c r="N108" s="10"/>
      <c r="O108" s="4"/>
      <c r="P108" s="4"/>
      <c r="Q108" s="18" t="s">
        <v>384</v>
      </c>
    </row>
    <row r="109" spans="1:17" ht="15">
      <c r="A109" s="4" t="str">
        <f t="shared" si="1"/>
        <v>108</v>
      </c>
      <c r="B109" s="1" t="s">
        <v>33</v>
      </c>
      <c r="C109" s="6" t="s">
        <v>679</v>
      </c>
      <c r="D109" s="15" t="s">
        <v>687</v>
      </c>
      <c r="E109" s="6">
        <v>504</v>
      </c>
      <c r="F109" s="4"/>
      <c r="G109" s="6">
        <v>504</v>
      </c>
      <c r="H109" s="4"/>
      <c r="I109" s="9"/>
      <c r="J109" s="4"/>
      <c r="K109" s="4"/>
      <c r="L109" s="10"/>
      <c r="M109" s="10" t="s">
        <v>46</v>
      </c>
      <c r="N109" s="10"/>
      <c r="O109" s="4"/>
      <c r="P109" s="4"/>
      <c r="Q109" s="18" t="s">
        <v>385</v>
      </c>
    </row>
    <row r="110" spans="1:17" ht="15">
      <c r="A110" s="4" t="str">
        <f t="shared" si="1"/>
        <v>109</v>
      </c>
      <c r="B110" s="1" t="s">
        <v>33</v>
      </c>
      <c r="C110" s="6" t="s">
        <v>679</v>
      </c>
      <c r="D110" s="15" t="s">
        <v>687</v>
      </c>
      <c r="E110" s="6">
        <v>601</v>
      </c>
      <c r="F110" s="4"/>
      <c r="G110" s="6">
        <v>601</v>
      </c>
      <c r="H110" s="4"/>
      <c r="I110" s="9"/>
      <c r="J110" s="4"/>
      <c r="K110" s="4"/>
      <c r="L110" s="10"/>
      <c r="M110" s="10" t="s">
        <v>46</v>
      </c>
      <c r="N110" s="10"/>
      <c r="O110" s="4"/>
      <c r="P110" s="4"/>
      <c r="Q110" s="18" t="s">
        <v>386</v>
      </c>
    </row>
    <row r="111" spans="1:17" ht="15">
      <c r="A111" s="4" t="str">
        <f t="shared" si="1"/>
        <v>110</v>
      </c>
      <c r="B111" s="1" t="s">
        <v>33</v>
      </c>
      <c r="C111" s="6" t="s">
        <v>679</v>
      </c>
      <c r="D111" s="15" t="s">
        <v>687</v>
      </c>
      <c r="E111" s="6">
        <v>602</v>
      </c>
      <c r="F111" s="4"/>
      <c r="G111" s="6">
        <v>602</v>
      </c>
      <c r="H111" s="4"/>
      <c r="I111" s="9"/>
      <c r="J111" s="4"/>
      <c r="K111" s="4"/>
      <c r="L111" s="10"/>
      <c r="M111" s="10" t="s">
        <v>46</v>
      </c>
      <c r="N111" s="10"/>
      <c r="O111" s="4"/>
      <c r="P111" s="4"/>
      <c r="Q111" s="18" t="s">
        <v>387</v>
      </c>
    </row>
    <row r="112" spans="1:17" ht="15">
      <c r="A112" s="4" t="str">
        <f t="shared" si="1"/>
        <v>111</v>
      </c>
      <c r="B112" s="1" t="s">
        <v>33</v>
      </c>
      <c r="C112" s="6" t="s">
        <v>679</v>
      </c>
      <c r="D112" s="15" t="s">
        <v>687</v>
      </c>
      <c r="E112" s="6">
        <v>603</v>
      </c>
      <c r="F112" s="4"/>
      <c r="G112" s="6">
        <v>603</v>
      </c>
      <c r="H112" s="4"/>
      <c r="I112" s="9"/>
      <c r="J112" s="4"/>
      <c r="K112" s="4"/>
      <c r="L112" s="10"/>
      <c r="M112" s="10" t="s">
        <v>46</v>
      </c>
      <c r="N112" s="10"/>
      <c r="O112" s="4"/>
      <c r="P112" s="4"/>
      <c r="Q112" s="18" t="s">
        <v>388</v>
      </c>
    </row>
    <row r="113" spans="1:17" ht="15">
      <c r="A113" s="4" t="str">
        <f t="shared" si="1"/>
        <v>112</v>
      </c>
      <c r="B113" s="1" t="s">
        <v>33</v>
      </c>
      <c r="C113" s="6" t="s">
        <v>679</v>
      </c>
      <c r="D113" s="15" t="s">
        <v>687</v>
      </c>
      <c r="E113" s="6">
        <v>604</v>
      </c>
      <c r="F113" s="4"/>
      <c r="G113" s="6">
        <v>604</v>
      </c>
      <c r="H113" s="4"/>
      <c r="I113" s="9"/>
      <c r="J113" s="4"/>
      <c r="K113" s="4"/>
      <c r="L113" s="10"/>
      <c r="M113" s="10" t="s">
        <v>46</v>
      </c>
      <c r="N113" s="10"/>
      <c r="O113" s="4"/>
      <c r="P113" s="4"/>
      <c r="Q113" s="18" t="s">
        <v>389</v>
      </c>
    </row>
    <row r="114" spans="1:17" ht="15">
      <c r="A114" s="4" t="str">
        <f t="shared" si="1"/>
        <v>113</v>
      </c>
      <c r="B114" s="1" t="s">
        <v>33</v>
      </c>
      <c r="C114" s="6" t="s">
        <v>43</v>
      </c>
      <c r="D114" s="15" t="s">
        <v>686</v>
      </c>
      <c r="E114" s="6">
        <v>201</v>
      </c>
      <c r="F114" s="4"/>
      <c r="G114" s="6">
        <v>201</v>
      </c>
      <c r="H114" s="4"/>
      <c r="I114" s="9"/>
      <c r="J114" s="4"/>
      <c r="K114" s="4"/>
      <c r="L114" s="10"/>
      <c r="M114" s="10" t="s">
        <v>46</v>
      </c>
      <c r="N114" s="10"/>
      <c r="O114" s="4"/>
      <c r="P114" s="4"/>
      <c r="Q114" s="18" t="s">
        <v>101</v>
      </c>
    </row>
    <row r="115" spans="1:17" ht="15">
      <c r="A115" s="4" t="str">
        <f t="shared" si="1"/>
        <v>114</v>
      </c>
      <c r="B115" s="1" t="s">
        <v>33</v>
      </c>
      <c r="C115" s="6" t="s">
        <v>43</v>
      </c>
      <c r="D115" s="15" t="s">
        <v>686</v>
      </c>
      <c r="E115" s="6">
        <v>202</v>
      </c>
      <c r="F115" s="4"/>
      <c r="G115" s="6">
        <v>202</v>
      </c>
      <c r="H115" s="4"/>
      <c r="I115" s="9"/>
      <c r="J115" s="4"/>
      <c r="K115" s="4"/>
      <c r="L115" s="10"/>
      <c r="M115" s="10" t="s">
        <v>46</v>
      </c>
      <c r="N115" s="10"/>
      <c r="O115" s="4"/>
      <c r="P115" s="4"/>
      <c r="Q115" s="18" t="s">
        <v>102</v>
      </c>
    </row>
    <row r="116" spans="1:17" ht="15">
      <c r="A116" s="4" t="str">
        <f t="shared" si="1"/>
        <v>115</v>
      </c>
      <c r="B116" s="1" t="s">
        <v>33</v>
      </c>
      <c r="C116" s="6" t="s">
        <v>43</v>
      </c>
      <c r="D116" s="15" t="s">
        <v>686</v>
      </c>
      <c r="E116" s="6">
        <v>203</v>
      </c>
      <c r="F116" s="4"/>
      <c r="G116" s="6">
        <v>203</v>
      </c>
      <c r="H116" s="4"/>
      <c r="I116" s="9"/>
      <c r="J116" s="4"/>
      <c r="K116" s="4"/>
      <c r="L116" s="10"/>
      <c r="M116" s="10" t="s">
        <v>46</v>
      </c>
      <c r="N116" s="10"/>
      <c r="O116" s="4"/>
      <c r="P116" s="4"/>
      <c r="Q116" s="18" t="s">
        <v>103</v>
      </c>
    </row>
    <row r="117" spans="1:17" ht="15">
      <c r="A117" s="4" t="str">
        <f t="shared" si="1"/>
        <v>116</v>
      </c>
      <c r="B117" s="1" t="s">
        <v>33</v>
      </c>
      <c r="C117" s="6" t="s">
        <v>43</v>
      </c>
      <c r="D117" s="15" t="s">
        <v>686</v>
      </c>
      <c r="E117" s="6">
        <v>204</v>
      </c>
      <c r="F117" s="4"/>
      <c r="G117" s="6">
        <v>204</v>
      </c>
      <c r="H117" s="4"/>
      <c r="I117" s="9"/>
      <c r="J117" s="4"/>
      <c r="K117" s="4"/>
      <c r="L117" s="10"/>
      <c r="M117" s="10" t="s">
        <v>46</v>
      </c>
      <c r="N117" s="10"/>
      <c r="O117" s="4"/>
      <c r="P117" s="4"/>
      <c r="Q117" s="18" t="s">
        <v>104</v>
      </c>
    </row>
    <row r="118" spans="1:17" ht="15">
      <c r="A118" s="4" t="str">
        <f t="shared" si="1"/>
        <v>117</v>
      </c>
      <c r="B118" s="1" t="s">
        <v>33</v>
      </c>
      <c r="C118" s="6" t="s">
        <v>43</v>
      </c>
      <c r="D118" s="15" t="s">
        <v>686</v>
      </c>
      <c r="E118" s="6">
        <v>301</v>
      </c>
      <c r="F118" s="4"/>
      <c r="G118" s="6">
        <v>301</v>
      </c>
      <c r="H118" s="4"/>
      <c r="I118" s="9"/>
      <c r="J118" s="4"/>
      <c r="K118" s="4"/>
      <c r="L118" s="10"/>
      <c r="M118" s="10" t="s">
        <v>46</v>
      </c>
      <c r="N118" s="10"/>
      <c r="O118" s="4"/>
      <c r="P118" s="4"/>
      <c r="Q118" s="18" t="s">
        <v>105</v>
      </c>
    </row>
    <row r="119" spans="1:17" ht="15">
      <c r="A119" s="4" t="str">
        <f t="shared" si="1"/>
        <v>118</v>
      </c>
      <c r="B119" s="1" t="s">
        <v>33</v>
      </c>
      <c r="C119" s="6" t="s">
        <v>43</v>
      </c>
      <c r="D119" s="15" t="s">
        <v>686</v>
      </c>
      <c r="E119" s="6">
        <v>302</v>
      </c>
      <c r="F119" s="4"/>
      <c r="G119" s="6">
        <v>302</v>
      </c>
      <c r="H119" s="4"/>
      <c r="I119" s="9"/>
      <c r="J119" s="4"/>
      <c r="K119" s="4"/>
      <c r="L119" s="10"/>
      <c r="M119" s="10" t="s">
        <v>46</v>
      </c>
      <c r="N119" s="10"/>
      <c r="O119" s="4"/>
      <c r="P119" s="4"/>
      <c r="Q119" s="18" t="s">
        <v>106</v>
      </c>
    </row>
    <row r="120" spans="1:17" ht="15">
      <c r="A120" s="4" t="str">
        <f t="shared" si="1"/>
        <v>119</v>
      </c>
      <c r="B120" s="1" t="s">
        <v>33</v>
      </c>
      <c r="C120" s="6" t="s">
        <v>43</v>
      </c>
      <c r="D120" s="15" t="s">
        <v>686</v>
      </c>
      <c r="E120" s="6">
        <v>303</v>
      </c>
      <c r="F120" s="4"/>
      <c r="G120" s="6">
        <v>303</v>
      </c>
      <c r="H120" s="4"/>
      <c r="I120" s="9"/>
      <c r="J120" s="4"/>
      <c r="K120" s="4"/>
      <c r="L120" s="10"/>
      <c r="M120" s="10" t="s">
        <v>46</v>
      </c>
      <c r="N120" s="10"/>
      <c r="O120" s="4"/>
      <c r="P120" s="4"/>
      <c r="Q120" s="18" t="s">
        <v>107</v>
      </c>
    </row>
    <row r="121" spans="1:17" ht="15">
      <c r="A121" s="4" t="str">
        <f t="shared" si="1"/>
        <v>120</v>
      </c>
      <c r="B121" s="1" t="s">
        <v>33</v>
      </c>
      <c r="C121" s="6" t="s">
        <v>43</v>
      </c>
      <c r="D121" s="15" t="s">
        <v>686</v>
      </c>
      <c r="E121" s="6">
        <v>304</v>
      </c>
      <c r="F121" s="4"/>
      <c r="G121" s="6">
        <v>304</v>
      </c>
      <c r="H121" s="4"/>
      <c r="I121" s="9"/>
      <c r="J121" s="4"/>
      <c r="K121" s="4"/>
      <c r="L121" s="10"/>
      <c r="M121" s="10" t="s">
        <v>46</v>
      </c>
      <c r="N121" s="10"/>
      <c r="O121" s="4"/>
      <c r="P121" s="4"/>
      <c r="Q121" s="18" t="s">
        <v>108</v>
      </c>
    </row>
    <row r="122" spans="1:17" ht="15">
      <c r="A122" s="4" t="str">
        <f t="shared" si="1"/>
        <v>121</v>
      </c>
      <c r="B122" s="1" t="s">
        <v>33</v>
      </c>
      <c r="C122" s="6" t="s">
        <v>43</v>
      </c>
      <c r="D122" s="15" t="s">
        <v>686</v>
      </c>
      <c r="E122" s="6">
        <v>401</v>
      </c>
      <c r="F122" s="4"/>
      <c r="G122" s="6">
        <v>401</v>
      </c>
      <c r="H122" s="4"/>
      <c r="I122" s="9"/>
      <c r="J122" s="4"/>
      <c r="K122" s="4"/>
      <c r="L122" s="10"/>
      <c r="M122" s="10" t="s">
        <v>46</v>
      </c>
      <c r="N122" s="10"/>
      <c r="O122" s="4"/>
      <c r="P122" s="4"/>
      <c r="Q122" s="18" t="s">
        <v>109</v>
      </c>
    </row>
    <row r="123" spans="1:17" ht="15">
      <c r="A123" s="4" t="str">
        <f t="shared" si="1"/>
        <v>122</v>
      </c>
      <c r="B123" s="1" t="s">
        <v>33</v>
      </c>
      <c r="C123" s="6" t="s">
        <v>43</v>
      </c>
      <c r="D123" s="15" t="s">
        <v>686</v>
      </c>
      <c r="E123" s="6">
        <v>402</v>
      </c>
      <c r="F123" s="4"/>
      <c r="G123" s="6">
        <v>402</v>
      </c>
      <c r="H123" s="4"/>
      <c r="I123" s="9"/>
      <c r="J123" s="4"/>
      <c r="K123" s="4"/>
      <c r="L123" s="10"/>
      <c r="M123" s="10" t="s">
        <v>46</v>
      </c>
      <c r="N123" s="10"/>
      <c r="O123" s="4"/>
      <c r="P123" s="4"/>
      <c r="Q123" s="18" t="s">
        <v>110</v>
      </c>
    </row>
    <row r="124" spans="1:17" ht="15">
      <c r="A124" s="4" t="str">
        <f t="shared" si="1"/>
        <v>123</v>
      </c>
      <c r="B124" s="1" t="s">
        <v>33</v>
      </c>
      <c r="C124" s="6" t="s">
        <v>43</v>
      </c>
      <c r="D124" s="15" t="s">
        <v>686</v>
      </c>
      <c r="E124" s="6">
        <v>403</v>
      </c>
      <c r="F124" s="4"/>
      <c r="G124" s="6">
        <v>403</v>
      </c>
      <c r="H124" s="4"/>
      <c r="I124" s="9"/>
      <c r="J124" s="4"/>
      <c r="K124" s="4"/>
      <c r="L124" s="10"/>
      <c r="M124" s="10" t="s">
        <v>46</v>
      </c>
      <c r="N124" s="10"/>
      <c r="O124" s="4"/>
      <c r="P124" s="4"/>
      <c r="Q124" s="18" t="s">
        <v>111</v>
      </c>
    </row>
    <row r="125" spans="1:17" ht="15">
      <c r="A125" s="4" t="str">
        <f t="shared" si="1"/>
        <v>124</v>
      </c>
      <c r="B125" s="1" t="s">
        <v>33</v>
      </c>
      <c r="C125" s="6" t="s">
        <v>43</v>
      </c>
      <c r="D125" s="15" t="s">
        <v>686</v>
      </c>
      <c r="E125" s="6">
        <v>404</v>
      </c>
      <c r="F125" s="4"/>
      <c r="G125" s="6">
        <v>404</v>
      </c>
      <c r="H125" s="4"/>
      <c r="I125" s="9"/>
      <c r="J125" s="4"/>
      <c r="K125" s="4"/>
      <c r="L125" s="10"/>
      <c r="M125" s="10" t="s">
        <v>46</v>
      </c>
      <c r="N125" s="10"/>
      <c r="O125" s="4"/>
      <c r="P125" s="4"/>
      <c r="Q125" s="18" t="s">
        <v>112</v>
      </c>
    </row>
    <row r="126" spans="1:17" ht="15">
      <c r="A126" s="4" t="str">
        <f t="shared" si="1"/>
        <v>125</v>
      </c>
      <c r="B126" s="1" t="s">
        <v>33</v>
      </c>
      <c r="C126" s="6" t="s">
        <v>43</v>
      </c>
      <c r="D126" s="15" t="s">
        <v>686</v>
      </c>
      <c r="E126" s="6">
        <v>501</v>
      </c>
      <c r="F126" s="4"/>
      <c r="G126" s="6">
        <v>501</v>
      </c>
      <c r="H126" s="4"/>
      <c r="I126" s="9"/>
      <c r="J126" s="4"/>
      <c r="K126" s="4"/>
      <c r="L126" s="10"/>
      <c r="M126" s="10" t="s">
        <v>46</v>
      </c>
      <c r="N126" s="10"/>
      <c r="O126" s="4"/>
      <c r="P126" s="4"/>
      <c r="Q126" s="18" t="s">
        <v>113</v>
      </c>
    </row>
    <row r="127" spans="1:17" ht="15">
      <c r="A127" s="4" t="str">
        <f t="shared" si="1"/>
        <v>126</v>
      </c>
      <c r="B127" s="1" t="s">
        <v>33</v>
      </c>
      <c r="C127" s="6" t="s">
        <v>43</v>
      </c>
      <c r="D127" s="15" t="s">
        <v>686</v>
      </c>
      <c r="E127" s="6">
        <v>502</v>
      </c>
      <c r="F127" s="4"/>
      <c r="G127" s="6">
        <v>502</v>
      </c>
      <c r="H127" s="4"/>
      <c r="I127" s="9"/>
      <c r="J127" s="4"/>
      <c r="K127" s="4"/>
      <c r="L127" s="10"/>
      <c r="M127" s="10" t="s">
        <v>46</v>
      </c>
      <c r="N127" s="10"/>
      <c r="O127" s="4"/>
      <c r="P127" s="4"/>
      <c r="Q127" s="18" t="s">
        <v>114</v>
      </c>
    </row>
    <row r="128" spans="1:17" ht="15">
      <c r="A128" s="4" t="str">
        <f t="shared" si="1"/>
        <v>127</v>
      </c>
      <c r="B128" s="1" t="s">
        <v>33</v>
      </c>
      <c r="C128" s="6" t="s">
        <v>43</v>
      </c>
      <c r="D128" s="15" t="s">
        <v>686</v>
      </c>
      <c r="E128" s="6">
        <v>503</v>
      </c>
      <c r="F128" s="4"/>
      <c r="G128" s="6">
        <v>503</v>
      </c>
      <c r="H128" s="4"/>
      <c r="I128" s="9"/>
      <c r="J128" s="4"/>
      <c r="K128" s="4"/>
      <c r="L128" s="10"/>
      <c r="M128" s="10" t="s">
        <v>46</v>
      </c>
      <c r="N128" s="10"/>
      <c r="O128" s="4"/>
      <c r="P128" s="4"/>
      <c r="Q128" s="18" t="s">
        <v>390</v>
      </c>
    </row>
    <row r="129" spans="1:17" ht="15">
      <c r="A129" s="4" t="str">
        <f t="shared" si="1"/>
        <v>128</v>
      </c>
      <c r="B129" s="1" t="s">
        <v>33</v>
      </c>
      <c r="C129" s="6" t="s">
        <v>43</v>
      </c>
      <c r="D129" s="15" t="s">
        <v>686</v>
      </c>
      <c r="E129" s="6">
        <v>504</v>
      </c>
      <c r="F129" s="4"/>
      <c r="G129" s="6">
        <v>504</v>
      </c>
      <c r="H129" s="4"/>
      <c r="I129" s="9"/>
      <c r="J129" s="4"/>
      <c r="K129" s="4"/>
      <c r="L129" s="10"/>
      <c r="M129" s="10" t="s">
        <v>46</v>
      </c>
      <c r="N129" s="10"/>
      <c r="O129" s="4"/>
      <c r="P129" s="4"/>
      <c r="Q129" s="18" t="s">
        <v>115</v>
      </c>
    </row>
    <row r="130" spans="1:17" ht="15">
      <c r="A130" s="4" t="str">
        <f t="shared" si="1"/>
        <v>129</v>
      </c>
      <c r="B130" s="1" t="s">
        <v>33</v>
      </c>
      <c r="C130" s="6" t="s">
        <v>43</v>
      </c>
      <c r="D130" s="15" t="s">
        <v>686</v>
      </c>
      <c r="E130" s="6">
        <v>601</v>
      </c>
      <c r="F130" s="4"/>
      <c r="G130" s="6">
        <v>601</v>
      </c>
      <c r="H130" s="4"/>
      <c r="I130" s="9"/>
      <c r="J130" s="4"/>
      <c r="K130" s="4"/>
      <c r="L130" s="10"/>
      <c r="M130" s="10" t="s">
        <v>46</v>
      </c>
      <c r="N130" s="10"/>
      <c r="O130" s="4"/>
      <c r="P130" s="4"/>
      <c r="Q130" s="18" t="s">
        <v>116</v>
      </c>
    </row>
    <row r="131" spans="1:17" ht="15">
      <c r="A131" s="4" t="str">
        <f t="shared" ref="A131:A194" si="2">TEXT(ROW(A130),"000")</f>
        <v>130</v>
      </c>
      <c r="B131" s="1" t="s">
        <v>33</v>
      </c>
      <c r="C131" s="6" t="s">
        <v>43</v>
      </c>
      <c r="D131" s="15" t="s">
        <v>686</v>
      </c>
      <c r="E131" s="6">
        <v>602</v>
      </c>
      <c r="F131" s="4"/>
      <c r="G131" s="6">
        <v>602</v>
      </c>
      <c r="H131" s="4"/>
      <c r="I131" s="9"/>
      <c r="J131" s="4"/>
      <c r="K131" s="4"/>
      <c r="L131" s="10"/>
      <c r="M131" s="10" t="s">
        <v>46</v>
      </c>
      <c r="N131" s="10"/>
      <c r="O131" s="4"/>
      <c r="P131" s="4"/>
      <c r="Q131" s="18" t="s">
        <v>117</v>
      </c>
    </row>
    <row r="132" spans="1:17" ht="15">
      <c r="A132" s="4" t="str">
        <f t="shared" si="2"/>
        <v>131</v>
      </c>
      <c r="B132" s="1" t="s">
        <v>33</v>
      </c>
      <c r="C132" s="6" t="s">
        <v>43</v>
      </c>
      <c r="D132" s="15" t="s">
        <v>686</v>
      </c>
      <c r="E132" s="6">
        <v>603</v>
      </c>
      <c r="F132" s="4"/>
      <c r="G132" s="6">
        <v>603</v>
      </c>
      <c r="H132" s="4"/>
      <c r="I132" s="9"/>
      <c r="J132" s="4"/>
      <c r="K132" s="4"/>
      <c r="L132" s="10"/>
      <c r="M132" s="10" t="s">
        <v>46</v>
      </c>
      <c r="N132" s="10"/>
      <c r="O132" s="4"/>
      <c r="P132" s="4"/>
      <c r="Q132" s="18" t="s">
        <v>391</v>
      </c>
    </row>
    <row r="133" spans="1:17" ht="15">
      <c r="A133" s="4" t="str">
        <f t="shared" si="2"/>
        <v>132</v>
      </c>
      <c r="B133" s="1" t="s">
        <v>33</v>
      </c>
      <c r="C133" s="6" t="s">
        <v>43</v>
      </c>
      <c r="D133" s="15" t="s">
        <v>686</v>
      </c>
      <c r="E133" s="6">
        <v>604</v>
      </c>
      <c r="F133" s="4"/>
      <c r="G133" s="6">
        <v>604</v>
      </c>
      <c r="H133" s="4"/>
      <c r="I133" s="9"/>
      <c r="J133" s="4"/>
      <c r="K133" s="4"/>
      <c r="L133" s="10"/>
      <c r="M133" s="10" t="s">
        <v>46</v>
      </c>
      <c r="N133" s="10"/>
      <c r="O133" s="4"/>
      <c r="P133" s="4"/>
      <c r="Q133" s="18" t="s">
        <v>392</v>
      </c>
    </row>
    <row r="134" spans="1:17" ht="15">
      <c r="A134" s="4" t="str">
        <f t="shared" si="2"/>
        <v>133</v>
      </c>
      <c r="B134" s="1" t="s">
        <v>33</v>
      </c>
      <c r="C134" s="6" t="s">
        <v>43</v>
      </c>
      <c r="D134" s="15" t="s">
        <v>687</v>
      </c>
      <c r="E134" s="6">
        <v>201</v>
      </c>
      <c r="F134" s="4"/>
      <c r="G134" s="6">
        <v>201</v>
      </c>
      <c r="H134" s="4"/>
      <c r="I134" s="9"/>
      <c r="J134" s="4"/>
      <c r="K134" s="4"/>
      <c r="L134" s="10"/>
      <c r="M134" s="10" t="s">
        <v>46</v>
      </c>
      <c r="N134" s="10"/>
      <c r="O134" s="4"/>
      <c r="P134" s="4"/>
      <c r="Q134" s="18" t="s">
        <v>82</v>
      </c>
    </row>
    <row r="135" spans="1:17" ht="15">
      <c r="A135" s="4" t="str">
        <f t="shared" si="2"/>
        <v>134</v>
      </c>
      <c r="B135" s="1" t="s">
        <v>33</v>
      </c>
      <c r="C135" s="6" t="s">
        <v>43</v>
      </c>
      <c r="D135" s="15" t="s">
        <v>687</v>
      </c>
      <c r="E135" s="6">
        <v>202</v>
      </c>
      <c r="F135" s="4"/>
      <c r="G135" s="6">
        <v>202</v>
      </c>
      <c r="H135" s="4"/>
      <c r="I135" s="9"/>
      <c r="J135" s="4"/>
      <c r="K135" s="4"/>
      <c r="L135" s="10"/>
      <c r="M135" s="10" t="s">
        <v>46</v>
      </c>
      <c r="N135" s="10"/>
      <c r="O135" s="4"/>
      <c r="P135" s="4"/>
      <c r="Q135" s="18" t="s">
        <v>83</v>
      </c>
    </row>
    <row r="136" spans="1:17" ht="15">
      <c r="A136" s="4" t="str">
        <f t="shared" si="2"/>
        <v>135</v>
      </c>
      <c r="B136" s="1" t="s">
        <v>33</v>
      </c>
      <c r="C136" s="6" t="s">
        <v>43</v>
      </c>
      <c r="D136" s="15" t="s">
        <v>687</v>
      </c>
      <c r="E136" s="6">
        <v>203</v>
      </c>
      <c r="F136" s="4"/>
      <c r="G136" s="6">
        <v>203</v>
      </c>
      <c r="H136" s="4"/>
      <c r="I136" s="9"/>
      <c r="J136" s="4"/>
      <c r="K136" s="4"/>
      <c r="L136" s="10"/>
      <c r="M136" s="10" t="s">
        <v>46</v>
      </c>
      <c r="N136" s="10"/>
      <c r="O136" s="4"/>
      <c r="P136" s="4"/>
      <c r="Q136" s="18" t="s">
        <v>84</v>
      </c>
    </row>
    <row r="137" spans="1:17" ht="15">
      <c r="A137" s="4" t="str">
        <f t="shared" si="2"/>
        <v>136</v>
      </c>
      <c r="B137" s="1" t="s">
        <v>33</v>
      </c>
      <c r="C137" s="6" t="s">
        <v>43</v>
      </c>
      <c r="D137" s="15" t="s">
        <v>687</v>
      </c>
      <c r="E137" s="6">
        <v>204</v>
      </c>
      <c r="F137" s="4"/>
      <c r="G137" s="6">
        <v>204</v>
      </c>
      <c r="H137" s="4"/>
      <c r="I137" s="9"/>
      <c r="J137" s="4"/>
      <c r="K137" s="4"/>
      <c r="L137" s="10"/>
      <c r="M137" s="10" t="s">
        <v>46</v>
      </c>
      <c r="N137" s="10"/>
      <c r="O137" s="4"/>
      <c r="P137" s="4"/>
      <c r="Q137" s="18" t="s">
        <v>85</v>
      </c>
    </row>
    <row r="138" spans="1:17" ht="15">
      <c r="A138" s="4" t="str">
        <f t="shared" si="2"/>
        <v>137</v>
      </c>
      <c r="B138" s="1" t="s">
        <v>33</v>
      </c>
      <c r="C138" s="6" t="s">
        <v>43</v>
      </c>
      <c r="D138" s="15" t="s">
        <v>687</v>
      </c>
      <c r="E138" s="6">
        <v>301</v>
      </c>
      <c r="F138" s="4"/>
      <c r="G138" s="6">
        <v>301</v>
      </c>
      <c r="H138" s="4"/>
      <c r="I138" s="9"/>
      <c r="J138" s="4"/>
      <c r="K138" s="4"/>
      <c r="L138" s="10"/>
      <c r="M138" s="10" t="s">
        <v>46</v>
      </c>
      <c r="N138" s="10"/>
      <c r="O138" s="4"/>
      <c r="P138" s="4"/>
      <c r="Q138" s="18" t="s">
        <v>86</v>
      </c>
    </row>
    <row r="139" spans="1:17" ht="15">
      <c r="A139" s="4" t="str">
        <f t="shared" si="2"/>
        <v>138</v>
      </c>
      <c r="B139" s="1" t="s">
        <v>33</v>
      </c>
      <c r="C139" s="6" t="s">
        <v>43</v>
      </c>
      <c r="D139" s="15" t="s">
        <v>687</v>
      </c>
      <c r="E139" s="6">
        <v>302</v>
      </c>
      <c r="F139" s="4"/>
      <c r="G139" s="6">
        <v>302</v>
      </c>
      <c r="H139" s="4"/>
      <c r="I139" s="9"/>
      <c r="J139" s="4"/>
      <c r="K139" s="4"/>
      <c r="L139" s="10"/>
      <c r="M139" s="10" t="s">
        <v>46</v>
      </c>
      <c r="N139" s="10"/>
      <c r="O139" s="4"/>
      <c r="P139" s="4"/>
      <c r="Q139" s="18" t="s">
        <v>87</v>
      </c>
    </row>
    <row r="140" spans="1:17" ht="15">
      <c r="A140" s="4" t="str">
        <f t="shared" si="2"/>
        <v>139</v>
      </c>
      <c r="B140" s="1" t="s">
        <v>33</v>
      </c>
      <c r="C140" s="6" t="s">
        <v>43</v>
      </c>
      <c r="D140" s="15" t="s">
        <v>687</v>
      </c>
      <c r="E140" s="6">
        <v>303</v>
      </c>
      <c r="F140" s="4"/>
      <c r="G140" s="6">
        <v>303</v>
      </c>
      <c r="H140" s="4"/>
      <c r="I140" s="9"/>
      <c r="J140" s="4"/>
      <c r="K140" s="4"/>
      <c r="L140" s="10"/>
      <c r="M140" s="10" t="s">
        <v>46</v>
      </c>
      <c r="N140" s="10"/>
      <c r="O140" s="4"/>
      <c r="P140" s="4"/>
      <c r="Q140" s="18" t="s">
        <v>88</v>
      </c>
    </row>
    <row r="141" spans="1:17" ht="15">
      <c r="A141" s="4" t="str">
        <f t="shared" si="2"/>
        <v>140</v>
      </c>
      <c r="B141" s="1" t="s">
        <v>33</v>
      </c>
      <c r="C141" s="6" t="s">
        <v>43</v>
      </c>
      <c r="D141" s="15" t="s">
        <v>687</v>
      </c>
      <c r="E141" s="6">
        <v>304</v>
      </c>
      <c r="F141" s="4"/>
      <c r="G141" s="6">
        <v>304</v>
      </c>
      <c r="H141" s="4"/>
      <c r="I141" s="9"/>
      <c r="J141" s="4"/>
      <c r="K141" s="4"/>
      <c r="L141" s="10"/>
      <c r="M141" s="10" t="s">
        <v>46</v>
      </c>
      <c r="N141" s="10"/>
      <c r="O141" s="4"/>
      <c r="P141" s="4"/>
      <c r="Q141" s="18" t="s">
        <v>89</v>
      </c>
    </row>
    <row r="142" spans="1:17" ht="15">
      <c r="A142" s="4" t="str">
        <f t="shared" si="2"/>
        <v>141</v>
      </c>
      <c r="B142" s="1" t="s">
        <v>33</v>
      </c>
      <c r="C142" s="6" t="s">
        <v>43</v>
      </c>
      <c r="D142" s="15" t="s">
        <v>687</v>
      </c>
      <c r="E142" s="6">
        <v>401</v>
      </c>
      <c r="F142" s="4"/>
      <c r="G142" s="6">
        <v>401</v>
      </c>
      <c r="H142" s="4"/>
      <c r="I142" s="9"/>
      <c r="J142" s="4"/>
      <c r="K142" s="4"/>
      <c r="L142" s="10"/>
      <c r="M142" s="10" t="s">
        <v>46</v>
      </c>
      <c r="N142" s="10"/>
      <c r="O142" s="4"/>
      <c r="P142" s="4"/>
      <c r="Q142" s="18" t="s">
        <v>90</v>
      </c>
    </row>
    <row r="143" spans="1:17" ht="15">
      <c r="A143" s="4" t="str">
        <f t="shared" si="2"/>
        <v>142</v>
      </c>
      <c r="B143" s="1" t="s">
        <v>33</v>
      </c>
      <c r="C143" s="6" t="s">
        <v>43</v>
      </c>
      <c r="D143" s="15" t="s">
        <v>687</v>
      </c>
      <c r="E143" s="6">
        <v>402</v>
      </c>
      <c r="F143" s="4"/>
      <c r="G143" s="6">
        <v>402</v>
      </c>
      <c r="H143" s="4"/>
      <c r="I143" s="9"/>
      <c r="J143" s="4"/>
      <c r="K143" s="4"/>
      <c r="L143" s="10"/>
      <c r="M143" s="10" t="s">
        <v>46</v>
      </c>
      <c r="N143" s="10"/>
      <c r="O143" s="4"/>
      <c r="P143" s="4"/>
      <c r="Q143" s="18" t="s">
        <v>91</v>
      </c>
    </row>
    <row r="144" spans="1:17" ht="15">
      <c r="A144" s="4" t="str">
        <f t="shared" si="2"/>
        <v>143</v>
      </c>
      <c r="B144" s="1" t="s">
        <v>33</v>
      </c>
      <c r="C144" s="6" t="s">
        <v>43</v>
      </c>
      <c r="D144" s="15" t="s">
        <v>687</v>
      </c>
      <c r="E144" s="6">
        <v>403</v>
      </c>
      <c r="F144" s="4"/>
      <c r="G144" s="6">
        <v>403</v>
      </c>
      <c r="H144" s="4"/>
      <c r="I144" s="9"/>
      <c r="J144" s="4"/>
      <c r="K144" s="4"/>
      <c r="L144" s="10"/>
      <c r="M144" s="10" t="s">
        <v>46</v>
      </c>
      <c r="N144" s="10"/>
      <c r="O144" s="4"/>
      <c r="P144" s="4"/>
      <c r="Q144" s="18" t="s">
        <v>92</v>
      </c>
    </row>
    <row r="145" spans="1:17" ht="15">
      <c r="A145" s="4" t="str">
        <f t="shared" si="2"/>
        <v>144</v>
      </c>
      <c r="B145" s="1" t="s">
        <v>33</v>
      </c>
      <c r="C145" s="6" t="s">
        <v>43</v>
      </c>
      <c r="D145" s="15" t="s">
        <v>687</v>
      </c>
      <c r="E145" s="6">
        <v>404</v>
      </c>
      <c r="F145" s="4"/>
      <c r="G145" s="6">
        <v>404</v>
      </c>
      <c r="H145" s="4"/>
      <c r="I145" s="9"/>
      <c r="J145" s="4"/>
      <c r="K145" s="4"/>
      <c r="L145" s="10"/>
      <c r="M145" s="10" t="s">
        <v>46</v>
      </c>
      <c r="N145" s="10"/>
      <c r="O145" s="4"/>
      <c r="P145" s="4"/>
      <c r="Q145" s="18" t="s">
        <v>393</v>
      </c>
    </row>
    <row r="146" spans="1:17" ht="15">
      <c r="A146" s="4" t="str">
        <f t="shared" si="2"/>
        <v>145</v>
      </c>
      <c r="B146" s="1" t="s">
        <v>33</v>
      </c>
      <c r="C146" s="6" t="s">
        <v>43</v>
      </c>
      <c r="D146" s="15" t="s">
        <v>687</v>
      </c>
      <c r="E146" s="6">
        <v>501</v>
      </c>
      <c r="F146" s="4"/>
      <c r="G146" s="6">
        <v>501</v>
      </c>
      <c r="H146" s="4"/>
      <c r="I146" s="9"/>
      <c r="J146" s="4"/>
      <c r="K146" s="4"/>
      <c r="L146" s="10"/>
      <c r="M146" s="10" t="s">
        <v>46</v>
      </c>
      <c r="N146" s="10"/>
      <c r="O146" s="4"/>
      <c r="P146" s="4"/>
      <c r="Q146" s="18" t="s">
        <v>93</v>
      </c>
    </row>
    <row r="147" spans="1:17" ht="15">
      <c r="A147" s="4" t="str">
        <f t="shared" si="2"/>
        <v>146</v>
      </c>
      <c r="B147" s="1" t="s">
        <v>33</v>
      </c>
      <c r="C147" s="6" t="s">
        <v>43</v>
      </c>
      <c r="D147" s="15" t="s">
        <v>687</v>
      </c>
      <c r="E147" s="6">
        <v>502</v>
      </c>
      <c r="F147" s="4"/>
      <c r="G147" s="6">
        <v>502</v>
      </c>
      <c r="H147" s="4"/>
      <c r="I147" s="9"/>
      <c r="J147" s="4"/>
      <c r="K147" s="4"/>
      <c r="L147" s="10"/>
      <c r="M147" s="10" t="s">
        <v>46</v>
      </c>
      <c r="N147" s="10"/>
      <c r="O147" s="4"/>
      <c r="P147" s="4"/>
      <c r="Q147" s="18" t="s">
        <v>94</v>
      </c>
    </row>
    <row r="148" spans="1:17" ht="15">
      <c r="A148" s="4" t="str">
        <f t="shared" si="2"/>
        <v>147</v>
      </c>
      <c r="B148" s="1" t="s">
        <v>33</v>
      </c>
      <c r="C148" s="6" t="s">
        <v>43</v>
      </c>
      <c r="D148" s="15" t="s">
        <v>687</v>
      </c>
      <c r="E148" s="6">
        <v>503</v>
      </c>
      <c r="F148" s="4"/>
      <c r="G148" s="6">
        <v>503</v>
      </c>
      <c r="H148" s="4"/>
      <c r="I148" s="9"/>
      <c r="J148" s="4"/>
      <c r="K148" s="4"/>
      <c r="L148" s="10"/>
      <c r="M148" s="10" t="s">
        <v>46</v>
      </c>
      <c r="N148" s="10"/>
      <c r="O148" s="4"/>
      <c r="P148" s="4"/>
      <c r="Q148" s="18" t="s">
        <v>95</v>
      </c>
    </row>
    <row r="149" spans="1:17" ht="15">
      <c r="A149" s="4" t="str">
        <f t="shared" si="2"/>
        <v>148</v>
      </c>
      <c r="B149" s="1" t="s">
        <v>33</v>
      </c>
      <c r="C149" s="6" t="s">
        <v>43</v>
      </c>
      <c r="D149" s="15" t="s">
        <v>687</v>
      </c>
      <c r="E149" s="6">
        <v>504</v>
      </c>
      <c r="F149" s="4"/>
      <c r="G149" s="6">
        <v>504</v>
      </c>
      <c r="H149" s="4"/>
      <c r="I149" s="9"/>
      <c r="J149" s="4"/>
      <c r="K149" s="4"/>
      <c r="L149" s="10"/>
      <c r="M149" s="10" t="s">
        <v>46</v>
      </c>
      <c r="N149" s="10"/>
      <c r="O149" s="4"/>
      <c r="P149" s="4"/>
      <c r="Q149" s="18" t="s">
        <v>96</v>
      </c>
    </row>
    <row r="150" spans="1:17" ht="15">
      <c r="A150" s="4" t="str">
        <f t="shared" si="2"/>
        <v>149</v>
      </c>
      <c r="B150" s="1" t="s">
        <v>33</v>
      </c>
      <c r="C150" s="6" t="s">
        <v>43</v>
      </c>
      <c r="D150" s="15" t="s">
        <v>687</v>
      </c>
      <c r="E150" s="6">
        <v>601</v>
      </c>
      <c r="F150" s="4"/>
      <c r="G150" s="6">
        <v>601</v>
      </c>
      <c r="H150" s="4"/>
      <c r="I150" s="9"/>
      <c r="J150" s="4"/>
      <c r="K150" s="4"/>
      <c r="L150" s="10"/>
      <c r="M150" s="10" t="s">
        <v>46</v>
      </c>
      <c r="N150" s="10"/>
      <c r="O150" s="4"/>
      <c r="P150" s="4"/>
      <c r="Q150" s="18" t="s">
        <v>97</v>
      </c>
    </row>
    <row r="151" spans="1:17" ht="15">
      <c r="A151" s="4" t="str">
        <f t="shared" si="2"/>
        <v>150</v>
      </c>
      <c r="B151" s="1" t="s">
        <v>33</v>
      </c>
      <c r="C151" s="6" t="s">
        <v>43</v>
      </c>
      <c r="D151" s="15" t="s">
        <v>687</v>
      </c>
      <c r="E151" s="6">
        <v>602</v>
      </c>
      <c r="F151" s="4"/>
      <c r="G151" s="6">
        <v>602</v>
      </c>
      <c r="H151" s="4"/>
      <c r="I151" s="9"/>
      <c r="J151" s="4"/>
      <c r="K151" s="4"/>
      <c r="L151" s="10"/>
      <c r="M151" s="10" t="s">
        <v>46</v>
      </c>
      <c r="N151" s="10"/>
      <c r="O151" s="4"/>
      <c r="P151" s="4"/>
      <c r="Q151" s="18" t="s">
        <v>98</v>
      </c>
    </row>
    <row r="152" spans="1:17" ht="15">
      <c r="A152" s="4" t="str">
        <f t="shared" si="2"/>
        <v>151</v>
      </c>
      <c r="B152" s="1" t="s">
        <v>33</v>
      </c>
      <c r="C152" s="6" t="s">
        <v>43</v>
      </c>
      <c r="D152" s="15" t="s">
        <v>687</v>
      </c>
      <c r="E152" s="6">
        <v>603</v>
      </c>
      <c r="F152" s="4"/>
      <c r="G152" s="6">
        <v>603</v>
      </c>
      <c r="H152" s="4"/>
      <c r="I152" s="9"/>
      <c r="J152" s="4"/>
      <c r="K152" s="4"/>
      <c r="L152" s="10"/>
      <c r="M152" s="10" t="s">
        <v>46</v>
      </c>
      <c r="N152" s="10"/>
      <c r="O152" s="4"/>
      <c r="P152" s="4"/>
      <c r="Q152" s="18" t="s">
        <v>99</v>
      </c>
    </row>
    <row r="153" spans="1:17" ht="15">
      <c r="A153" s="4" t="str">
        <f t="shared" si="2"/>
        <v>152</v>
      </c>
      <c r="B153" s="1" t="s">
        <v>33</v>
      </c>
      <c r="C153" s="6" t="s">
        <v>43</v>
      </c>
      <c r="D153" s="15" t="s">
        <v>687</v>
      </c>
      <c r="E153" s="6">
        <v>604</v>
      </c>
      <c r="F153" s="4"/>
      <c r="G153" s="6">
        <v>604</v>
      </c>
      <c r="H153" s="4"/>
      <c r="I153" s="9"/>
      <c r="J153" s="4"/>
      <c r="K153" s="4"/>
      <c r="L153" s="10"/>
      <c r="M153" s="10" t="s">
        <v>46</v>
      </c>
      <c r="N153" s="10"/>
      <c r="O153" s="4"/>
      <c r="P153" s="4"/>
      <c r="Q153" s="18" t="s">
        <v>100</v>
      </c>
    </row>
    <row r="154" spans="1:17" ht="15">
      <c r="A154" s="4" t="str">
        <f t="shared" si="2"/>
        <v>153</v>
      </c>
      <c r="B154" s="1" t="s">
        <v>33</v>
      </c>
      <c r="C154" s="6" t="s">
        <v>689</v>
      </c>
      <c r="D154" s="15" t="s">
        <v>686</v>
      </c>
      <c r="E154" s="6">
        <v>501</v>
      </c>
      <c r="F154" s="4"/>
      <c r="G154" s="6">
        <v>501</v>
      </c>
      <c r="H154" s="4"/>
      <c r="I154" s="9"/>
      <c r="J154" s="4"/>
      <c r="K154" s="4"/>
      <c r="L154" s="10"/>
      <c r="M154" s="10" t="s">
        <v>46</v>
      </c>
      <c r="N154" s="10"/>
      <c r="O154" s="4"/>
      <c r="P154" s="4"/>
      <c r="Q154" s="18" t="s">
        <v>394</v>
      </c>
    </row>
    <row r="155" spans="1:17" ht="15">
      <c r="A155" s="4" t="str">
        <f t="shared" si="2"/>
        <v>154</v>
      </c>
      <c r="B155" s="1" t="s">
        <v>33</v>
      </c>
      <c r="C155" s="6" t="s">
        <v>689</v>
      </c>
      <c r="D155" s="15" t="s">
        <v>686</v>
      </c>
      <c r="E155" s="6">
        <v>502</v>
      </c>
      <c r="F155" s="4"/>
      <c r="G155" s="6">
        <v>502</v>
      </c>
      <c r="H155" s="4"/>
      <c r="I155" s="9"/>
      <c r="J155" s="4"/>
      <c r="K155" s="4"/>
      <c r="L155" s="10"/>
      <c r="M155" s="10" t="s">
        <v>46</v>
      </c>
      <c r="N155" s="10"/>
      <c r="O155" s="4"/>
      <c r="P155" s="4"/>
      <c r="Q155" s="18" t="s">
        <v>241</v>
      </c>
    </row>
    <row r="156" spans="1:17" ht="15">
      <c r="A156" s="4" t="str">
        <f t="shared" si="2"/>
        <v>155</v>
      </c>
      <c r="B156" s="1" t="s">
        <v>33</v>
      </c>
      <c r="C156" s="6" t="s">
        <v>689</v>
      </c>
      <c r="D156" s="15" t="s">
        <v>686</v>
      </c>
      <c r="E156" s="6">
        <v>503</v>
      </c>
      <c r="F156" s="4"/>
      <c r="G156" s="6">
        <v>503</v>
      </c>
      <c r="H156" s="4"/>
      <c r="I156" s="9"/>
      <c r="J156" s="4"/>
      <c r="K156" s="4"/>
      <c r="L156" s="10"/>
      <c r="M156" s="10" t="s">
        <v>46</v>
      </c>
      <c r="N156" s="10"/>
      <c r="O156" s="4"/>
      <c r="P156" s="4"/>
      <c r="Q156" s="18" t="s">
        <v>395</v>
      </c>
    </row>
    <row r="157" spans="1:17" ht="15">
      <c r="A157" s="4" t="str">
        <f t="shared" si="2"/>
        <v>156</v>
      </c>
      <c r="B157" s="1" t="s">
        <v>33</v>
      </c>
      <c r="C157" s="6" t="s">
        <v>689</v>
      </c>
      <c r="D157" s="15" t="s">
        <v>686</v>
      </c>
      <c r="E157" s="6">
        <v>504</v>
      </c>
      <c r="F157" s="4"/>
      <c r="G157" s="6">
        <v>504</v>
      </c>
      <c r="H157" s="4"/>
      <c r="I157" s="9"/>
      <c r="J157" s="4"/>
      <c r="K157" s="4"/>
      <c r="L157" s="10"/>
      <c r="M157" s="10" t="s">
        <v>46</v>
      </c>
      <c r="N157" s="10"/>
      <c r="O157" s="4"/>
      <c r="P157" s="4"/>
      <c r="Q157" s="18" t="s">
        <v>396</v>
      </c>
    </row>
    <row r="158" spans="1:17" ht="15">
      <c r="A158" s="4" t="str">
        <f t="shared" si="2"/>
        <v>157</v>
      </c>
      <c r="B158" s="1" t="s">
        <v>33</v>
      </c>
      <c r="C158" s="6" t="s">
        <v>689</v>
      </c>
      <c r="D158" s="15" t="s">
        <v>686</v>
      </c>
      <c r="E158" s="6">
        <v>401</v>
      </c>
      <c r="F158" s="4"/>
      <c r="G158" s="6">
        <v>401</v>
      </c>
      <c r="H158" s="4"/>
      <c r="I158" s="9"/>
      <c r="J158" s="4"/>
      <c r="K158" s="4"/>
      <c r="L158" s="10"/>
      <c r="M158" s="10" t="s">
        <v>46</v>
      </c>
      <c r="N158" s="10"/>
      <c r="O158" s="4"/>
      <c r="P158" s="4"/>
      <c r="Q158" s="18" t="s">
        <v>397</v>
      </c>
    </row>
    <row r="159" spans="1:17" ht="15">
      <c r="A159" s="4" t="str">
        <f t="shared" si="2"/>
        <v>158</v>
      </c>
      <c r="B159" s="1" t="s">
        <v>33</v>
      </c>
      <c r="C159" s="6" t="s">
        <v>689</v>
      </c>
      <c r="D159" s="15" t="s">
        <v>686</v>
      </c>
      <c r="E159" s="6">
        <v>402</v>
      </c>
      <c r="F159" s="4"/>
      <c r="G159" s="6">
        <v>402</v>
      </c>
      <c r="H159" s="4"/>
      <c r="I159" s="9"/>
      <c r="J159" s="4"/>
      <c r="K159" s="4"/>
      <c r="L159" s="10"/>
      <c r="M159" s="10" t="s">
        <v>46</v>
      </c>
      <c r="N159" s="10"/>
      <c r="O159" s="4"/>
      <c r="P159" s="4"/>
      <c r="Q159" s="18" t="s">
        <v>398</v>
      </c>
    </row>
    <row r="160" spans="1:17" ht="15">
      <c r="A160" s="4" t="str">
        <f t="shared" si="2"/>
        <v>159</v>
      </c>
      <c r="B160" s="1" t="s">
        <v>33</v>
      </c>
      <c r="C160" s="6" t="s">
        <v>689</v>
      </c>
      <c r="D160" s="15" t="s">
        <v>686</v>
      </c>
      <c r="E160" s="6">
        <v>403</v>
      </c>
      <c r="F160" s="4"/>
      <c r="G160" s="6">
        <v>403</v>
      </c>
      <c r="H160" s="4"/>
      <c r="I160" s="9"/>
      <c r="J160" s="4"/>
      <c r="K160" s="4"/>
      <c r="L160" s="10"/>
      <c r="M160" s="10" t="s">
        <v>46</v>
      </c>
      <c r="N160" s="10"/>
      <c r="O160" s="4"/>
      <c r="P160" s="4"/>
      <c r="Q160" s="18" t="s">
        <v>399</v>
      </c>
    </row>
    <row r="161" spans="1:17" ht="15">
      <c r="A161" s="4" t="str">
        <f t="shared" si="2"/>
        <v>160</v>
      </c>
      <c r="B161" s="1" t="s">
        <v>33</v>
      </c>
      <c r="C161" s="6" t="s">
        <v>689</v>
      </c>
      <c r="D161" s="15" t="s">
        <v>686</v>
      </c>
      <c r="E161" s="6">
        <v>404</v>
      </c>
      <c r="F161" s="4"/>
      <c r="G161" s="6">
        <v>404</v>
      </c>
      <c r="H161" s="4"/>
      <c r="I161" s="9"/>
      <c r="J161" s="4"/>
      <c r="K161" s="4"/>
      <c r="L161" s="10"/>
      <c r="M161" s="10" t="s">
        <v>46</v>
      </c>
      <c r="N161" s="10"/>
      <c r="O161" s="4"/>
      <c r="P161" s="4"/>
      <c r="Q161" s="18" t="s">
        <v>400</v>
      </c>
    </row>
    <row r="162" spans="1:17" ht="15">
      <c r="A162" s="4" t="str">
        <f t="shared" si="2"/>
        <v>161</v>
      </c>
      <c r="B162" s="1" t="s">
        <v>33</v>
      </c>
      <c r="C162" s="6" t="s">
        <v>689</v>
      </c>
      <c r="D162" s="15" t="s">
        <v>686</v>
      </c>
      <c r="E162" s="6">
        <v>301</v>
      </c>
      <c r="F162" s="4"/>
      <c r="G162" s="6">
        <v>301</v>
      </c>
      <c r="H162" s="4"/>
      <c r="I162" s="9"/>
      <c r="J162" s="4"/>
      <c r="K162" s="4"/>
      <c r="L162" s="10"/>
      <c r="M162" s="10" t="s">
        <v>46</v>
      </c>
      <c r="N162" s="10"/>
      <c r="O162" s="4"/>
      <c r="P162" s="4"/>
      <c r="Q162" s="18" t="s">
        <v>401</v>
      </c>
    </row>
    <row r="163" spans="1:17" ht="15">
      <c r="A163" s="4" t="str">
        <f t="shared" si="2"/>
        <v>162</v>
      </c>
      <c r="B163" s="1" t="s">
        <v>33</v>
      </c>
      <c r="C163" s="6" t="s">
        <v>689</v>
      </c>
      <c r="D163" s="15" t="s">
        <v>686</v>
      </c>
      <c r="E163" s="6">
        <v>302</v>
      </c>
      <c r="F163" s="4"/>
      <c r="G163" s="6">
        <v>302</v>
      </c>
      <c r="H163" s="4"/>
      <c r="I163" s="9"/>
      <c r="J163" s="4"/>
      <c r="K163" s="4"/>
      <c r="L163" s="10"/>
      <c r="M163" s="10" t="s">
        <v>46</v>
      </c>
      <c r="N163" s="10"/>
      <c r="O163" s="4"/>
      <c r="P163" s="4"/>
      <c r="Q163" s="18" t="s">
        <v>402</v>
      </c>
    </row>
    <row r="164" spans="1:17" ht="15">
      <c r="A164" s="4" t="str">
        <f t="shared" si="2"/>
        <v>163</v>
      </c>
      <c r="B164" s="1" t="s">
        <v>33</v>
      </c>
      <c r="C164" s="6" t="s">
        <v>689</v>
      </c>
      <c r="D164" s="15" t="s">
        <v>686</v>
      </c>
      <c r="E164" s="6">
        <v>303</v>
      </c>
      <c r="F164" s="4"/>
      <c r="G164" s="6">
        <v>303</v>
      </c>
      <c r="H164" s="4"/>
      <c r="I164" s="9"/>
      <c r="J164" s="4"/>
      <c r="K164" s="4"/>
      <c r="L164" s="10"/>
      <c r="M164" s="10" t="s">
        <v>46</v>
      </c>
      <c r="N164" s="10"/>
      <c r="O164" s="4"/>
      <c r="P164" s="4"/>
      <c r="Q164" s="18" t="s">
        <v>403</v>
      </c>
    </row>
    <row r="165" spans="1:17" ht="15">
      <c r="A165" s="4" t="str">
        <f t="shared" si="2"/>
        <v>164</v>
      </c>
      <c r="B165" s="1" t="s">
        <v>33</v>
      </c>
      <c r="C165" s="6" t="s">
        <v>689</v>
      </c>
      <c r="D165" s="15" t="s">
        <v>686</v>
      </c>
      <c r="E165" s="6">
        <v>304</v>
      </c>
      <c r="F165" s="4"/>
      <c r="G165" s="6">
        <v>304</v>
      </c>
      <c r="H165" s="4"/>
      <c r="I165" s="9"/>
      <c r="J165" s="4"/>
      <c r="K165" s="4"/>
      <c r="L165" s="10"/>
      <c r="M165" s="10" t="s">
        <v>46</v>
      </c>
      <c r="N165" s="10"/>
      <c r="O165" s="4"/>
      <c r="P165" s="4"/>
      <c r="Q165" s="18" t="s">
        <v>404</v>
      </c>
    </row>
    <row r="166" spans="1:17" ht="15">
      <c r="A166" s="4" t="str">
        <f t="shared" si="2"/>
        <v>165</v>
      </c>
      <c r="B166" s="1" t="s">
        <v>33</v>
      </c>
      <c r="C166" s="6" t="s">
        <v>689</v>
      </c>
      <c r="D166" s="15" t="s">
        <v>686</v>
      </c>
      <c r="E166" s="6">
        <v>201</v>
      </c>
      <c r="F166" s="4"/>
      <c r="G166" s="6">
        <v>201</v>
      </c>
      <c r="H166" s="4"/>
      <c r="I166" s="9"/>
      <c r="J166" s="4"/>
      <c r="K166" s="4"/>
      <c r="L166" s="10"/>
      <c r="M166" s="10" t="s">
        <v>46</v>
      </c>
      <c r="N166" s="10"/>
      <c r="O166" s="4"/>
      <c r="P166" s="4"/>
      <c r="Q166" s="18" t="s">
        <v>405</v>
      </c>
    </row>
    <row r="167" spans="1:17" ht="15">
      <c r="A167" s="4" t="str">
        <f t="shared" si="2"/>
        <v>166</v>
      </c>
      <c r="B167" s="1" t="s">
        <v>33</v>
      </c>
      <c r="C167" s="6" t="s">
        <v>689</v>
      </c>
      <c r="D167" s="15" t="s">
        <v>686</v>
      </c>
      <c r="E167" s="6">
        <v>202</v>
      </c>
      <c r="F167" s="4"/>
      <c r="G167" s="6">
        <v>202</v>
      </c>
      <c r="H167" s="4"/>
      <c r="I167" s="9"/>
      <c r="J167" s="4"/>
      <c r="K167" s="4"/>
      <c r="L167" s="10"/>
      <c r="M167" s="10" t="s">
        <v>46</v>
      </c>
      <c r="N167" s="10"/>
      <c r="O167" s="4"/>
      <c r="P167" s="4"/>
      <c r="Q167" s="18" t="s">
        <v>406</v>
      </c>
    </row>
    <row r="168" spans="1:17" ht="15">
      <c r="A168" s="4" t="str">
        <f t="shared" si="2"/>
        <v>167</v>
      </c>
      <c r="B168" s="1" t="s">
        <v>33</v>
      </c>
      <c r="C168" s="6" t="s">
        <v>689</v>
      </c>
      <c r="D168" s="15" t="s">
        <v>686</v>
      </c>
      <c r="E168" s="6">
        <v>203</v>
      </c>
      <c r="F168" s="4"/>
      <c r="G168" s="6">
        <v>203</v>
      </c>
      <c r="H168" s="4"/>
      <c r="I168" s="9"/>
      <c r="J168" s="4"/>
      <c r="K168" s="4"/>
      <c r="L168" s="10"/>
      <c r="M168" s="10" t="s">
        <v>46</v>
      </c>
      <c r="N168" s="10"/>
      <c r="O168" s="4"/>
      <c r="P168" s="4"/>
      <c r="Q168" s="18" t="s">
        <v>407</v>
      </c>
    </row>
    <row r="169" spans="1:17" ht="15">
      <c r="A169" s="4" t="str">
        <f t="shared" si="2"/>
        <v>168</v>
      </c>
      <c r="B169" s="1" t="s">
        <v>33</v>
      </c>
      <c r="C169" s="6" t="s">
        <v>689</v>
      </c>
      <c r="D169" s="15" t="s">
        <v>686</v>
      </c>
      <c r="E169" s="6">
        <v>204</v>
      </c>
      <c r="F169" s="4"/>
      <c r="G169" s="6">
        <v>204</v>
      </c>
      <c r="H169" s="4"/>
      <c r="I169" s="9"/>
      <c r="J169" s="4"/>
      <c r="K169" s="4"/>
      <c r="L169" s="10"/>
      <c r="M169" s="10" t="s">
        <v>46</v>
      </c>
      <c r="N169" s="10"/>
      <c r="O169" s="4"/>
      <c r="P169" s="4"/>
      <c r="Q169" s="18" t="s">
        <v>408</v>
      </c>
    </row>
    <row r="170" spans="1:17" ht="15">
      <c r="A170" s="4" t="str">
        <f t="shared" si="2"/>
        <v>169</v>
      </c>
      <c r="B170" s="1" t="s">
        <v>33</v>
      </c>
      <c r="C170" s="6" t="s">
        <v>689</v>
      </c>
      <c r="D170" s="15" t="s">
        <v>686</v>
      </c>
      <c r="E170" s="6">
        <v>101</v>
      </c>
      <c r="F170" s="4"/>
      <c r="G170" s="6">
        <v>101</v>
      </c>
      <c r="H170" s="4"/>
      <c r="I170" s="9"/>
      <c r="J170" s="4"/>
      <c r="K170" s="4"/>
      <c r="L170" s="10"/>
      <c r="M170" s="10" t="s">
        <v>46</v>
      </c>
      <c r="N170" s="10"/>
      <c r="O170" s="4"/>
      <c r="P170" s="4"/>
      <c r="Q170" s="18" t="s">
        <v>409</v>
      </c>
    </row>
    <row r="171" spans="1:17" ht="15">
      <c r="A171" s="4" t="str">
        <f t="shared" si="2"/>
        <v>170</v>
      </c>
      <c r="B171" s="1" t="s">
        <v>33</v>
      </c>
      <c r="C171" s="6" t="s">
        <v>689</v>
      </c>
      <c r="D171" s="15" t="s">
        <v>686</v>
      </c>
      <c r="E171" s="6">
        <v>102</v>
      </c>
      <c r="F171" s="4"/>
      <c r="G171" s="6">
        <v>102</v>
      </c>
      <c r="H171" s="4"/>
      <c r="I171" s="9"/>
      <c r="J171" s="4"/>
      <c r="K171" s="4"/>
      <c r="L171" s="10"/>
      <c r="M171" s="10" t="s">
        <v>46</v>
      </c>
      <c r="N171" s="10"/>
      <c r="O171" s="4"/>
      <c r="P171" s="4"/>
      <c r="Q171" s="18" t="s">
        <v>410</v>
      </c>
    </row>
    <row r="172" spans="1:17" ht="15">
      <c r="A172" s="4" t="str">
        <f t="shared" si="2"/>
        <v>171</v>
      </c>
      <c r="B172" s="1" t="s">
        <v>33</v>
      </c>
      <c r="C172" s="6" t="s">
        <v>689</v>
      </c>
      <c r="D172" s="15" t="s">
        <v>686</v>
      </c>
      <c r="E172" s="6">
        <v>103</v>
      </c>
      <c r="F172" s="4"/>
      <c r="G172" s="6">
        <v>103</v>
      </c>
      <c r="H172" s="4"/>
      <c r="I172" s="9"/>
      <c r="J172" s="4"/>
      <c r="K172" s="4"/>
      <c r="L172" s="10"/>
      <c r="M172" s="10" t="s">
        <v>46</v>
      </c>
      <c r="N172" s="10"/>
      <c r="O172" s="4"/>
      <c r="P172" s="4"/>
      <c r="Q172" s="18" t="s">
        <v>411</v>
      </c>
    </row>
    <row r="173" spans="1:17" ht="15">
      <c r="A173" s="4" t="str">
        <f t="shared" si="2"/>
        <v>172</v>
      </c>
      <c r="B173" s="1" t="s">
        <v>33</v>
      </c>
      <c r="C173" s="6" t="s">
        <v>689</v>
      </c>
      <c r="D173" s="15" t="s">
        <v>686</v>
      </c>
      <c r="E173" s="6">
        <v>104</v>
      </c>
      <c r="F173" s="4"/>
      <c r="G173" s="6">
        <v>104</v>
      </c>
      <c r="H173" s="4"/>
      <c r="I173" s="9"/>
      <c r="J173" s="4"/>
      <c r="K173" s="4"/>
      <c r="L173" s="10"/>
      <c r="M173" s="10" t="s">
        <v>46</v>
      </c>
      <c r="N173" s="10"/>
      <c r="O173" s="4"/>
      <c r="P173" s="4"/>
      <c r="Q173" s="18" t="s">
        <v>412</v>
      </c>
    </row>
    <row r="174" spans="1:17" ht="15">
      <c r="A174" s="4" t="str">
        <f t="shared" si="2"/>
        <v>173</v>
      </c>
      <c r="B174" s="1" t="s">
        <v>33</v>
      </c>
      <c r="C174" s="6" t="s">
        <v>689</v>
      </c>
      <c r="D174" s="15" t="s">
        <v>687</v>
      </c>
      <c r="E174" s="6">
        <v>501</v>
      </c>
      <c r="F174" s="4"/>
      <c r="G174" s="6">
        <v>501</v>
      </c>
      <c r="H174" s="4"/>
      <c r="I174" s="9"/>
      <c r="J174" s="4"/>
      <c r="K174" s="4"/>
      <c r="L174" s="10"/>
      <c r="M174" s="10" t="s">
        <v>46</v>
      </c>
      <c r="N174" s="10"/>
      <c r="O174" s="4"/>
      <c r="P174" s="4"/>
      <c r="Q174" s="18" t="s">
        <v>252</v>
      </c>
    </row>
    <row r="175" spans="1:17" ht="15">
      <c r="A175" s="4" t="str">
        <f t="shared" si="2"/>
        <v>174</v>
      </c>
      <c r="B175" s="1" t="s">
        <v>33</v>
      </c>
      <c r="C175" s="6" t="s">
        <v>689</v>
      </c>
      <c r="D175" s="15" t="s">
        <v>687</v>
      </c>
      <c r="E175" s="6">
        <v>502</v>
      </c>
      <c r="F175" s="4"/>
      <c r="G175" s="6">
        <v>502</v>
      </c>
      <c r="H175" s="4"/>
      <c r="I175" s="9"/>
      <c r="J175" s="4"/>
      <c r="K175" s="4"/>
      <c r="L175" s="10"/>
      <c r="M175" s="10" t="s">
        <v>46</v>
      </c>
      <c r="N175" s="10"/>
      <c r="O175" s="4"/>
      <c r="P175" s="4"/>
      <c r="Q175" s="18" t="s">
        <v>253</v>
      </c>
    </row>
    <row r="176" spans="1:17" ht="15">
      <c r="A176" s="4" t="str">
        <f t="shared" si="2"/>
        <v>175</v>
      </c>
      <c r="B176" s="1" t="s">
        <v>33</v>
      </c>
      <c r="C176" s="6" t="s">
        <v>689</v>
      </c>
      <c r="D176" s="15" t="s">
        <v>687</v>
      </c>
      <c r="E176" s="6">
        <v>503</v>
      </c>
      <c r="F176" s="4"/>
      <c r="G176" s="6">
        <v>503</v>
      </c>
      <c r="H176" s="4"/>
      <c r="I176" s="9"/>
      <c r="J176" s="4"/>
      <c r="K176" s="4"/>
      <c r="L176" s="10"/>
      <c r="M176" s="10" t="s">
        <v>46</v>
      </c>
      <c r="N176" s="10"/>
      <c r="O176" s="4"/>
      <c r="P176" s="4"/>
      <c r="Q176" s="18" t="s">
        <v>254</v>
      </c>
    </row>
    <row r="177" spans="1:17" ht="15">
      <c r="A177" s="4" t="str">
        <f t="shared" si="2"/>
        <v>176</v>
      </c>
      <c r="B177" s="1" t="s">
        <v>33</v>
      </c>
      <c r="C177" s="6" t="s">
        <v>689</v>
      </c>
      <c r="D177" s="15" t="s">
        <v>687</v>
      </c>
      <c r="E177" s="6">
        <v>504</v>
      </c>
      <c r="F177" s="4"/>
      <c r="G177" s="6">
        <v>504</v>
      </c>
      <c r="H177" s="4"/>
      <c r="I177" s="9"/>
      <c r="J177" s="4"/>
      <c r="K177" s="4"/>
      <c r="L177" s="10"/>
      <c r="M177" s="10" t="s">
        <v>46</v>
      </c>
      <c r="N177" s="10"/>
      <c r="O177" s="4"/>
      <c r="P177" s="4"/>
      <c r="Q177" s="18" t="s">
        <v>255</v>
      </c>
    </row>
    <row r="178" spans="1:17" ht="15">
      <c r="A178" s="4" t="str">
        <f t="shared" si="2"/>
        <v>177</v>
      </c>
      <c r="B178" s="1" t="s">
        <v>33</v>
      </c>
      <c r="C178" s="6" t="s">
        <v>689</v>
      </c>
      <c r="D178" s="15" t="s">
        <v>687</v>
      </c>
      <c r="E178" s="6">
        <v>401</v>
      </c>
      <c r="F178" s="4"/>
      <c r="G178" s="6">
        <v>401</v>
      </c>
      <c r="H178" s="4"/>
      <c r="I178" s="9"/>
      <c r="J178" s="4"/>
      <c r="K178" s="4"/>
      <c r="L178" s="10"/>
      <c r="M178" s="10" t="s">
        <v>46</v>
      </c>
      <c r="N178" s="10"/>
      <c r="O178" s="4"/>
      <c r="P178" s="4"/>
      <c r="Q178" s="18" t="s">
        <v>256</v>
      </c>
    </row>
    <row r="179" spans="1:17" ht="15">
      <c r="A179" s="4" t="str">
        <f t="shared" si="2"/>
        <v>178</v>
      </c>
      <c r="B179" s="1" t="s">
        <v>33</v>
      </c>
      <c r="C179" s="6" t="s">
        <v>689</v>
      </c>
      <c r="D179" s="15" t="s">
        <v>687</v>
      </c>
      <c r="E179" s="6">
        <v>402</v>
      </c>
      <c r="F179" s="4"/>
      <c r="G179" s="6">
        <v>402</v>
      </c>
      <c r="H179" s="4"/>
      <c r="I179" s="9"/>
      <c r="J179" s="4"/>
      <c r="K179" s="4"/>
      <c r="L179" s="10"/>
      <c r="M179" s="10" t="s">
        <v>46</v>
      </c>
      <c r="N179" s="10"/>
      <c r="O179" s="4"/>
      <c r="P179" s="4"/>
      <c r="Q179" s="18" t="s">
        <v>257</v>
      </c>
    </row>
    <row r="180" spans="1:17" ht="15">
      <c r="A180" s="4" t="str">
        <f t="shared" si="2"/>
        <v>179</v>
      </c>
      <c r="B180" s="1" t="s">
        <v>33</v>
      </c>
      <c r="C180" s="6" t="s">
        <v>689</v>
      </c>
      <c r="D180" s="15" t="s">
        <v>687</v>
      </c>
      <c r="E180" s="6">
        <v>403</v>
      </c>
      <c r="F180" s="4"/>
      <c r="G180" s="6">
        <v>403</v>
      </c>
      <c r="H180" s="4"/>
      <c r="I180" s="9"/>
      <c r="J180" s="4"/>
      <c r="K180" s="4"/>
      <c r="L180" s="10"/>
      <c r="M180" s="10" t="s">
        <v>46</v>
      </c>
      <c r="N180" s="10"/>
      <c r="O180" s="4"/>
      <c r="P180" s="4"/>
      <c r="Q180" s="18" t="s">
        <v>258</v>
      </c>
    </row>
    <row r="181" spans="1:17" ht="15">
      <c r="A181" s="4" t="str">
        <f t="shared" si="2"/>
        <v>180</v>
      </c>
      <c r="B181" s="1" t="s">
        <v>33</v>
      </c>
      <c r="C181" s="6" t="s">
        <v>689</v>
      </c>
      <c r="D181" s="15" t="s">
        <v>687</v>
      </c>
      <c r="E181" s="6">
        <v>404</v>
      </c>
      <c r="F181" s="4"/>
      <c r="G181" s="6">
        <v>404</v>
      </c>
      <c r="H181" s="4"/>
      <c r="I181" s="9"/>
      <c r="J181" s="4"/>
      <c r="K181" s="4"/>
      <c r="L181" s="10"/>
      <c r="M181" s="10" t="s">
        <v>46</v>
      </c>
      <c r="N181" s="10"/>
      <c r="O181" s="4"/>
      <c r="P181" s="4"/>
      <c r="Q181" s="18" t="s">
        <v>259</v>
      </c>
    </row>
    <row r="182" spans="1:17" ht="15">
      <c r="A182" s="4" t="str">
        <f t="shared" si="2"/>
        <v>181</v>
      </c>
      <c r="B182" s="1" t="s">
        <v>33</v>
      </c>
      <c r="C182" s="6" t="s">
        <v>689</v>
      </c>
      <c r="D182" s="15" t="s">
        <v>687</v>
      </c>
      <c r="E182" s="6">
        <v>301</v>
      </c>
      <c r="F182" s="4"/>
      <c r="G182" s="6">
        <v>301</v>
      </c>
      <c r="H182" s="4"/>
      <c r="I182" s="9"/>
      <c r="J182" s="4"/>
      <c r="K182" s="4"/>
      <c r="L182" s="10"/>
      <c r="M182" s="10" t="s">
        <v>46</v>
      </c>
      <c r="N182" s="10"/>
      <c r="O182" s="4"/>
      <c r="P182" s="4"/>
      <c r="Q182" s="18" t="s">
        <v>260</v>
      </c>
    </row>
    <row r="183" spans="1:17" ht="15">
      <c r="A183" s="4" t="str">
        <f t="shared" si="2"/>
        <v>182</v>
      </c>
      <c r="B183" s="1" t="s">
        <v>33</v>
      </c>
      <c r="C183" s="6" t="s">
        <v>689</v>
      </c>
      <c r="D183" s="15" t="s">
        <v>687</v>
      </c>
      <c r="E183" s="6">
        <v>302</v>
      </c>
      <c r="F183" s="4"/>
      <c r="G183" s="6">
        <v>302</v>
      </c>
      <c r="H183" s="4"/>
      <c r="I183" s="9"/>
      <c r="J183" s="4"/>
      <c r="K183" s="4"/>
      <c r="L183" s="10"/>
      <c r="M183" s="10" t="s">
        <v>46</v>
      </c>
      <c r="N183" s="10"/>
      <c r="O183" s="4"/>
      <c r="P183" s="4"/>
      <c r="Q183" s="18" t="s">
        <v>261</v>
      </c>
    </row>
    <row r="184" spans="1:17" ht="15">
      <c r="A184" s="4" t="str">
        <f t="shared" si="2"/>
        <v>183</v>
      </c>
      <c r="B184" s="1" t="s">
        <v>33</v>
      </c>
      <c r="C184" s="6" t="s">
        <v>689</v>
      </c>
      <c r="D184" s="15" t="s">
        <v>687</v>
      </c>
      <c r="E184" s="6">
        <v>303</v>
      </c>
      <c r="F184" s="4"/>
      <c r="G184" s="6">
        <v>303</v>
      </c>
      <c r="H184" s="4"/>
      <c r="I184" s="9"/>
      <c r="J184" s="4"/>
      <c r="K184" s="4"/>
      <c r="L184" s="10"/>
      <c r="M184" s="10" t="s">
        <v>46</v>
      </c>
      <c r="N184" s="10"/>
      <c r="O184" s="4"/>
      <c r="P184" s="4"/>
      <c r="Q184" s="18" t="s">
        <v>262</v>
      </c>
    </row>
    <row r="185" spans="1:17" ht="15">
      <c r="A185" s="4" t="str">
        <f t="shared" si="2"/>
        <v>184</v>
      </c>
      <c r="B185" s="1" t="s">
        <v>33</v>
      </c>
      <c r="C185" s="6" t="s">
        <v>689</v>
      </c>
      <c r="D185" s="15" t="s">
        <v>687</v>
      </c>
      <c r="E185" s="6">
        <v>304</v>
      </c>
      <c r="F185" s="4"/>
      <c r="G185" s="6">
        <v>304</v>
      </c>
      <c r="H185" s="4"/>
      <c r="I185" s="9"/>
      <c r="J185" s="4"/>
      <c r="K185" s="4"/>
      <c r="L185" s="10"/>
      <c r="M185" s="10" t="s">
        <v>46</v>
      </c>
      <c r="N185" s="10"/>
      <c r="O185" s="4"/>
      <c r="P185" s="4"/>
      <c r="Q185" s="18" t="s">
        <v>263</v>
      </c>
    </row>
    <row r="186" spans="1:17" ht="15">
      <c r="A186" s="4" t="str">
        <f t="shared" si="2"/>
        <v>185</v>
      </c>
      <c r="B186" s="1" t="s">
        <v>33</v>
      </c>
      <c r="C186" s="6" t="s">
        <v>689</v>
      </c>
      <c r="D186" s="15" t="s">
        <v>687</v>
      </c>
      <c r="E186" s="6">
        <v>201</v>
      </c>
      <c r="F186" s="4"/>
      <c r="G186" s="6">
        <v>201</v>
      </c>
      <c r="H186" s="4"/>
      <c r="I186" s="9"/>
      <c r="J186" s="4"/>
      <c r="K186" s="4"/>
      <c r="L186" s="10"/>
      <c r="M186" s="10" t="s">
        <v>46</v>
      </c>
      <c r="N186" s="10"/>
      <c r="O186" s="4"/>
      <c r="P186" s="4"/>
      <c r="Q186" s="18" t="s">
        <v>264</v>
      </c>
    </row>
    <row r="187" spans="1:17" ht="15">
      <c r="A187" s="4" t="str">
        <f t="shared" si="2"/>
        <v>186</v>
      </c>
      <c r="B187" s="1" t="s">
        <v>33</v>
      </c>
      <c r="C187" s="6" t="s">
        <v>689</v>
      </c>
      <c r="D187" s="15" t="s">
        <v>687</v>
      </c>
      <c r="E187" s="6">
        <v>202</v>
      </c>
      <c r="F187" s="4"/>
      <c r="G187" s="6">
        <v>202</v>
      </c>
      <c r="H187" s="4"/>
      <c r="I187" s="9"/>
      <c r="J187" s="4"/>
      <c r="K187" s="4"/>
      <c r="L187" s="10"/>
      <c r="M187" s="10" t="s">
        <v>46</v>
      </c>
      <c r="N187" s="10"/>
      <c r="O187" s="4"/>
      <c r="P187" s="4"/>
      <c r="Q187" s="18" t="s">
        <v>265</v>
      </c>
    </row>
    <row r="188" spans="1:17" ht="15">
      <c r="A188" s="4" t="str">
        <f t="shared" si="2"/>
        <v>187</v>
      </c>
      <c r="B188" s="1" t="s">
        <v>33</v>
      </c>
      <c r="C188" s="6" t="s">
        <v>689</v>
      </c>
      <c r="D188" s="15" t="s">
        <v>687</v>
      </c>
      <c r="E188" s="6">
        <v>203</v>
      </c>
      <c r="F188" s="4"/>
      <c r="G188" s="6">
        <v>203</v>
      </c>
      <c r="H188" s="4"/>
      <c r="I188" s="9"/>
      <c r="J188" s="4"/>
      <c r="K188" s="4"/>
      <c r="L188" s="10"/>
      <c r="M188" s="10" t="s">
        <v>46</v>
      </c>
      <c r="N188" s="10"/>
      <c r="O188" s="4"/>
      <c r="P188" s="4"/>
      <c r="Q188" s="18" t="s">
        <v>266</v>
      </c>
    </row>
    <row r="189" spans="1:17" ht="15">
      <c r="A189" s="4" t="str">
        <f t="shared" si="2"/>
        <v>188</v>
      </c>
      <c r="B189" s="1" t="s">
        <v>33</v>
      </c>
      <c r="C189" s="6" t="s">
        <v>689</v>
      </c>
      <c r="D189" s="15" t="s">
        <v>687</v>
      </c>
      <c r="E189" s="6">
        <v>204</v>
      </c>
      <c r="F189" s="4"/>
      <c r="G189" s="6">
        <v>204</v>
      </c>
      <c r="H189" s="4"/>
      <c r="I189" s="9"/>
      <c r="J189" s="4"/>
      <c r="K189" s="4"/>
      <c r="L189" s="10"/>
      <c r="M189" s="10" t="s">
        <v>46</v>
      </c>
      <c r="N189" s="10"/>
      <c r="O189" s="4"/>
      <c r="P189" s="4"/>
      <c r="Q189" s="18" t="s">
        <v>267</v>
      </c>
    </row>
    <row r="190" spans="1:17" ht="15">
      <c r="A190" s="4" t="str">
        <f t="shared" si="2"/>
        <v>189</v>
      </c>
      <c r="B190" s="1" t="s">
        <v>33</v>
      </c>
      <c r="C190" s="6" t="s">
        <v>689</v>
      </c>
      <c r="D190" s="15" t="s">
        <v>687</v>
      </c>
      <c r="E190" s="6">
        <v>101</v>
      </c>
      <c r="F190" s="4"/>
      <c r="G190" s="6">
        <v>101</v>
      </c>
      <c r="H190" s="4"/>
      <c r="I190" s="9"/>
      <c r="J190" s="4"/>
      <c r="K190" s="4"/>
      <c r="L190" s="10"/>
      <c r="M190" s="10" t="s">
        <v>46</v>
      </c>
      <c r="N190" s="10"/>
      <c r="O190" s="4"/>
      <c r="P190" s="4"/>
      <c r="Q190" s="18" t="s">
        <v>268</v>
      </c>
    </row>
    <row r="191" spans="1:17" ht="15">
      <c r="A191" s="4" t="str">
        <f t="shared" si="2"/>
        <v>190</v>
      </c>
      <c r="B191" s="1" t="s">
        <v>33</v>
      </c>
      <c r="C191" s="6" t="s">
        <v>689</v>
      </c>
      <c r="D191" s="15" t="s">
        <v>687</v>
      </c>
      <c r="E191" s="6">
        <v>102</v>
      </c>
      <c r="F191" s="4"/>
      <c r="G191" s="6">
        <v>102</v>
      </c>
      <c r="H191" s="4"/>
      <c r="I191" s="9"/>
      <c r="J191" s="4"/>
      <c r="K191" s="4"/>
      <c r="L191" s="10"/>
      <c r="M191" s="10" t="s">
        <v>46</v>
      </c>
      <c r="N191" s="10"/>
      <c r="O191" s="4"/>
      <c r="P191" s="4"/>
      <c r="Q191" s="18" t="s">
        <v>269</v>
      </c>
    </row>
    <row r="192" spans="1:17" ht="15">
      <c r="A192" s="4" t="str">
        <f t="shared" si="2"/>
        <v>191</v>
      </c>
      <c r="B192" s="1" t="s">
        <v>33</v>
      </c>
      <c r="C192" s="6" t="s">
        <v>689</v>
      </c>
      <c r="D192" s="15" t="s">
        <v>687</v>
      </c>
      <c r="E192" s="6">
        <v>103</v>
      </c>
      <c r="F192" s="4"/>
      <c r="G192" s="6">
        <v>103</v>
      </c>
      <c r="H192" s="4"/>
      <c r="I192" s="9"/>
      <c r="J192" s="4"/>
      <c r="K192" s="4"/>
      <c r="L192" s="10"/>
      <c r="M192" s="10" t="s">
        <v>46</v>
      </c>
      <c r="N192" s="10"/>
      <c r="O192" s="4"/>
      <c r="P192" s="4"/>
      <c r="Q192" s="18" t="s">
        <v>270</v>
      </c>
    </row>
    <row r="193" spans="1:17" ht="15">
      <c r="A193" s="4" t="str">
        <f t="shared" si="2"/>
        <v>192</v>
      </c>
      <c r="B193" s="1" t="s">
        <v>33</v>
      </c>
      <c r="C193" s="6" t="s">
        <v>689</v>
      </c>
      <c r="D193" s="15" t="s">
        <v>687</v>
      </c>
      <c r="E193" s="6">
        <v>104</v>
      </c>
      <c r="F193" s="4"/>
      <c r="G193" s="6">
        <v>104</v>
      </c>
      <c r="H193" s="4"/>
      <c r="I193" s="9"/>
      <c r="J193" s="4"/>
      <c r="K193" s="4"/>
      <c r="L193" s="10"/>
      <c r="M193" s="10" t="s">
        <v>46</v>
      </c>
      <c r="N193" s="10"/>
      <c r="O193" s="4"/>
      <c r="P193" s="4"/>
      <c r="Q193" s="18" t="s">
        <v>271</v>
      </c>
    </row>
    <row r="194" spans="1:17" ht="15">
      <c r="A194" s="4" t="str">
        <f t="shared" si="2"/>
        <v>193</v>
      </c>
      <c r="B194" s="1" t="s">
        <v>33</v>
      </c>
      <c r="C194" s="6" t="s">
        <v>689</v>
      </c>
      <c r="D194" s="15" t="s">
        <v>688</v>
      </c>
      <c r="E194" s="6">
        <v>501</v>
      </c>
      <c r="F194" s="4"/>
      <c r="G194" s="6">
        <v>501</v>
      </c>
      <c r="H194" s="4"/>
      <c r="I194" s="9"/>
      <c r="J194" s="4"/>
      <c r="K194" s="4"/>
      <c r="L194" s="10"/>
      <c r="M194" s="10" t="s">
        <v>46</v>
      </c>
      <c r="N194" s="10"/>
      <c r="O194" s="4"/>
      <c r="P194" s="4"/>
      <c r="Q194" s="18" t="s">
        <v>413</v>
      </c>
    </row>
    <row r="195" spans="1:17" ht="15">
      <c r="A195" s="4" t="str">
        <f t="shared" ref="A195:A258" si="3">TEXT(ROW(A194),"000")</f>
        <v>194</v>
      </c>
      <c r="B195" s="1" t="s">
        <v>33</v>
      </c>
      <c r="C195" s="6" t="s">
        <v>689</v>
      </c>
      <c r="D195" s="15" t="s">
        <v>688</v>
      </c>
      <c r="E195" s="6">
        <v>502</v>
      </c>
      <c r="F195" s="4"/>
      <c r="G195" s="6">
        <v>502</v>
      </c>
      <c r="H195" s="4"/>
      <c r="I195" s="9"/>
      <c r="J195" s="4"/>
      <c r="K195" s="4"/>
      <c r="L195" s="10"/>
      <c r="M195" s="10" t="s">
        <v>46</v>
      </c>
      <c r="N195" s="10"/>
      <c r="O195" s="4"/>
      <c r="P195" s="4"/>
      <c r="Q195" s="18" t="s">
        <v>414</v>
      </c>
    </row>
    <row r="196" spans="1:17" ht="15">
      <c r="A196" s="4" t="str">
        <f t="shared" si="3"/>
        <v>195</v>
      </c>
      <c r="B196" s="1" t="s">
        <v>33</v>
      </c>
      <c r="C196" s="6" t="s">
        <v>689</v>
      </c>
      <c r="D196" s="15" t="s">
        <v>688</v>
      </c>
      <c r="E196" s="6">
        <v>503</v>
      </c>
      <c r="F196" s="4"/>
      <c r="G196" s="6">
        <v>503</v>
      </c>
      <c r="H196" s="4"/>
      <c r="I196" s="9"/>
      <c r="J196" s="4"/>
      <c r="K196" s="4"/>
      <c r="L196" s="10"/>
      <c r="M196" s="10" t="s">
        <v>46</v>
      </c>
      <c r="N196" s="10"/>
      <c r="O196" s="4"/>
      <c r="P196" s="4"/>
      <c r="Q196" s="18" t="s">
        <v>415</v>
      </c>
    </row>
    <row r="197" spans="1:17" ht="15">
      <c r="A197" s="4" t="str">
        <f t="shared" si="3"/>
        <v>196</v>
      </c>
      <c r="B197" s="1" t="s">
        <v>33</v>
      </c>
      <c r="C197" s="6" t="s">
        <v>689</v>
      </c>
      <c r="D197" s="15" t="s">
        <v>688</v>
      </c>
      <c r="E197" s="6">
        <v>504</v>
      </c>
      <c r="F197" s="4"/>
      <c r="G197" s="6">
        <v>504</v>
      </c>
      <c r="H197" s="4"/>
      <c r="I197" s="9"/>
      <c r="J197" s="4"/>
      <c r="K197" s="4"/>
      <c r="L197" s="10"/>
      <c r="M197" s="10" t="s">
        <v>46</v>
      </c>
      <c r="N197" s="10"/>
      <c r="O197" s="4"/>
      <c r="P197" s="4"/>
      <c r="Q197" s="18" t="s">
        <v>416</v>
      </c>
    </row>
    <row r="198" spans="1:17" ht="15">
      <c r="A198" s="4" t="str">
        <f t="shared" si="3"/>
        <v>197</v>
      </c>
      <c r="B198" s="1" t="s">
        <v>33</v>
      </c>
      <c r="C198" s="6" t="s">
        <v>689</v>
      </c>
      <c r="D198" s="15" t="s">
        <v>688</v>
      </c>
      <c r="E198" s="6">
        <v>401</v>
      </c>
      <c r="F198" s="4"/>
      <c r="G198" s="6">
        <v>401</v>
      </c>
      <c r="H198" s="4"/>
      <c r="I198" s="9"/>
      <c r="J198" s="4"/>
      <c r="K198" s="4"/>
      <c r="L198" s="10"/>
      <c r="M198" s="10" t="s">
        <v>46</v>
      </c>
      <c r="N198" s="10"/>
      <c r="O198" s="4"/>
      <c r="P198" s="4"/>
      <c r="Q198" s="18" t="s">
        <v>417</v>
      </c>
    </row>
    <row r="199" spans="1:17" ht="15">
      <c r="A199" s="4" t="str">
        <f t="shared" si="3"/>
        <v>198</v>
      </c>
      <c r="B199" s="1" t="s">
        <v>33</v>
      </c>
      <c r="C199" s="6" t="s">
        <v>689</v>
      </c>
      <c r="D199" s="15" t="s">
        <v>688</v>
      </c>
      <c r="E199" s="6">
        <v>402</v>
      </c>
      <c r="F199" s="4"/>
      <c r="G199" s="6">
        <v>402</v>
      </c>
      <c r="H199" s="4"/>
      <c r="I199" s="9"/>
      <c r="J199" s="4"/>
      <c r="K199" s="4"/>
      <c r="L199" s="10"/>
      <c r="M199" s="10" t="s">
        <v>46</v>
      </c>
      <c r="N199" s="10"/>
      <c r="O199" s="4"/>
      <c r="P199" s="4"/>
      <c r="Q199" s="18" t="s">
        <v>418</v>
      </c>
    </row>
    <row r="200" spans="1:17" ht="15">
      <c r="A200" s="4" t="str">
        <f t="shared" si="3"/>
        <v>199</v>
      </c>
      <c r="B200" s="1" t="s">
        <v>33</v>
      </c>
      <c r="C200" s="6" t="s">
        <v>689</v>
      </c>
      <c r="D200" s="15" t="s">
        <v>688</v>
      </c>
      <c r="E200" s="6">
        <v>403</v>
      </c>
      <c r="F200" s="4"/>
      <c r="G200" s="6">
        <v>403</v>
      </c>
      <c r="H200" s="4"/>
      <c r="I200" s="9"/>
      <c r="J200" s="4"/>
      <c r="K200" s="4"/>
      <c r="L200" s="10"/>
      <c r="M200" s="10" t="s">
        <v>46</v>
      </c>
      <c r="N200" s="10"/>
      <c r="O200" s="4"/>
      <c r="P200" s="4"/>
      <c r="Q200" s="18" t="s">
        <v>419</v>
      </c>
    </row>
    <row r="201" spans="1:17" ht="15">
      <c r="A201" s="4" t="str">
        <f t="shared" si="3"/>
        <v>200</v>
      </c>
      <c r="B201" s="1" t="s">
        <v>33</v>
      </c>
      <c r="C201" s="6" t="s">
        <v>689</v>
      </c>
      <c r="D201" s="15" t="s">
        <v>688</v>
      </c>
      <c r="E201" s="6">
        <v>404</v>
      </c>
      <c r="F201" s="4"/>
      <c r="G201" s="6">
        <v>404</v>
      </c>
      <c r="H201" s="4"/>
      <c r="I201" s="9"/>
      <c r="J201" s="4"/>
      <c r="K201" s="4"/>
      <c r="L201" s="10"/>
      <c r="M201" s="10" t="s">
        <v>46</v>
      </c>
      <c r="N201" s="10"/>
      <c r="O201" s="4"/>
      <c r="P201" s="4"/>
      <c r="Q201" s="18" t="s">
        <v>420</v>
      </c>
    </row>
    <row r="202" spans="1:17" ht="15">
      <c r="A202" s="4" t="str">
        <f t="shared" si="3"/>
        <v>201</v>
      </c>
      <c r="B202" s="1" t="s">
        <v>33</v>
      </c>
      <c r="C202" s="6" t="s">
        <v>689</v>
      </c>
      <c r="D202" s="15" t="s">
        <v>688</v>
      </c>
      <c r="E202" s="6">
        <v>301</v>
      </c>
      <c r="F202" s="4"/>
      <c r="G202" s="6">
        <v>301</v>
      </c>
      <c r="H202" s="4"/>
      <c r="I202" s="9"/>
      <c r="J202" s="4"/>
      <c r="K202" s="4"/>
      <c r="L202" s="10"/>
      <c r="M202" s="10" t="s">
        <v>46</v>
      </c>
      <c r="N202" s="10"/>
      <c r="O202" s="4"/>
      <c r="P202" s="4"/>
      <c r="Q202" s="18" t="s">
        <v>421</v>
      </c>
    </row>
    <row r="203" spans="1:17" ht="15">
      <c r="A203" s="4" t="str">
        <f t="shared" si="3"/>
        <v>202</v>
      </c>
      <c r="B203" s="1" t="s">
        <v>33</v>
      </c>
      <c r="C203" s="6" t="s">
        <v>689</v>
      </c>
      <c r="D203" s="15" t="s">
        <v>688</v>
      </c>
      <c r="E203" s="6">
        <v>302</v>
      </c>
      <c r="F203" s="4"/>
      <c r="G203" s="6">
        <v>302</v>
      </c>
      <c r="H203" s="4"/>
      <c r="I203" s="9"/>
      <c r="J203" s="4"/>
      <c r="K203" s="4"/>
      <c r="L203" s="10"/>
      <c r="M203" s="10" t="s">
        <v>46</v>
      </c>
      <c r="N203" s="10"/>
      <c r="O203" s="4"/>
      <c r="P203" s="4"/>
      <c r="Q203" s="18" t="s">
        <v>422</v>
      </c>
    </row>
    <row r="204" spans="1:17" ht="15">
      <c r="A204" s="4" t="str">
        <f t="shared" si="3"/>
        <v>203</v>
      </c>
      <c r="B204" s="1" t="s">
        <v>33</v>
      </c>
      <c r="C204" s="6" t="s">
        <v>689</v>
      </c>
      <c r="D204" s="15" t="s">
        <v>688</v>
      </c>
      <c r="E204" s="6">
        <v>303</v>
      </c>
      <c r="F204" s="4"/>
      <c r="G204" s="6">
        <v>303</v>
      </c>
      <c r="H204" s="4"/>
      <c r="I204" s="9"/>
      <c r="J204" s="4"/>
      <c r="K204" s="4"/>
      <c r="L204" s="10"/>
      <c r="M204" s="10" t="s">
        <v>46</v>
      </c>
      <c r="N204" s="10"/>
      <c r="O204" s="4"/>
      <c r="P204" s="4"/>
      <c r="Q204" s="18" t="s">
        <v>423</v>
      </c>
    </row>
    <row r="205" spans="1:17" ht="15">
      <c r="A205" s="4" t="str">
        <f t="shared" si="3"/>
        <v>204</v>
      </c>
      <c r="B205" s="1" t="s">
        <v>33</v>
      </c>
      <c r="C205" s="6" t="s">
        <v>689</v>
      </c>
      <c r="D205" s="15" t="s">
        <v>688</v>
      </c>
      <c r="E205" s="6">
        <v>304</v>
      </c>
      <c r="F205" s="4"/>
      <c r="G205" s="6">
        <v>304</v>
      </c>
      <c r="H205" s="4"/>
      <c r="I205" s="9"/>
      <c r="J205" s="4"/>
      <c r="K205" s="4"/>
      <c r="L205" s="10"/>
      <c r="M205" s="10" t="s">
        <v>46</v>
      </c>
      <c r="N205" s="10"/>
      <c r="O205" s="4"/>
      <c r="P205" s="4"/>
      <c r="Q205" s="18" t="s">
        <v>424</v>
      </c>
    </row>
    <row r="206" spans="1:17" ht="15">
      <c r="A206" s="4" t="str">
        <f t="shared" si="3"/>
        <v>205</v>
      </c>
      <c r="B206" s="1" t="s">
        <v>33</v>
      </c>
      <c r="C206" s="6" t="s">
        <v>689</v>
      </c>
      <c r="D206" s="15" t="s">
        <v>688</v>
      </c>
      <c r="E206" s="6">
        <v>201</v>
      </c>
      <c r="F206" s="4"/>
      <c r="G206" s="6">
        <v>201</v>
      </c>
      <c r="H206" s="4"/>
      <c r="I206" s="9"/>
      <c r="J206" s="4"/>
      <c r="K206" s="4"/>
      <c r="L206" s="10"/>
      <c r="M206" s="10" t="s">
        <v>46</v>
      </c>
      <c r="N206" s="10"/>
      <c r="O206" s="4"/>
      <c r="P206" s="4"/>
      <c r="Q206" s="18" t="s">
        <v>425</v>
      </c>
    </row>
    <row r="207" spans="1:17" ht="15">
      <c r="A207" s="4" t="str">
        <f t="shared" si="3"/>
        <v>206</v>
      </c>
      <c r="B207" s="1" t="s">
        <v>33</v>
      </c>
      <c r="C207" s="6" t="s">
        <v>689</v>
      </c>
      <c r="D207" s="15" t="s">
        <v>688</v>
      </c>
      <c r="E207" s="6">
        <v>202</v>
      </c>
      <c r="F207" s="4"/>
      <c r="G207" s="6">
        <v>202</v>
      </c>
      <c r="H207" s="4"/>
      <c r="I207" s="9"/>
      <c r="J207" s="4"/>
      <c r="K207" s="4"/>
      <c r="L207" s="10"/>
      <c r="M207" s="10" t="s">
        <v>46</v>
      </c>
      <c r="N207" s="10"/>
      <c r="O207" s="4"/>
      <c r="P207" s="4"/>
      <c r="Q207" s="18" t="s">
        <v>426</v>
      </c>
    </row>
    <row r="208" spans="1:17" ht="15">
      <c r="A208" s="4" t="str">
        <f t="shared" si="3"/>
        <v>207</v>
      </c>
      <c r="B208" s="1" t="s">
        <v>33</v>
      </c>
      <c r="C208" s="6" t="s">
        <v>689</v>
      </c>
      <c r="D208" s="15" t="s">
        <v>688</v>
      </c>
      <c r="E208" s="6">
        <v>203</v>
      </c>
      <c r="F208" s="4"/>
      <c r="G208" s="6">
        <v>203</v>
      </c>
      <c r="H208" s="4"/>
      <c r="I208" s="9"/>
      <c r="J208" s="4"/>
      <c r="K208" s="4"/>
      <c r="L208" s="10"/>
      <c r="M208" s="10" t="s">
        <v>46</v>
      </c>
      <c r="N208" s="10"/>
      <c r="O208" s="4"/>
      <c r="P208" s="4"/>
      <c r="Q208" s="18" t="s">
        <v>427</v>
      </c>
    </row>
    <row r="209" spans="1:17" ht="15">
      <c r="A209" s="4" t="str">
        <f t="shared" si="3"/>
        <v>208</v>
      </c>
      <c r="B209" s="1" t="s">
        <v>33</v>
      </c>
      <c r="C209" s="6" t="s">
        <v>689</v>
      </c>
      <c r="D209" s="15" t="s">
        <v>688</v>
      </c>
      <c r="E209" s="6">
        <v>204</v>
      </c>
      <c r="F209" s="4"/>
      <c r="G209" s="6">
        <v>204</v>
      </c>
      <c r="H209" s="4"/>
      <c r="I209" s="9"/>
      <c r="J209" s="4"/>
      <c r="K209" s="4"/>
      <c r="L209" s="10"/>
      <c r="M209" s="10" t="s">
        <v>46</v>
      </c>
      <c r="N209" s="10"/>
      <c r="O209" s="4"/>
      <c r="P209" s="4"/>
      <c r="Q209" s="18" t="s">
        <v>428</v>
      </c>
    </row>
    <row r="210" spans="1:17" ht="15">
      <c r="A210" s="4" t="str">
        <f t="shared" si="3"/>
        <v>209</v>
      </c>
      <c r="B210" s="1" t="s">
        <v>33</v>
      </c>
      <c r="C210" s="6" t="s">
        <v>689</v>
      </c>
      <c r="D210" s="15" t="s">
        <v>688</v>
      </c>
      <c r="E210" s="6">
        <v>101</v>
      </c>
      <c r="F210" s="4"/>
      <c r="G210" s="6">
        <v>101</v>
      </c>
      <c r="H210" s="4"/>
      <c r="I210" s="9"/>
      <c r="J210" s="4"/>
      <c r="K210" s="4"/>
      <c r="L210" s="10"/>
      <c r="M210" s="10" t="s">
        <v>46</v>
      </c>
      <c r="N210" s="10"/>
      <c r="O210" s="4"/>
      <c r="P210" s="4"/>
      <c r="Q210" s="18" t="s">
        <v>429</v>
      </c>
    </row>
    <row r="211" spans="1:17" ht="15">
      <c r="A211" s="4" t="str">
        <f t="shared" si="3"/>
        <v>210</v>
      </c>
      <c r="B211" s="1" t="s">
        <v>33</v>
      </c>
      <c r="C211" s="6" t="s">
        <v>689</v>
      </c>
      <c r="D211" s="15" t="s">
        <v>688</v>
      </c>
      <c r="E211" s="6">
        <v>102</v>
      </c>
      <c r="F211" s="4"/>
      <c r="G211" s="6">
        <v>102</v>
      </c>
      <c r="H211" s="4"/>
      <c r="I211" s="9"/>
      <c r="J211" s="4"/>
      <c r="K211" s="4"/>
      <c r="L211" s="10"/>
      <c r="M211" s="10" t="s">
        <v>46</v>
      </c>
      <c r="N211" s="10"/>
      <c r="O211" s="4"/>
      <c r="P211" s="4"/>
      <c r="Q211" s="18" t="s">
        <v>430</v>
      </c>
    </row>
    <row r="212" spans="1:17" ht="15">
      <c r="A212" s="4" t="str">
        <f t="shared" si="3"/>
        <v>211</v>
      </c>
      <c r="B212" s="1" t="s">
        <v>33</v>
      </c>
      <c r="C212" s="6" t="s">
        <v>689</v>
      </c>
      <c r="D212" s="15" t="s">
        <v>688</v>
      </c>
      <c r="E212" s="6">
        <v>103</v>
      </c>
      <c r="F212" s="4"/>
      <c r="G212" s="6">
        <v>103</v>
      </c>
      <c r="H212" s="4"/>
      <c r="I212" s="9"/>
      <c r="J212" s="4"/>
      <c r="K212" s="4"/>
      <c r="L212" s="10"/>
      <c r="M212" s="10" t="s">
        <v>46</v>
      </c>
      <c r="N212" s="10"/>
      <c r="O212" s="4"/>
      <c r="P212" s="4"/>
      <c r="Q212" s="18" t="s">
        <v>393</v>
      </c>
    </row>
    <row r="213" spans="1:17" ht="15">
      <c r="A213" s="4" t="str">
        <f t="shared" si="3"/>
        <v>212</v>
      </c>
      <c r="B213" s="1" t="s">
        <v>33</v>
      </c>
      <c r="C213" s="6" t="s">
        <v>689</v>
      </c>
      <c r="D213" s="15" t="s">
        <v>688</v>
      </c>
      <c r="E213" s="6">
        <v>104</v>
      </c>
      <c r="F213" s="4"/>
      <c r="G213" s="6">
        <v>104</v>
      </c>
      <c r="H213" s="4"/>
      <c r="I213" s="9"/>
      <c r="J213" s="4"/>
      <c r="K213" s="4"/>
      <c r="L213" s="10"/>
      <c r="M213" s="10" t="s">
        <v>46</v>
      </c>
      <c r="N213" s="10"/>
      <c r="O213" s="4"/>
      <c r="P213" s="4"/>
      <c r="Q213" s="18" t="s">
        <v>431</v>
      </c>
    </row>
    <row r="214" spans="1:17" ht="15">
      <c r="A214" s="4" t="str">
        <f t="shared" si="3"/>
        <v>213</v>
      </c>
      <c r="B214" s="1" t="s">
        <v>33</v>
      </c>
      <c r="C214" s="6" t="s">
        <v>42</v>
      </c>
      <c r="D214" s="15" t="s">
        <v>686</v>
      </c>
      <c r="E214" s="6">
        <v>101</v>
      </c>
      <c r="F214" s="4"/>
      <c r="G214" s="6">
        <v>101</v>
      </c>
      <c r="H214" s="4"/>
      <c r="I214" s="9"/>
      <c r="J214" s="4"/>
      <c r="K214" s="4"/>
      <c r="L214" s="10"/>
      <c r="M214" s="10" t="s">
        <v>46</v>
      </c>
      <c r="N214" s="10"/>
      <c r="O214" s="4"/>
      <c r="P214" s="4"/>
      <c r="Q214" s="18" t="s">
        <v>432</v>
      </c>
    </row>
    <row r="215" spans="1:17" ht="15">
      <c r="A215" s="4" t="str">
        <f t="shared" si="3"/>
        <v>214</v>
      </c>
      <c r="B215" s="1" t="s">
        <v>33</v>
      </c>
      <c r="C215" s="6" t="s">
        <v>42</v>
      </c>
      <c r="D215" s="15" t="s">
        <v>686</v>
      </c>
      <c r="E215" s="6">
        <v>102</v>
      </c>
      <c r="F215" s="4"/>
      <c r="G215" s="6">
        <v>102</v>
      </c>
      <c r="H215" s="4"/>
      <c r="I215" s="9"/>
      <c r="J215" s="4"/>
      <c r="K215" s="4"/>
      <c r="L215" s="10"/>
      <c r="M215" s="10" t="s">
        <v>46</v>
      </c>
      <c r="N215" s="10"/>
      <c r="O215" s="4"/>
      <c r="P215" s="4"/>
      <c r="Q215" s="18" t="s">
        <v>433</v>
      </c>
    </row>
    <row r="216" spans="1:17" ht="15">
      <c r="A216" s="4" t="str">
        <f t="shared" si="3"/>
        <v>215</v>
      </c>
      <c r="B216" s="1" t="s">
        <v>33</v>
      </c>
      <c r="C216" s="6" t="s">
        <v>42</v>
      </c>
      <c r="D216" s="15" t="s">
        <v>686</v>
      </c>
      <c r="E216" s="6">
        <v>103</v>
      </c>
      <c r="F216" s="4"/>
      <c r="G216" s="6">
        <v>103</v>
      </c>
      <c r="H216" s="4"/>
      <c r="I216" s="9"/>
      <c r="J216" s="4"/>
      <c r="K216" s="4"/>
      <c r="L216" s="10"/>
      <c r="M216" s="10" t="s">
        <v>46</v>
      </c>
      <c r="N216" s="10"/>
      <c r="O216" s="4"/>
      <c r="P216" s="4"/>
      <c r="Q216" s="18" t="s">
        <v>434</v>
      </c>
    </row>
    <row r="217" spans="1:17" ht="15">
      <c r="A217" s="4" t="str">
        <f t="shared" si="3"/>
        <v>216</v>
      </c>
      <c r="B217" s="1" t="s">
        <v>33</v>
      </c>
      <c r="C217" s="6" t="s">
        <v>42</v>
      </c>
      <c r="D217" s="15" t="s">
        <v>686</v>
      </c>
      <c r="E217" s="6">
        <v>104</v>
      </c>
      <c r="F217" s="4"/>
      <c r="G217" s="6">
        <v>104</v>
      </c>
      <c r="H217" s="4"/>
      <c r="I217" s="9"/>
      <c r="J217" s="4"/>
      <c r="K217" s="4"/>
      <c r="L217" s="10"/>
      <c r="M217" s="10" t="s">
        <v>46</v>
      </c>
      <c r="N217" s="10"/>
      <c r="O217" s="4"/>
      <c r="P217" s="4"/>
      <c r="Q217" s="18" t="s">
        <v>435</v>
      </c>
    </row>
    <row r="218" spans="1:17" ht="15">
      <c r="A218" s="4" t="str">
        <f t="shared" si="3"/>
        <v>217</v>
      </c>
      <c r="B218" s="1" t="s">
        <v>33</v>
      </c>
      <c r="C218" s="6" t="s">
        <v>42</v>
      </c>
      <c r="D218" s="15" t="s">
        <v>686</v>
      </c>
      <c r="E218" s="6">
        <v>201</v>
      </c>
      <c r="F218" s="4"/>
      <c r="G218" s="6">
        <v>201</v>
      </c>
      <c r="H218" s="4"/>
      <c r="I218" s="9"/>
      <c r="J218" s="4"/>
      <c r="K218" s="4"/>
      <c r="L218" s="10"/>
      <c r="M218" s="10" t="s">
        <v>46</v>
      </c>
      <c r="N218" s="10"/>
      <c r="O218" s="4"/>
      <c r="P218" s="4"/>
      <c r="Q218" s="18" t="s">
        <v>436</v>
      </c>
    </row>
    <row r="219" spans="1:17" ht="15">
      <c r="A219" s="4" t="str">
        <f t="shared" si="3"/>
        <v>218</v>
      </c>
      <c r="B219" s="1" t="s">
        <v>33</v>
      </c>
      <c r="C219" s="6" t="s">
        <v>42</v>
      </c>
      <c r="D219" s="15" t="s">
        <v>686</v>
      </c>
      <c r="E219" s="6">
        <v>202</v>
      </c>
      <c r="F219" s="4"/>
      <c r="G219" s="6">
        <v>202</v>
      </c>
      <c r="H219" s="4"/>
      <c r="I219" s="9"/>
      <c r="J219" s="4"/>
      <c r="K219" s="4"/>
      <c r="L219" s="10"/>
      <c r="M219" s="10" t="s">
        <v>46</v>
      </c>
      <c r="N219" s="10"/>
      <c r="O219" s="4"/>
      <c r="P219" s="4"/>
      <c r="Q219" s="18" t="s">
        <v>437</v>
      </c>
    </row>
    <row r="220" spans="1:17" ht="15">
      <c r="A220" s="4" t="str">
        <f t="shared" si="3"/>
        <v>219</v>
      </c>
      <c r="B220" s="1" t="s">
        <v>33</v>
      </c>
      <c r="C220" s="6" t="s">
        <v>42</v>
      </c>
      <c r="D220" s="15" t="s">
        <v>686</v>
      </c>
      <c r="E220" s="6">
        <v>203</v>
      </c>
      <c r="F220" s="4"/>
      <c r="G220" s="6">
        <v>203</v>
      </c>
      <c r="H220" s="4"/>
      <c r="I220" s="9"/>
      <c r="J220" s="4"/>
      <c r="K220" s="4"/>
      <c r="L220" s="10"/>
      <c r="M220" s="10" t="s">
        <v>46</v>
      </c>
      <c r="N220" s="10"/>
      <c r="O220" s="4"/>
      <c r="P220" s="4"/>
      <c r="Q220" s="18" t="s">
        <v>438</v>
      </c>
    </row>
    <row r="221" spans="1:17" ht="15">
      <c r="A221" s="4" t="str">
        <f t="shared" si="3"/>
        <v>220</v>
      </c>
      <c r="B221" s="1" t="s">
        <v>33</v>
      </c>
      <c r="C221" s="6" t="s">
        <v>42</v>
      </c>
      <c r="D221" s="15" t="s">
        <v>686</v>
      </c>
      <c r="E221" s="6">
        <v>204</v>
      </c>
      <c r="F221" s="4"/>
      <c r="G221" s="6">
        <v>204</v>
      </c>
      <c r="H221" s="4"/>
      <c r="I221" s="9"/>
      <c r="J221" s="4"/>
      <c r="K221" s="4"/>
      <c r="L221" s="10"/>
      <c r="M221" s="10" t="s">
        <v>46</v>
      </c>
      <c r="N221" s="10"/>
      <c r="O221" s="4"/>
      <c r="P221" s="4"/>
      <c r="Q221" s="18" t="s">
        <v>439</v>
      </c>
    </row>
    <row r="222" spans="1:17" ht="15">
      <c r="A222" s="4" t="str">
        <f t="shared" si="3"/>
        <v>221</v>
      </c>
      <c r="B222" s="1" t="s">
        <v>33</v>
      </c>
      <c r="C222" s="6" t="s">
        <v>42</v>
      </c>
      <c r="D222" s="15" t="s">
        <v>686</v>
      </c>
      <c r="E222" s="6">
        <v>301</v>
      </c>
      <c r="F222" s="4"/>
      <c r="G222" s="6">
        <v>301</v>
      </c>
      <c r="H222" s="4"/>
      <c r="I222" s="9"/>
      <c r="J222" s="4"/>
      <c r="K222" s="4"/>
      <c r="L222" s="10"/>
      <c r="M222" s="10" t="s">
        <v>46</v>
      </c>
      <c r="N222" s="10"/>
      <c r="O222" s="4"/>
      <c r="P222" s="4"/>
      <c r="Q222" s="18" t="s">
        <v>440</v>
      </c>
    </row>
    <row r="223" spans="1:17" ht="15">
      <c r="A223" s="4" t="str">
        <f t="shared" si="3"/>
        <v>222</v>
      </c>
      <c r="B223" s="1" t="s">
        <v>33</v>
      </c>
      <c r="C223" s="6" t="s">
        <v>42</v>
      </c>
      <c r="D223" s="15" t="s">
        <v>686</v>
      </c>
      <c r="E223" s="6">
        <v>302</v>
      </c>
      <c r="F223" s="4"/>
      <c r="G223" s="6">
        <v>302</v>
      </c>
      <c r="H223" s="4"/>
      <c r="I223" s="9"/>
      <c r="J223" s="4"/>
      <c r="K223" s="4"/>
      <c r="L223" s="10"/>
      <c r="M223" s="10" t="s">
        <v>46</v>
      </c>
      <c r="N223" s="10"/>
      <c r="O223" s="4"/>
      <c r="P223" s="4"/>
      <c r="Q223" s="18" t="s">
        <v>441</v>
      </c>
    </row>
    <row r="224" spans="1:17" ht="15">
      <c r="A224" s="4" t="str">
        <f t="shared" si="3"/>
        <v>223</v>
      </c>
      <c r="B224" s="1" t="s">
        <v>33</v>
      </c>
      <c r="C224" s="6" t="s">
        <v>42</v>
      </c>
      <c r="D224" s="15" t="s">
        <v>686</v>
      </c>
      <c r="E224" s="6">
        <v>303</v>
      </c>
      <c r="F224" s="4"/>
      <c r="G224" s="6">
        <v>303</v>
      </c>
      <c r="H224" s="4"/>
      <c r="I224" s="9"/>
      <c r="J224" s="4"/>
      <c r="K224" s="4"/>
      <c r="L224" s="10"/>
      <c r="M224" s="10" t="s">
        <v>46</v>
      </c>
      <c r="N224" s="10"/>
      <c r="O224" s="4"/>
      <c r="P224" s="4"/>
      <c r="Q224" s="18" t="s">
        <v>442</v>
      </c>
    </row>
    <row r="225" spans="1:17" ht="15">
      <c r="A225" s="4" t="str">
        <f t="shared" si="3"/>
        <v>224</v>
      </c>
      <c r="B225" s="1" t="s">
        <v>33</v>
      </c>
      <c r="C225" s="6" t="s">
        <v>42</v>
      </c>
      <c r="D225" s="15" t="s">
        <v>686</v>
      </c>
      <c r="E225" s="6">
        <v>304</v>
      </c>
      <c r="F225" s="4"/>
      <c r="G225" s="6">
        <v>304</v>
      </c>
      <c r="H225" s="4"/>
      <c r="I225" s="9"/>
      <c r="J225" s="4"/>
      <c r="K225" s="4"/>
      <c r="L225" s="10"/>
      <c r="M225" s="10" t="s">
        <v>46</v>
      </c>
      <c r="N225" s="10"/>
      <c r="O225" s="4"/>
      <c r="P225" s="4"/>
      <c r="Q225" s="18" t="s">
        <v>443</v>
      </c>
    </row>
    <row r="226" spans="1:17" ht="15">
      <c r="A226" s="4" t="str">
        <f t="shared" si="3"/>
        <v>225</v>
      </c>
      <c r="B226" s="1" t="s">
        <v>33</v>
      </c>
      <c r="C226" s="6" t="s">
        <v>42</v>
      </c>
      <c r="D226" s="15" t="s">
        <v>686</v>
      </c>
      <c r="E226" s="6">
        <v>401</v>
      </c>
      <c r="F226" s="4"/>
      <c r="G226" s="6">
        <v>401</v>
      </c>
      <c r="H226" s="4"/>
      <c r="I226" s="9"/>
      <c r="J226" s="4"/>
      <c r="K226" s="4"/>
      <c r="L226" s="10"/>
      <c r="M226" s="10" t="s">
        <v>46</v>
      </c>
      <c r="N226" s="10"/>
      <c r="O226" s="4"/>
      <c r="P226" s="4"/>
      <c r="Q226" s="18" t="s">
        <v>444</v>
      </c>
    </row>
    <row r="227" spans="1:17" ht="15">
      <c r="A227" s="4" t="str">
        <f t="shared" si="3"/>
        <v>226</v>
      </c>
      <c r="B227" s="1" t="s">
        <v>33</v>
      </c>
      <c r="C227" s="6" t="s">
        <v>42</v>
      </c>
      <c r="D227" s="15" t="s">
        <v>686</v>
      </c>
      <c r="E227" s="6">
        <v>402</v>
      </c>
      <c r="F227" s="4"/>
      <c r="G227" s="6">
        <v>402</v>
      </c>
      <c r="H227" s="4"/>
      <c r="I227" s="9"/>
      <c r="J227" s="4"/>
      <c r="K227" s="4"/>
      <c r="L227" s="10"/>
      <c r="M227" s="10" t="s">
        <v>46</v>
      </c>
      <c r="N227" s="10"/>
      <c r="O227" s="4"/>
      <c r="P227" s="4"/>
      <c r="Q227" s="18" t="s">
        <v>445</v>
      </c>
    </row>
    <row r="228" spans="1:17" ht="15">
      <c r="A228" s="4" t="str">
        <f t="shared" si="3"/>
        <v>227</v>
      </c>
      <c r="B228" s="1" t="s">
        <v>33</v>
      </c>
      <c r="C228" s="6" t="s">
        <v>42</v>
      </c>
      <c r="D228" s="15" t="s">
        <v>686</v>
      </c>
      <c r="E228" s="6">
        <v>403</v>
      </c>
      <c r="F228" s="4"/>
      <c r="G228" s="6">
        <v>403</v>
      </c>
      <c r="H228" s="4"/>
      <c r="I228" s="9"/>
      <c r="J228" s="4"/>
      <c r="K228" s="4"/>
      <c r="L228" s="10"/>
      <c r="M228" s="10" t="s">
        <v>46</v>
      </c>
      <c r="N228" s="10"/>
      <c r="O228" s="4"/>
      <c r="P228" s="4"/>
      <c r="Q228" s="18" t="s">
        <v>446</v>
      </c>
    </row>
    <row r="229" spans="1:17" ht="15">
      <c r="A229" s="4" t="str">
        <f t="shared" si="3"/>
        <v>228</v>
      </c>
      <c r="B229" s="1" t="s">
        <v>33</v>
      </c>
      <c r="C229" s="6" t="s">
        <v>42</v>
      </c>
      <c r="D229" s="15" t="s">
        <v>686</v>
      </c>
      <c r="E229" s="6">
        <v>404</v>
      </c>
      <c r="F229" s="4"/>
      <c r="G229" s="6">
        <v>404</v>
      </c>
      <c r="H229" s="4"/>
      <c r="I229" s="9"/>
      <c r="J229" s="4"/>
      <c r="K229" s="4"/>
      <c r="L229" s="10"/>
      <c r="M229" s="10" t="s">
        <v>46</v>
      </c>
      <c r="N229" s="10"/>
      <c r="O229" s="4"/>
      <c r="P229" s="4"/>
      <c r="Q229" s="18" t="s">
        <v>447</v>
      </c>
    </row>
    <row r="230" spans="1:17" ht="15">
      <c r="A230" s="4" t="str">
        <f t="shared" si="3"/>
        <v>229</v>
      </c>
      <c r="B230" s="1" t="s">
        <v>33</v>
      </c>
      <c r="C230" s="6" t="s">
        <v>42</v>
      </c>
      <c r="D230" s="15" t="s">
        <v>686</v>
      </c>
      <c r="E230" s="6">
        <v>501</v>
      </c>
      <c r="F230" s="4"/>
      <c r="G230" s="6">
        <v>501</v>
      </c>
      <c r="H230" s="4"/>
      <c r="I230" s="9"/>
      <c r="J230" s="4"/>
      <c r="K230" s="4"/>
      <c r="L230" s="10"/>
      <c r="M230" s="10" t="s">
        <v>46</v>
      </c>
      <c r="N230" s="10"/>
      <c r="O230" s="4"/>
      <c r="P230" s="4"/>
      <c r="Q230" s="18" t="s">
        <v>448</v>
      </c>
    </row>
    <row r="231" spans="1:17" ht="15">
      <c r="A231" s="4" t="str">
        <f t="shared" si="3"/>
        <v>230</v>
      </c>
      <c r="B231" s="1" t="s">
        <v>33</v>
      </c>
      <c r="C231" s="6" t="s">
        <v>42</v>
      </c>
      <c r="D231" s="15" t="s">
        <v>686</v>
      </c>
      <c r="E231" s="6">
        <v>502</v>
      </c>
      <c r="F231" s="4"/>
      <c r="G231" s="6">
        <v>502</v>
      </c>
      <c r="H231" s="4"/>
      <c r="I231" s="9"/>
      <c r="J231" s="4"/>
      <c r="K231" s="4"/>
      <c r="L231" s="10"/>
      <c r="M231" s="10" t="s">
        <v>46</v>
      </c>
      <c r="N231" s="10"/>
      <c r="O231" s="4"/>
      <c r="P231" s="4"/>
      <c r="Q231" s="18" t="s">
        <v>449</v>
      </c>
    </row>
    <row r="232" spans="1:17" ht="15">
      <c r="A232" s="4" t="str">
        <f t="shared" si="3"/>
        <v>231</v>
      </c>
      <c r="B232" s="1" t="s">
        <v>33</v>
      </c>
      <c r="C232" s="6" t="s">
        <v>42</v>
      </c>
      <c r="D232" s="15" t="s">
        <v>686</v>
      </c>
      <c r="E232" s="6">
        <v>503</v>
      </c>
      <c r="F232" s="4"/>
      <c r="G232" s="6">
        <v>503</v>
      </c>
      <c r="H232" s="4"/>
      <c r="I232" s="9"/>
      <c r="J232" s="4"/>
      <c r="K232" s="4"/>
      <c r="L232" s="10"/>
      <c r="M232" s="10" t="s">
        <v>46</v>
      </c>
      <c r="N232" s="10"/>
      <c r="O232" s="4"/>
      <c r="P232" s="4"/>
      <c r="Q232" s="18" t="s">
        <v>450</v>
      </c>
    </row>
    <row r="233" spans="1:17" ht="15">
      <c r="A233" s="4" t="str">
        <f t="shared" si="3"/>
        <v>232</v>
      </c>
      <c r="B233" s="1" t="s">
        <v>33</v>
      </c>
      <c r="C233" s="6" t="s">
        <v>42</v>
      </c>
      <c r="D233" s="15" t="s">
        <v>686</v>
      </c>
      <c r="E233" s="6">
        <v>504</v>
      </c>
      <c r="F233" s="4"/>
      <c r="G233" s="6">
        <v>504</v>
      </c>
      <c r="H233" s="4"/>
      <c r="I233" s="9"/>
      <c r="J233" s="4"/>
      <c r="K233" s="4"/>
      <c r="L233" s="10"/>
      <c r="M233" s="10" t="s">
        <v>46</v>
      </c>
      <c r="N233" s="10"/>
      <c r="O233" s="4"/>
      <c r="P233" s="4"/>
      <c r="Q233" s="18" t="s">
        <v>451</v>
      </c>
    </row>
    <row r="234" spans="1:17" ht="15">
      <c r="A234" s="4" t="str">
        <f t="shared" si="3"/>
        <v>233</v>
      </c>
      <c r="B234" s="1" t="s">
        <v>33</v>
      </c>
      <c r="C234" s="6" t="s">
        <v>42</v>
      </c>
      <c r="D234" s="15" t="s">
        <v>687</v>
      </c>
      <c r="E234" s="6">
        <v>101</v>
      </c>
      <c r="F234" s="4"/>
      <c r="G234" s="6">
        <v>101</v>
      </c>
      <c r="H234" s="4"/>
      <c r="I234" s="9"/>
      <c r="J234" s="4"/>
      <c r="K234" s="4"/>
      <c r="L234" s="10"/>
      <c r="M234" s="10" t="s">
        <v>46</v>
      </c>
      <c r="N234" s="10"/>
      <c r="O234" s="4"/>
      <c r="P234" s="4"/>
      <c r="Q234" s="18" t="s">
        <v>307</v>
      </c>
    </row>
    <row r="235" spans="1:17" ht="15">
      <c r="A235" s="4" t="str">
        <f t="shared" si="3"/>
        <v>234</v>
      </c>
      <c r="B235" s="1" t="s">
        <v>33</v>
      </c>
      <c r="C235" s="6" t="s">
        <v>42</v>
      </c>
      <c r="D235" s="15" t="s">
        <v>687</v>
      </c>
      <c r="E235" s="6">
        <v>102</v>
      </c>
      <c r="F235" s="4"/>
      <c r="G235" s="6">
        <v>102</v>
      </c>
      <c r="H235" s="4"/>
      <c r="I235" s="9"/>
      <c r="J235" s="4"/>
      <c r="K235" s="4"/>
      <c r="L235" s="10"/>
      <c r="M235" s="10" t="s">
        <v>46</v>
      </c>
      <c r="N235" s="10"/>
      <c r="O235" s="4"/>
      <c r="P235" s="4"/>
      <c r="Q235" s="18" t="s">
        <v>308</v>
      </c>
    </row>
    <row r="236" spans="1:17" ht="15">
      <c r="A236" s="4" t="str">
        <f t="shared" si="3"/>
        <v>235</v>
      </c>
      <c r="B236" s="1" t="s">
        <v>33</v>
      </c>
      <c r="C236" s="6" t="s">
        <v>42</v>
      </c>
      <c r="D236" s="15" t="s">
        <v>687</v>
      </c>
      <c r="E236" s="6">
        <v>103</v>
      </c>
      <c r="F236" s="4"/>
      <c r="G236" s="6">
        <v>103</v>
      </c>
      <c r="H236" s="4"/>
      <c r="I236" s="9"/>
      <c r="J236" s="4"/>
      <c r="K236" s="4"/>
      <c r="L236" s="10"/>
      <c r="M236" s="10" t="s">
        <v>46</v>
      </c>
      <c r="N236" s="10"/>
      <c r="O236" s="4"/>
      <c r="P236" s="4"/>
      <c r="Q236" s="18" t="s">
        <v>309</v>
      </c>
    </row>
    <row r="237" spans="1:17" ht="15">
      <c r="A237" s="4" t="str">
        <f t="shared" si="3"/>
        <v>236</v>
      </c>
      <c r="B237" s="1" t="s">
        <v>33</v>
      </c>
      <c r="C237" s="6" t="s">
        <v>42</v>
      </c>
      <c r="D237" s="15" t="s">
        <v>687</v>
      </c>
      <c r="E237" s="6">
        <v>104</v>
      </c>
      <c r="F237" s="4"/>
      <c r="G237" s="6">
        <v>104</v>
      </c>
      <c r="H237" s="4"/>
      <c r="I237" s="9"/>
      <c r="J237" s="4"/>
      <c r="K237" s="4"/>
      <c r="L237" s="10"/>
      <c r="M237" s="10" t="s">
        <v>46</v>
      </c>
      <c r="N237" s="10"/>
      <c r="O237" s="4"/>
      <c r="P237" s="4"/>
      <c r="Q237" s="18" t="s">
        <v>310</v>
      </c>
    </row>
    <row r="238" spans="1:17" ht="15">
      <c r="A238" s="4" t="str">
        <f t="shared" si="3"/>
        <v>237</v>
      </c>
      <c r="B238" s="1" t="s">
        <v>33</v>
      </c>
      <c r="C238" s="6" t="s">
        <v>42</v>
      </c>
      <c r="D238" s="15" t="s">
        <v>687</v>
      </c>
      <c r="E238" s="6">
        <v>201</v>
      </c>
      <c r="F238" s="4"/>
      <c r="G238" s="6">
        <v>201</v>
      </c>
      <c r="H238" s="4"/>
      <c r="I238" s="9"/>
      <c r="J238" s="4"/>
      <c r="K238" s="4"/>
      <c r="L238" s="10"/>
      <c r="M238" s="10" t="s">
        <v>46</v>
      </c>
      <c r="N238" s="10"/>
      <c r="O238" s="4"/>
      <c r="P238" s="4"/>
      <c r="Q238" s="18" t="s">
        <v>303</v>
      </c>
    </row>
    <row r="239" spans="1:17" ht="15">
      <c r="A239" s="4" t="str">
        <f t="shared" si="3"/>
        <v>238</v>
      </c>
      <c r="B239" s="1" t="s">
        <v>33</v>
      </c>
      <c r="C239" s="6" t="s">
        <v>42</v>
      </c>
      <c r="D239" s="15" t="s">
        <v>687</v>
      </c>
      <c r="E239" s="6">
        <v>202</v>
      </c>
      <c r="F239" s="4"/>
      <c r="G239" s="6">
        <v>202</v>
      </c>
      <c r="H239" s="4"/>
      <c r="I239" s="9"/>
      <c r="J239" s="4"/>
      <c r="K239" s="4"/>
      <c r="L239" s="10"/>
      <c r="M239" s="10" t="s">
        <v>46</v>
      </c>
      <c r="N239" s="10"/>
      <c r="O239" s="4"/>
      <c r="P239" s="4"/>
      <c r="Q239" s="18" t="s">
        <v>304</v>
      </c>
    </row>
    <row r="240" spans="1:17" ht="15">
      <c r="A240" s="4" t="str">
        <f t="shared" si="3"/>
        <v>239</v>
      </c>
      <c r="B240" s="1" t="s">
        <v>33</v>
      </c>
      <c r="C240" s="6" t="s">
        <v>42</v>
      </c>
      <c r="D240" s="15" t="s">
        <v>687</v>
      </c>
      <c r="E240" s="6">
        <v>203</v>
      </c>
      <c r="F240" s="4"/>
      <c r="G240" s="6">
        <v>203</v>
      </c>
      <c r="H240" s="4"/>
      <c r="I240" s="9"/>
      <c r="J240" s="4"/>
      <c r="K240" s="4"/>
      <c r="L240" s="10"/>
      <c r="M240" s="10" t="s">
        <v>46</v>
      </c>
      <c r="N240" s="10"/>
      <c r="O240" s="4"/>
      <c r="P240" s="4"/>
      <c r="Q240" s="18" t="s">
        <v>305</v>
      </c>
    </row>
    <row r="241" spans="1:17" ht="15">
      <c r="A241" s="4" t="str">
        <f t="shared" si="3"/>
        <v>240</v>
      </c>
      <c r="B241" s="1" t="s">
        <v>33</v>
      </c>
      <c r="C241" s="6" t="s">
        <v>42</v>
      </c>
      <c r="D241" s="15" t="s">
        <v>687</v>
      </c>
      <c r="E241" s="6">
        <v>204</v>
      </c>
      <c r="F241" s="4"/>
      <c r="G241" s="6">
        <v>204</v>
      </c>
      <c r="H241" s="4"/>
      <c r="I241" s="9"/>
      <c r="J241" s="4"/>
      <c r="K241" s="4"/>
      <c r="L241" s="10"/>
      <c r="M241" s="10" t="s">
        <v>46</v>
      </c>
      <c r="N241" s="10"/>
      <c r="O241" s="4"/>
      <c r="P241" s="4"/>
      <c r="Q241" s="18" t="s">
        <v>306</v>
      </c>
    </row>
    <row r="242" spans="1:17" ht="15">
      <c r="A242" s="4" t="str">
        <f t="shared" si="3"/>
        <v>241</v>
      </c>
      <c r="B242" s="1" t="s">
        <v>33</v>
      </c>
      <c r="C242" s="6" t="s">
        <v>42</v>
      </c>
      <c r="D242" s="15" t="s">
        <v>687</v>
      </c>
      <c r="E242" s="6">
        <v>301</v>
      </c>
      <c r="F242" s="4"/>
      <c r="G242" s="6">
        <v>301</v>
      </c>
      <c r="H242" s="4"/>
      <c r="I242" s="9"/>
      <c r="J242" s="4"/>
      <c r="K242" s="4"/>
      <c r="L242" s="10"/>
      <c r="M242" s="10" t="s">
        <v>46</v>
      </c>
      <c r="N242" s="10"/>
      <c r="O242" s="4"/>
      <c r="P242" s="4"/>
      <c r="Q242" s="18" t="s">
        <v>299</v>
      </c>
    </row>
    <row r="243" spans="1:17" ht="15">
      <c r="A243" s="4" t="str">
        <f t="shared" si="3"/>
        <v>242</v>
      </c>
      <c r="B243" s="1" t="s">
        <v>33</v>
      </c>
      <c r="C243" s="6" t="s">
        <v>42</v>
      </c>
      <c r="D243" s="15" t="s">
        <v>687</v>
      </c>
      <c r="E243" s="6">
        <v>302</v>
      </c>
      <c r="F243" s="4"/>
      <c r="G243" s="6">
        <v>302</v>
      </c>
      <c r="H243" s="4"/>
      <c r="I243" s="9"/>
      <c r="J243" s="4"/>
      <c r="K243" s="4"/>
      <c r="L243" s="10"/>
      <c r="M243" s="10" t="s">
        <v>46</v>
      </c>
      <c r="N243" s="10"/>
      <c r="O243" s="4"/>
      <c r="P243" s="4"/>
      <c r="Q243" s="18" t="s">
        <v>300</v>
      </c>
    </row>
    <row r="244" spans="1:17" ht="15">
      <c r="A244" s="4" t="str">
        <f t="shared" si="3"/>
        <v>243</v>
      </c>
      <c r="B244" s="1" t="s">
        <v>33</v>
      </c>
      <c r="C244" s="6" t="s">
        <v>42</v>
      </c>
      <c r="D244" s="15" t="s">
        <v>687</v>
      </c>
      <c r="E244" s="6">
        <v>303</v>
      </c>
      <c r="F244" s="4"/>
      <c r="G244" s="6">
        <v>303</v>
      </c>
      <c r="H244" s="4"/>
      <c r="I244" s="9"/>
      <c r="J244" s="4"/>
      <c r="K244" s="4"/>
      <c r="L244" s="10"/>
      <c r="M244" s="10" t="s">
        <v>46</v>
      </c>
      <c r="N244" s="10"/>
      <c r="O244" s="4"/>
      <c r="P244" s="4"/>
      <c r="Q244" s="18" t="s">
        <v>301</v>
      </c>
    </row>
    <row r="245" spans="1:17" ht="15">
      <c r="A245" s="4" t="str">
        <f t="shared" si="3"/>
        <v>244</v>
      </c>
      <c r="B245" s="1" t="s">
        <v>33</v>
      </c>
      <c r="C245" s="6" t="s">
        <v>42</v>
      </c>
      <c r="D245" s="15" t="s">
        <v>687</v>
      </c>
      <c r="E245" s="6">
        <v>304</v>
      </c>
      <c r="F245" s="4"/>
      <c r="G245" s="6">
        <v>304</v>
      </c>
      <c r="H245" s="4"/>
      <c r="I245" s="9"/>
      <c r="J245" s="4"/>
      <c r="K245" s="4"/>
      <c r="L245" s="10"/>
      <c r="M245" s="10" t="s">
        <v>46</v>
      </c>
      <c r="N245" s="10"/>
      <c r="O245" s="4"/>
      <c r="P245" s="4"/>
      <c r="Q245" s="18" t="s">
        <v>302</v>
      </c>
    </row>
    <row r="246" spans="1:17" ht="15">
      <c r="A246" s="4" t="str">
        <f t="shared" si="3"/>
        <v>245</v>
      </c>
      <c r="B246" s="1" t="s">
        <v>33</v>
      </c>
      <c r="C246" s="6" t="s">
        <v>42</v>
      </c>
      <c r="D246" s="15" t="s">
        <v>687</v>
      </c>
      <c r="E246" s="6">
        <v>401</v>
      </c>
      <c r="F246" s="4"/>
      <c r="G246" s="6">
        <v>401</v>
      </c>
      <c r="H246" s="4"/>
      <c r="I246" s="9"/>
      <c r="J246" s="4"/>
      <c r="K246" s="4"/>
      <c r="L246" s="10"/>
      <c r="M246" s="10" t="s">
        <v>46</v>
      </c>
      <c r="N246" s="10"/>
      <c r="O246" s="4"/>
      <c r="P246" s="4"/>
      <c r="Q246" s="18" t="s">
        <v>296</v>
      </c>
    </row>
    <row r="247" spans="1:17" ht="15">
      <c r="A247" s="4" t="str">
        <f t="shared" si="3"/>
        <v>246</v>
      </c>
      <c r="B247" s="1" t="s">
        <v>33</v>
      </c>
      <c r="C247" s="6" t="s">
        <v>42</v>
      </c>
      <c r="D247" s="15" t="s">
        <v>687</v>
      </c>
      <c r="E247" s="6">
        <v>402</v>
      </c>
      <c r="F247" s="4"/>
      <c r="G247" s="6">
        <v>402</v>
      </c>
      <c r="H247" s="4"/>
      <c r="I247" s="9"/>
      <c r="J247" s="4"/>
      <c r="K247" s="4"/>
      <c r="L247" s="10"/>
      <c r="M247" s="10" t="s">
        <v>46</v>
      </c>
      <c r="N247" s="10"/>
      <c r="O247" s="4"/>
      <c r="P247" s="4"/>
      <c r="Q247" s="18" t="s">
        <v>297</v>
      </c>
    </row>
    <row r="248" spans="1:17" ht="15">
      <c r="A248" s="4" t="str">
        <f t="shared" si="3"/>
        <v>247</v>
      </c>
      <c r="B248" s="1" t="s">
        <v>33</v>
      </c>
      <c r="C248" s="6" t="s">
        <v>42</v>
      </c>
      <c r="D248" s="15" t="s">
        <v>687</v>
      </c>
      <c r="E248" s="6">
        <v>403</v>
      </c>
      <c r="F248" s="4"/>
      <c r="G248" s="6">
        <v>403</v>
      </c>
      <c r="H248" s="4"/>
      <c r="I248" s="9"/>
      <c r="J248" s="4"/>
      <c r="K248" s="4"/>
      <c r="L248" s="10"/>
      <c r="M248" s="10" t="s">
        <v>46</v>
      </c>
      <c r="N248" s="10"/>
      <c r="O248" s="4"/>
      <c r="P248" s="4"/>
      <c r="Q248" s="18" t="s">
        <v>393</v>
      </c>
    </row>
    <row r="249" spans="1:17" ht="15">
      <c r="A249" s="4" t="str">
        <f t="shared" si="3"/>
        <v>248</v>
      </c>
      <c r="B249" s="1" t="s">
        <v>33</v>
      </c>
      <c r="C249" s="6" t="s">
        <v>42</v>
      </c>
      <c r="D249" s="15" t="s">
        <v>687</v>
      </c>
      <c r="E249" s="6">
        <v>404</v>
      </c>
      <c r="F249" s="4"/>
      <c r="G249" s="6">
        <v>404</v>
      </c>
      <c r="H249" s="4"/>
      <c r="I249" s="9"/>
      <c r="J249" s="4"/>
      <c r="K249" s="4"/>
      <c r="L249" s="10"/>
      <c r="M249" s="10" t="s">
        <v>46</v>
      </c>
      <c r="N249" s="10"/>
      <c r="O249" s="4"/>
      <c r="P249" s="4"/>
      <c r="Q249" s="18" t="s">
        <v>298</v>
      </c>
    </row>
    <row r="250" spans="1:17" ht="15">
      <c r="A250" s="4" t="str">
        <f t="shared" si="3"/>
        <v>249</v>
      </c>
      <c r="B250" s="1" t="s">
        <v>33</v>
      </c>
      <c r="C250" s="6" t="s">
        <v>42</v>
      </c>
      <c r="D250" s="15" t="s">
        <v>687</v>
      </c>
      <c r="E250" s="6">
        <v>501</v>
      </c>
      <c r="F250" s="4"/>
      <c r="G250" s="6">
        <v>501</v>
      </c>
      <c r="H250" s="4"/>
      <c r="I250" s="9"/>
      <c r="J250" s="4"/>
      <c r="K250" s="4"/>
      <c r="L250" s="10"/>
      <c r="M250" s="10" t="s">
        <v>46</v>
      </c>
      <c r="N250" s="10"/>
      <c r="O250" s="4"/>
      <c r="P250" s="4"/>
      <c r="Q250" s="18" t="s">
        <v>292</v>
      </c>
    </row>
    <row r="251" spans="1:17" ht="15">
      <c r="A251" s="4" t="str">
        <f t="shared" si="3"/>
        <v>250</v>
      </c>
      <c r="B251" s="1" t="s">
        <v>33</v>
      </c>
      <c r="C251" s="6" t="s">
        <v>42</v>
      </c>
      <c r="D251" s="15" t="s">
        <v>687</v>
      </c>
      <c r="E251" s="6">
        <v>502</v>
      </c>
      <c r="F251" s="4"/>
      <c r="G251" s="6">
        <v>502</v>
      </c>
      <c r="H251" s="4"/>
      <c r="I251" s="9"/>
      <c r="J251" s="4"/>
      <c r="K251" s="4"/>
      <c r="L251" s="10"/>
      <c r="M251" s="10" t="s">
        <v>46</v>
      </c>
      <c r="N251" s="10"/>
      <c r="O251" s="4"/>
      <c r="P251" s="4"/>
      <c r="Q251" s="18" t="s">
        <v>293</v>
      </c>
    </row>
    <row r="252" spans="1:17" ht="15">
      <c r="A252" s="4" t="str">
        <f t="shared" si="3"/>
        <v>251</v>
      </c>
      <c r="B252" s="1" t="s">
        <v>33</v>
      </c>
      <c r="C252" s="6" t="s">
        <v>42</v>
      </c>
      <c r="D252" s="15" t="s">
        <v>687</v>
      </c>
      <c r="E252" s="6">
        <v>503</v>
      </c>
      <c r="F252" s="4"/>
      <c r="G252" s="6">
        <v>503</v>
      </c>
      <c r="H252" s="4"/>
      <c r="I252" s="9"/>
      <c r="J252" s="4"/>
      <c r="K252" s="4"/>
      <c r="L252" s="10"/>
      <c r="M252" s="10" t="s">
        <v>46</v>
      </c>
      <c r="N252" s="10"/>
      <c r="O252" s="4"/>
      <c r="P252" s="4"/>
      <c r="Q252" s="18" t="s">
        <v>294</v>
      </c>
    </row>
    <row r="253" spans="1:17" ht="15">
      <c r="A253" s="4" t="str">
        <f t="shared" si="3"/>
        <v>252</v>
      </c>
      <c r="B253" s="1" t="s">
        <v>33</v>
      </c>
      <c r="C253" s="6" t="s">
        <v>42</v>
      </c>
      <c r="D253" s="15" t="s">
        <v>687</v>
      </c>
      <c r="E253" s="6">
        <v>504</v>
      </c>
      <c r="F253" s="4"/>
      <c r="G253" s="6">
        <v>504</v>
      </c>
      <c r="H253" s="4"/>
      <c r="I253" s="9"/>
      <c r="J253" s="4"/>
      <c r="K253" s="4"/>
      <c r="L253" s="10"/>
      <c r="M253" s="10" t="s">
        <v>46</v>
      </c>
      <c r="N253" s="10"/>
      <c r="O253" s="4"/>
      <c r="P253" s="4"/>
      <c r="Q253" s="18" t="s">
        <v>295</v>
      </c>
    </row>
    <row r="254" spans="1:17" ht="15">
      <c r="A254" s="4" t="str">
        <f t="shared" si="3"/>
        <v>253</v>
      </c>
      <c r="B254" s="1" t="s">
        <v>33</v>
      </c>
      <c r="C254" s="6" t="s">
        <v>680</v>
      </c>
      <c r="D254" s="15" t="s">
        <v>686</v>
      </c>
      <c r="E254" s="6">
        <v>601</v>
      </c>
      <c r="F254" s="4"/>
      <c r="G254" s="6">
        <v>601</v>
      </c>
      <c r="H254" s="4"/>
      <c r="I254" s="9"/>
      <c r="J254" s="4"/>
      <c r="K254" s="4"/>
      <c r="L254" s="10"/>
      <c r="M254" s="10" t="s">
        <v>46</v>
      </c>
      <c r="N254" s="10"/>
      <c r="O254" s="4"/>
      <c r="P254" s="4"/>
      <c r="Q254" s="18" t="s">
        <v>452</v>
      </c>
    </row>
    <row r="255" spans="1:17" ht="15">
      <c r="A255" s="4" t="str">
        <f t="shared" si="3"/>
        <v>254</v>
      </c>
      <c r="B255" s="1" t="s">
        <v>33</v>
      </c>
      <c r="C255" s="6" t="s">
        <v>680</v>
      </c>
      <c r="D255" s="15" t="s">
        <v>686</v>
      </c>
      <c r="E255" s="6">
        <v>602</v>
      </c>
      <c r="F255" s="4"/>
      <c r="G255" s="6">
        <v>602</v>
      </c>
      <c r="H255" s="4"/>
      <c r="I255" s="9"/>
      <c r="J255" s="4"/>
      <c r="K255" s="4"/>
      <c r="L255" s="10"/>
      <c r="M255" s="10" t="s">
        <v>46</v>
      </c>
      <c r="N255" s="10"/>
      <c r="O255" s="4"/>
      <c r="P255" s="4"/>
      <c r="Q255" s="18" t="s">
        <v>393</v>
      </c>
    </row>
    <row r="256" spans="1:17" ht="15">
      <c r="A256" s="4" t="str">
        <f t="shared" si="3"/>
        <v>255</v>
      </c>
      <c r="B256" s="1" t="s">
        <v>33</v>
      </c>
      <c r="C256" s="6" t="s">
        <v>680</v>
      </c>
      <c r="D256" s="15" t="s">
        <v>686</v>
      </c>
      <c r="E256" s="6">
        <v>603</v>
      </c>
      <c r="F256" s="4"/>
      <c r="G256" s="6">
        <v>603</v>
      </c>
      <c r="H256" s="4"/>
      <c r="I256" s="9"/>
      <c r="J256" s="4"/>
      <c r="K256" s="4"/>
      <c r="L256" s="10"/>
      <c r="M256" s="10" t="s">
        <v>46</v>
      </c>
      <c r="N256" s="10"/>
      <c r="O256" s="4"/>
      <c r="P256" s="4"/>
      <c r="Q256" s="18" t="s">
        <v>453</v>
      </c>
    </row>
    <row r="257" spans="1:17" ht="15">
      <c r="A257" s="4" t="str">
        <f t="shared" si="3"/>
        <v>256</v>
      </c>
      <c r="B257" s="1" t="s">
        <v>33</v>
      </c>
      <c r="C257" s="6" t="s">
        <v>680</v>
      </c>
      <c r="D257" s="15" t="s">
        <v>686</v>
      </c>
      <c r="E257" s="6">
        <v>604</v>
      </c>
      <c r="F257" s="4"/>
      <c r="G257" s="6">
        <v>604</v>
      </c>
      <c r="H257" s="4"/>
      <c r="I257" s="9"/>
      <c r="J257" s="4"/>
      <c r="K257" s="4"/>
      <c r="L257" s="10"/>
      <c r="M257" s="10" t="s">
        <v>46</v>
      </c>
      <c r="N257" s="10"/>
      <c r="O257" s="4"/>
      <c r="P257" s="4"/>
      <c r="Q257" s="18" t="s">
        <v>454</v>
      </c>
    </row>
    <row r="258" spans="1:17" ht="15">
      <c r="A258" s="4" t="str">
        <f t="shared" si="3"/>
        <v>257</v>
      </c>
      <c r="B258" s="1" t="s">
        <v>33</v>
      </c>
      <c r="C258" s="6" t="s">
        <v>680</v>
      </c>
      <c r="D258" s="15" t="s">
        <v>686</v>
      </c>
      <c r="E258" s="6">
        <v>501</v>
      </c>
      <c r="F258" s="4"/>
      <c r="G258" s="6">
        <v>501</v>
      </c>
      <c r="H258" s="4"/>
      <c r="I258" s="9"/>
      <c r="J258" s="4"/>
      <c r="K258" s="4"/>
      <c r="L258" s="10"/>
      <c r="M258" s="10" t="s">
        <v>46</v>
      </c>
      <c r="N258" s="10"/>
      <c r="O258" s="4"/>
      <c r="P258" s="4"/>
      <c r="Q258" s="18" t="s">
        <v>455</v>
      </c>
    </row>
    <row r="259" spans="1:17" ht="15">
      <c r="A259" s="4" t="str">
        <f t="shared" ref="A259:A322" si="4">TEXT(ROW(A258),"000")</f>
        <v>258</v>
      </c>
      <c r="B259" s="1" t="s">
        <v>33</v>
      </c>
      <c r="C259" s="6" t="s">
        <v>680</v>
      </c>
      <c r="D259" s="15" t="s">
        <v>686</v>
      </c>
      <c r="E259" s="6">
        <v>502</v>
      </c>
      <c r="F259" s="4"/>
      <c r="G259" s="6">
        <v>502</v>
      </c>
      <c r="H259" s="4"/>
      <c r="I259" s="9"/>
      <c r="J259" s="4"/>
      <c r="K259" s="4"/>
      <c r="L259" s="10"/>
      <c r="M259" s="10" t="s">
        <v>46</v>
      </c>
      <c r="N259" s="10"/>
      <c r="O259" s="4"/>
      <c r="P259" s="4"/>
      <c r="Q259" s="18" t="s">
        <v>456</v>
      </c>
    </row>
    <row r="260" spans="1:17" ht="15">
      <c r="A260" s="4" t="str">
        <f t="shared" si="4"/>
        <v>259</v>
      </c>
      <c r="B260" s="1" t="s">
        <v>33</v>
      </c>
      <c r="C260" s="6" t="s">
        <v>680</v>
      </c>
      <c r="D260" s="15" t="s">
        <v>686</v>
      </c>
      <c r="E260" s="6">
        <v>503</v>
      </c>
      <c r="F260" s="4"/>
      <c r="G260" s="6">
        <v>503</v>
      </c>
      <c r="H260" s="4"/>
      <c r="I260" s="9"/>
      <c r="J260" s="4"/>
      <c r="K260" s="4"/>
      <c r="L260" s="10"/>
      <c r="M260" s="10" t="s">
        <v>46</v>
      </c>
      <c r="N260" s="10"/>
      <c r="O260" s="4"/>
      <c r="P260" s="4"/>
      <c r="Q260" s="18" t="s">
        <v>457</v>
      </c>
    </row>
    <row r="261" spans="1:17" ht="15">
      <c r="A261" s="4" t="str">
        <f t="shared" si="4"/>
        <v>260</v>
      </c>
      <c r="B261" s="1" t="s">
        <v>33</v>
      </c>
      <c r="C261" s="6" t="s">
        <v>680</v>
      </c>
      <c r="D261" s="15" t="s">
        <v>686</v>
      </c>
      <c r="E261" s="6">
        <v>504</v>
      </c>
      <c r="F261" s="4"/>
      <c r="G261" s="6">
        <v>504</v>
      </c>
      <c r="H261" s="4"/>
      <c r="I261" s="9"/>
      <c r="J261" s="4"/>
      <c r="K261" s="4"/>
      <c r="L261" s="10"/>
      <c r="M261" s="10" t="s">
        <v>46</v>
      </c>
      <c r="N261" s="10"/>
      <c r="O261" s="4"/>
      <c r="P261" s="4"/>
      <c r="Q261" s="18" t="s">
        <v>458</v>
      </c>
    </row>
    <row r="262" spans="1:17" ht="15">
      <c r="A262" s="4" t="str">
        <f t="shared" si="4"/>
        <v>261</v>
      </c>
      <c r="B262" s="1" t="s">
        <v>33</v>
      </c>
      <c r="C262" s="6" t="s">
        <v>680</v>
      </c>
      <c r="D262" s="15" t="s">
        <v>686</v>
      </c>
      <c r="E262" s="6">
        <v>401</v>
      </c>
      <c r="F262" s="4"/>
      <c r="G262" s="6">
        <v>401</v>
      </c>
      <c r="H262" s="4"/>
      <c r="I262" s="9"/>
      <c r="J262" s="4"/>
      <c r="K262" s="4"/>
      <c r="L262" s="10"/>
      <c r="M262" s="10" t="s">
        <v>46</v>
      </c>
      <c r="N262" s="10"/>
      <c r="O262" s="4"/>
      <c r="P262" s="4"/>
      <c r="Q262" s="18" t="s">
        <v>459</v>
      </c>
    </row>
    <row r="263" spans="1:17" ht="15">
      <c r="A263" s="4" t="str">
        <f t="shared" si="4"/>
        <v>262</v>
      </c>
      <c r="B263" s="1" t="s">
        <v>33</v>
      </c>
      <c r="C263" s="6" t="s">
        <v>680</v>
      </c>
      <c r="D263" s="15" t="s">
        <v>686</v>
      </c>
      <c r="E263" s="6">
        <v>402</v>
      </c>
      <c r="F263" s="4"/>
      <c r="G263" s="6">
        <v>402</v>
      </c>
      <c r="H263" s="4"/>
      <c r="I263" s="9"/>
      <c r="J263" s="4"/>
      <c r="K263" s="4"/>
      <c r="L263" s="10"/>
      <c r="M263" s="10" t="s">
        <v>46</v>
      </c>
      <c r="N263" s="10"/>
      <c r="O263" s="4"/>
      <c r="P263" s="4"/>
      <c r="Q263" s="18" t="s">
        <v>460</v>
      </c>
    </row>
    <row r="264" spans="1:17" ht="15">
      <c r="A264" s="4" t="str">
        <f t="shared" si="4"/>
        <v>263</v>
      </c>
      <c r="B264" s="1" t="s">
        <v>33</v>
      </c>
      <c r="C264" s="6" t="s">
        <v>680</v>
      </c>
      <c r="D264" s="15" t="s">
        <v>686</v>
      </c>
      <c r="E264" s="6">
        <v>403</v>
      </c>
      <c r="F264" s="4"/>
      <c r="G264" s="6">
        <v>403</v>
      </c>
      <c r="H264" s="4"/>
      <c r="I264" s="9"/>
      <c r="J264" s="4"/>
      <c r="K264" s="4"/>
      <c r="L264" s="10"/>
      <c r="M264" s="10" t="s">
        <v>46</v>
      </c>
      <c r="N264" s="10"/>
      <c r="O264" s="4"/>
      <c r="P264" s="4"/>
      <c r="Q264" s="18" t="s">
        <v>461</v>
      </c>
    </row>
    <row r="265" spans="1:17" ht="15">
      <c r="A265" s="4" t="str">
        <f t="shared" si="4"/>
        <v>264</v>
      </c>
      <c r="B265" s="1" t="s">
        <v>33</v>
      </c>
      <c r="C265" s="6" t="s">
        <v>680</v>
      </c>
      <c r="D265" s="15" t="s">
        <v>686</v>
      </c>
      <c r="E265" s="6">
        <v>404</v>
      </c>
      <c r="F265" s="4"/>
      <c r="G265" s="6">
        <v>404</v>
      </c>
      <c r="H265" s="4"/>
      <c r="I265" s="9"/>
      <c r="J265" s="4"/>
      <c r="K265" s="4"/>
      <c r="L265" s="10"/>
      <c r="M265" s="10" t="s">
        <v>46</v>
      </c>
      <c r="N265" s="10"/>
      <c r="O265" s="4"/>
      <c r="P265" s="4"/>
      <c r="Q265" s="18" t="s">
        <v>462</v>
      </c>
    </row>
    <row r="266" spans="1:17" ht="15">
      <c r="A266" s="4" t="str">
        <f t="shared" si="4"/>
        <v>265</v>
      </c>
      <c r="B266" s="1" t="s">
        <v>33</v>
      </c>
      <c r="C266" s="6" t="s">
        <v>680</v>
      </c>
      <c r="D266" s="15" t="s">
        <v>686</v>
      </c>
      <c r="E266" s="6">
        <v>301</v>
      </c>
      <c r="F266" s="4"/>
      <c r="G266" s="6">
        <v>301</v>
      </c>
      <c r="H266" s="4"/>
      <c r="I266" s="9"/>
      <c r="J266" s="4"/>
      <c r="K266" s="4"/>
      <c r="L266" s="10"/>
      <c r="M266" s="10" t="s">
        <v>46</v>
      </c>
      <c r="N266" s="10"/>
      <c r="O266" s="4"/>
      <c r="P266" s="4"/>
      <c r="Q266" s="18" t="s">
        <v>463</v>
      </c>
    </row>
    <row r="267" spans="1:17" ht="15">
      <c r="A267" s="4" t="str">
        <f t="shared" si="4"/>
        <v>266</v>
      </c>
      <c r="B267" s="1" t="s">
        <v>33</v>
      </c>
      <c r="C267" s="6" t="s">
        <v>680</v>
      </c>
      <c r="D267" s="15" t="s">
        <v>686</v>
      </c>
      <c r="E267" s="6">
        <v>302</v>
      </c>
      <c r="F267" s="4"/>
      <c r="G267" s="6">
        <v>302</v>
      </c>
      <c r="H267" s="4"/>
      <c r="I267" s="9"/>
      <c r="J267" s="4"/>
      <c r="K267" s="4"/>
      <c r="L267" s="10"/>
      <c r="M267" s="10" t="s">
        <v>46</v>
      </c>
      <c r="N267" s="10"/>
      <c r="O267" s="4"/>
      <c r="P267" s="4"/>
      <c r="Q267" s="18" t="s">
        <v>464</v>
      </c>
    </row>
    <row r="268" spans="1:17" ht="15">
      <c r="A268" s="4" t="str">
        <f t="shared" si="4"/>
        <v>267</v>
      </c>
      <c r="B268" s="1" t="s">
        <v>33</v>
      </c>
      <c r="C268" s="6" t="s">
        <v>680</v>
      </c>
      <c r="D268" s="15" t="s">
        <v>686</v>
      </c>
      <c r="E268" s="6">
        <v>303</v>
      </c>
      <c r="F268" s="4"/>
      <c r="G268" s="6">
        <v>303</v>
      </c>
      <c r="H268" s="4"/>
      <c r="I268" s="9"/>
      <c r="J268" s="4"/>
      <c r="K268" s="4"/>
      <c r="L268" s="10"/>
      <c r="M268" s="10" t="s">
        <v>46</v>
      </c>
      <c r="N268" s="10"/>
      <c r="O268" s="4"/>
      <c r="P268" s="4"/>
      <c r="Q268" s="18" t="s">
        <v>465</v>
      </c>
    </row>
    <row r="269" spans="1:17" ht="15">
      <c r="A269" s="4" t="str">
        <f t="shared" si="4"/>
        <v>268</v>
      </c>
      <c r="B269" s="1" t="s">
        <v>33</v>
      </c>
      <c r="C269" s="6" t="s">
        <v>680</v>
      </c>
      <c r="D269" s="15" t="s">
        <v>686</v>
      </c>
      <c r="E269" s="6">
        <v>304</v>
      </c>
      <c r="F269" s="4"/>
      <c r="G269" s="6">
        <v>304</v>
      </c>
      <c r="H269" s="4"/>
      <c r="I269" s="9"/>
      <c r="J269" s="4"/>
      <c r="K269" s="4"/>
      <c r="L269" s="10"/>
      <c r="M269" s="10" t="s">
        <v>46</v>
      </c>
      <c r="N269" s="10"/>
      <c r="O269" s="4"/>
      <c r="P269" s="4"/>
      <c r="Q269" s="18" t="s">
        <v>466</v>
      </c>
    </row>
    <row r="270" spans="1:17" ht="15">
      <c r="A270" s="4" t="str">
        <f t="shared" si="4"/>
        <v>269</v>
      </c>
      <c r="B270" s="1" t="s">
        <v>33</v>
      </c>
      <c r="C270" s="6" t="s">
        <v>680</v>
      </c>
      <c r="D270" s="15" t="s">
        <v>686</v>
      </c>
      <c r="E270" s="6">
        <v>201</v>
      </c>
      <c r="F270" s="4"/>
      <c r="G270" s="6">
        <v>201</v>
      </c>
      <c r="H270" s="4"/>
      <c r="I270" s="9"/>
      <c r="J270" s="4"/>
      <c r="K270" s="4"/>
      <c r="L270" s="10"/>
      <c r="M270" s="10" t="s">
        <v>46</v>
      </c>
      <c r="N270" s="10"/>
      <c r="O270" s="4"/>
      <c r="P270" s="4"/>
      <c r="Q270" s="18" t="s">
        <v>467</v>
      </c>
    </row>
    <row r="271" spans="1:17" ht="15">
      <c r="A271" s="4" t="str">
        <f t="shared" si="4"/>
        <v>270</v>
      </c>
      <c r="B271" s="1" t="s">
        <v>33</v>
      </c>
      <c r="C271" s="6" t="s">
        <v>680</v>
      </c>
      <c r="D271" s="15" t="s">
        <v>686</v>
      </c>
      <c r="E271" s="6">
        <v>202</v>
      </c>
      <c r="F271" s="4"/>
      <c r="G271" s="6">
        <v>202</v>
      </c>
      <c r="H271" s="4"/>
      <c r="I271" s="9"/>
      <c r="J271" s="4"/>
      <c r="K271" s="4"/>
      <c r="L271" s="10"/>
      <c r="M271" s="10" t="s">
        <v>46</v>
      </c>
      <c r="N271" s="10"/>
      <c r="O271" s="4"/>
      <c r="P271" s="4"/>
      <c r="Q271" s="18" t="s">
        <v>468</v>
      </c>
    </row>
    <row r="272" spans="1:17" ht="15">
      <c r="A272" s="4" t="str">
        <f t="shared" si="4"/>
        <v>271</v>
      </c>
      <c r="B272" s="1" t="s">
        <v>33</v>
      </c>
      <c r="C272" s="6" t="s">
        <v>680</v>
      </c>
      <c r="D272" s="15" t="s">
        <v>686</v>
      </c>
      <c r="E272" s="6">
        <v>203</v>
      </c>
      <c r="F272" s="4"/>
      <c r="G272" s="6">
        <v>203</v>
      </c>
      <c r="H272" s="4"/>
      <c r="I272" s="9"/>
      <c r="J272" s="4"/>
      <c r="K272" s="4"/>
      <c r="L272" s="10"/>
      <c r="M272" s="10" t="s">
        <v>46</v>
      </c>
      <c r="N272" s="10"/>
      <c r="O272" s="4"/>
      <c r="P272" s="4"/>
      <c r="Q272" s="18" t="s">
        <v>469</v>
      </c>
    </row>
    <row r="273" spans="1:17" ht="15">
      <c r="A273" s="4" t="str">
        <f t="shared" si="4"/>
        <v>272</v>
      </c>
      <c r="B273" s="1" t="s">
        <v>33</v>
      </c>
      <c r="C273" s="6" t="s">
        <v>680</v>
      </c>
      <c r="D273" s="15" t="s">
        <v>686</v>
      </c>
      <c r="E273" s="6">
        <v>204</v>
      </c>
      <c r="F273" s="4"/>
      <c r="G273" s="6">
        <v>204</v>
      </c>
      <c r="H273" s="4"/>
      <c r="I273" s="9"/>
      <c r="J273" s="4"/>
      <c r="K273" s="4"/>
      <c r="L273" s="10"/>
      <c r="M273" s="10" t="s">
        <v>46</v>
      </c>
      <c r="N273" s="10"/>
      <c r="O273" s="4"/>
      <c r="P273" s="4"/>
      <c r="Q273" s="18" t="s">
        <v>470</v>
      </c>
    </row>
    <row r="274" spans="1:17" ht="15">
      <c r="A274" s="4" t="str">
        <f t="shared" si="4"/>
        <v>273</v>
      </c>
      <c r="B274" s="1" t="s">
        <v>33</v>
      </c>
      <c r="C274" s="6" t="s">
        <v>680</v>
      </c>
      <c r="D274" s="15" t="s">
        <v>686</v>
      </c>
      <c r="E274" s="6">
        <v>101</v>
      </c>
      <c r="F274" s="4"/>
      <c r="G274" s="6">
        <v>101</v>
      </c>
      <c r="H274" s="4"/>
      <c r="I274" s="9"/>
      <c r="J274" s="4"/>
      <c r="K274" s="4"/>
      <c r="L274" s="10"/>
      <c r="M274" s="10" t="s">
        <v>46</v>
      </c>
      <c r="N274" s="10"/>
      <c r="O274" s="4"/>
      <c r="P274" s="4"/>
      <c r="Q274" s="18" t="s">
        <v>471</v>
      </c>
    </row>
    <row r="275" spans="1:17" ht="15">
      <c r="A275" s="4" t="str">
        <f t="shared" si="4"/>
        <v>274</v>
      </c>
      <c r="B275" s="1" t="s">
        <v>33</v>
      </c>
      <c r="C275" s="6" t="s">
        <v>680</v>
      </c>
      <c r="D275" s="15" t="s">
        <v>686</v>
      </c>
      <c r="E275" s="6">
        <v>102</v>
      </c>
      <c r="F275" s="4"/>
      <c r="G275" s="6">
        <v>102</v>
      </c>
      <c r="H275" s="4"/>
      <c r="I275" s="9"/>
      <c r="J275" s="4"/>
      <c r="K275" s="4"/>
      <c r="L275" s="10"/>
      <c r="M275" s="10" t="s">
        <v>46</v>
      </c>
      <c r="N275" s="10"/>
      <c r="O275" s="4"/>
      <c r="P275" s="4"/>
      <c r="Q275" s="18" t="s">
        <v>472</v>
      </c>
    </row>
    <row r="276" spans="1:17" ht="15">
      <c r="A276" s="4" t="str">
        <f t="shared" si="4"/>
        <v>275</v>
      </c>
      <c r="B276" s="1" t="s">
        <v>33</v>
      </c>
      <c r="C276" s="6" t="s">
        <v>680</v>
      </c>
      <c r="D276" s="15" t="s">
        <v>686</v>
      </c>
      <c r="E276" s="6">
        <v>103</v>
      </c>
      <c r="F276" s="4"/>
      <c r="G276" s="6">
        <v>103</v>
      </c>
      <c r="H276" s="4"/>
      <c r="I276" s="9"/>
      <c r="J276" s="4"/>
      <c r="K276" s="4"/>
      <c r="L276" s="10"/>
      <c r="M276" s="10" t="s">
        <v>46</v>
      </c>
      <c r="N276" s="10"/>
      <c r="O276" s="4"/>
      <c r="P276" s="4"/>
      <c r="Q276" s="18" t="s">
        <v>473</v>
      </c>
    </row>
    <row r="277" spans="1:17" ht="15">
      <c r="A277" s="4" t="str">
        <f t="shared" si="4"/>
        <v>276</v>
      </c>
      <c r="B277" s="1" t="s">
        <v>33</v>
      </c>
      <c r="C277" s="6" t="s">
        <v>680</v>
      </c>
      <c r="D277" s="15" t="s">
        <v>686</v>
      </c>
      <c r="E277" s="6">
        <v>104</v>
      </c>
      <c r="F277" s="4"/>
      <c r="G277" s="6">
        <v>104</v>
      </c>
      <c r="H277" s="4"/>
      <c r="I277" s="9"/>
      <c r="J277" s="4"/>
      <c r="K277" s="4"/>
      <c r="L277" s="10"/>
      <c r="M277" s="10" t="s">
        <v>46</v>
      </c>
      <c r="N277" s="10"/>
      <c r="O277" s="4"/>
      <c r="P277" s="4"/>
      <c r="Q277" s="18" t="s">
        <v>474</v>
      </c>
    </row>
    <row r="278" spans="1:17" ht="15">
      <c r="A278" s="4" t="str">
        <f t="shared" si="4"/>
        <v>277</v>
      </c>
      <c r="B278" s="1" t="s">
        <v>33</v>
      </c>
      <c r="C278" s="6" t="s">
        <v>680</v>
      </c>
      <c r="D278" s="15" t="s">
        <v>687</v>
      </c>
      <c r="E278" s="6">
        <v>601</v>
      </c>
      <c r="F278" s="4"/>
      <c r="G278" s="6">
        <v>601</v>
      </c>
      <c r="H278" s="4"/>
      <c r="I278" s="9"/>
      <c r="J278" s="4"/>
      <c r="K278" s="4"/>
      <c r="L278" s="10"/>
      <c r="M278" s="10" t="s">
        <v>46</v>
      </c>
      <c r="N278" s="10"/>
      <c r="O278" s="4"/>
      <c r="P278" s="4"/>
      <c r="Q278" s="18" t="s">
        <v>475</v>
      </c>
    </row>
    <row r="279" spans="1:17" ht="15">
      <c r="A279" s="4" t="str">
        <f t="shared" si="4"/>
        <v>278</v>
      </c>
      <c r="B279" s="1" t="s">
        <v>33</v>
      </c>
      <c r="C279" s="6" t="s">
        <v>680</v>
      </c>
      <c r="D279" s="15" t="s">
        <v>687</v>
      </c>
      <c r="E279" s="6">
        <v>602</v>
      </c>
      <c r="F279" s="4"/>
      <c r="G279" s="6">
        <v>602</v>
      </c>
      <c r="H279" s="4"/>
      <c r="I279" s="9"/>
      <c r="J279" s="4"/>
      <c r="K279" s="4"/>
      <c r="L279" s="10"/>
      <c r="M279" s="10" t="s">
        <v>46</v>
      </c>
      <c r="N279" s="10"/>
      <c r="O279" s="4"/>
      <c r="P279" s="4"/>
      <c r="Q279" s="18" t="s">
        <v>476</v>
      </c>
    </row>
    <row r="280" spans="1:17" ht="15">
      <c r="A280" s="4" t="str">
        <f t="shared" si="4"/>
        <v>279</v>
      </c>
      <c r="B280" s="1" t="s">
        <v>33</v>
      </c>
      <c r="C280" s="6" t="s">
        <v>680</v>
      </c>
      <c r="D280" s="15" t="s">
        <v>687</v>
      </c>
      <c r="E280" s="6">
        <v>603</v>
      </c>
      <c r="F280" s="4"/>
      <c r="G280" s="6">
        <v>603</v>
      </c>
      <c r="H280" s="4"/>
      <c r="I280" s="9"/>
      <c r="J280" s="4"/>
      <c r="K280" s="4"/>
      <c r="L280" s="10"/>
      <c r="M280" s="10" t="s">
        <v>46</v>
      </c>
      <c r="N280" s="10"/>
      <c r="O280" s="4"/>
      <c r="P280" s="4"/>
      <c r="Q280" s="18" t="s">
        <v>477</v>
      </c>
    </row>
    <row r="281" spans="1:17" ht="15">
      <c r="A281" s="4" t="str">
        <f t="shared" si="4"/>
        <v>280</v>
      </c>
      <c r="B281" s="1" t="s">
        <v>33</v>
      </c>
      <c r="C281" s="6" t="s">
        <v>680</v>
      </c>
      <c r="D281" s="15" t="s">
        <v>687</v>
      </c>
      <c r="E281" s="6">
        <v>604</v>
      </c>
      <c r="F281" s="4"/>
      <c r="G281" s="6">
        <v>604</v>
      </c>
      <c r="H281" s="4"/>
      <c r="I281" s="9"/>
      <c r="J281" s="4"/>
      <c r="K281" s="4"/>
      <c r="L281" s="10"/>
      <c r="M281" s="10" t="s">
        <v>46</v>
      </c>
      <c r="N281" s="10"/>
      <c r="O281" s="4"/>
      <c r="P281" s="4"/>
      <c r="Q281" s="18" t="s">
        <v>478</v>
      </c>
    </row>
    <row r="282" spans="1:17" ht="15">
      <c r="A282" s="4" t="str">
        <f t="shared" si="4"/>
        <v>281</v>
      </c>
      <c r="B282" s="1" t="s">
        <v>33</v>
      </c>
      <c r="C282" s="6" t="s">
        <v>680</v>
      </c>
      <c r="D282" s="15" t="s">
        <v>687</v>
      </c>
      <c r="E282" s="6">
        <v>501</v>
      </c>
      <c r="F282" s="4"/>
      <c r="G282" s="6">
        <v>501</v>
      </c>
      <c r="H282" s="4"/>
      <c r="I282" s="9"/>
      <c r="J282" s="4"/>
      <c r="K282" s="4"/>
      <c r="L282" s="10"/>
      <c r="M282" s="10" t="s">
        <v>46</v>
      </c>
      <c r="N282" s="10"/>
      <c r="O282" s="4"/>
      <c r="P282" s="4"/>
      <c r="Q282" s="18" t="s">
        <v>479</v>
      </c>
    </row>
    <row r="283" spans="1:17" ht="15">
      <c r="A283" s="4" t="str">
        <f t="shared" si="4"/>
        <v>282</v>
      </c>
      <c r="B283" s="1" t="s">
        <v>33</v>
      </c>
      <c r="C283" s="6" t="s">
        <v>680</v>
      </c>
      <c r="D283" s="15" t="s">
        <v>687</v>
      </c>
      <c r="E283" s="6">
        <v>502</v>
      </c>
      <c r="F283" s="4"/>
      <c r="G283" s="6">
        <v>502</v>
      </c>
      <c r="H283" s="4"/>
      <c r="I283" s="9"/>
      <c r="J283" s="4"/>
      <c r="K283" s="4"/>
      <c r="L283" s="10"/>
      <c r="M283" s="10" t="s">
        <v>46</v>
      </c>
      <c r="N283" s="10"/>
      <c r="O283" s="4"/>
      <c r="P283" s="4"/>
      <c r="Q283" s="18" t="s">
        <v>480</v>
      </c>
    </row>
    <row r="284" spans="1:17" ht="15">
      <c r="A284" s="4" t="str">
        <f t="shared" si="4"/>
        <v>283</v>
      </c>
      <c r="B284" s="1" t="s">
        <v>33</v>
      </c>
      <c r="C284" s="6" t="s">
        <v>680</v>
      </c>
      <c r="D284" s="15" t="s">
        <v>687</v>
      </c>
      <c r="E284" s="6">
        <v>503</v>
      </c>
      <c r="F284" s="4"/>
      <c r="G284" s="6">
        <v>503</v>
      </c>
      <c r="H284" s="4"/>
      <c r="I284" s="9"/>
      <c r="J284" s="4"/>
      <c r="K284" s="4"/>
      <c r="L284" s="10"/>
      <c r="M284" s="10" t="s">
        <v>46</v>
      </c>
      <c r="N284" s="10"/>
      <c r="O284" s="4"/>
      <c r="P284" s="4"/>
      <c r="Q284" s="18" t="s">
        <v>481</v>
      </c>
    </row>
    <row r="285" spans="1:17" ht="15">
      <c r="A285" s="4" t="str">
        <f t="shared" si="4"/>
        <v>284</v>
      </c>
      <c r="B285" s="1" t="s">
        <v>33</v>
      </c>
      <c r="C285" s="6" t="s">
        <v>680</v>
      </c>
      <c r="D285" s="15" t="s">
        <v>687</v>
      </c>
      <c r="E285" s="6">
        <v>504</v>
      </c>
      <c r="F285" s="4"/>
      <c r="G285" s="6">
        <v>504</v>
      </c>
      <c r="H285" s="4"/>
      <c r="I285" s="9"/>
      <c r="J285" s="4"/>
      <c r="K285" s="4"/>
      <c r="L285" s="10"/>
      <c r="M285" s="10" t="s">
        <v>46</v>
      </c>
      <c r="N285" s="10"/>
      <c r="O285" s="4"/>
      <c r="P285" s="4"/>
      <c r="Q285" s="18" t="s">
        <v>482</v>
      </c>
    </row>
    <row r="286" spans="1:17" ht="15">
      <c r="A286" s="4" t="str">
        <f t="shared" si="4"/>
        <v>285</v>
      </c>
      <c r="B286" s="1" t="s">
        <v>33</v>
      </c>
      <c r="C286" s="6" t="s">
        <v>680</v>
      </c>
      <c r="D286" s="15" t="s">
        <v>687</v>
      </c>
      <c r="E286" s="6">
        <v>401</v>
      </c>
      <c r="F286" s="4"/>
      <c r="G286" s="6">
        <v>401</v>
      </c>
      <c r="H286" s="4"/>
      <c r="I286" s="9"/>
      <c r="J286" s="4"/>
      <c r="K286" s="4"/>
      <c r="L286" s="10"/>
      <c r="M286" s="10" t="s">
        <v>46</v>
      </c>
      <c r="N286" s="10"/>
      <c r="O286" s="4"/>
      <c r="P286" s="4"/>
      <c r="Q286" s="18" t="s">
        <v>483</v>
      </c>
    </row>
    <row r="287" spans="1:17" ht="15">
      <c r="A287" s="4" t="str">
        <f t="shared" si="4"/>
        <v>286</v>
      </c>
      <c r="B287" s="1" t="s">
        <v>33</v>
      </c>
      <c r="C287" s="6" t="s">
        <v>680</v>
      </c>
      <c r="D287" s="15" t="s">
        <v>687</v>
      </c>
      <c r="E287" s="6">
        <v>402</v>
      </c>
      <c r="F287" s="4"/>
      <c r="G287" s="6">
        <v>402</v>
      </c>
      <c r="H287" s="4"/>
      <c r="I287" s="9"/>
      <c r="J287" s="4"/>
      <c r="K287" s="4"/>
      <c r="L287" s="10"/>
      <c r="M287" s="10" t="s">
        <v>46</v>
      </c>
      <c r="N287" s="10"/>
      <c r="O287" s="4"/>
      <c r="P287" s="4"/>
      <c r="Q287" s="18" t="s">
        <v>484</v>
      </c>
    </row>
    <row r="288" spans="1:17" ht="15">
      <c r="A288" s="4" t="str">
        <f t="shared" si="4"/>
        <v>287</v>
      </c>
      <c r="B288" s="1" t="s">
        <v>33</v>
      </c>
      <c r="C288" s="6" t="s">
        <v>680</v>
      </c>
      <c r="D288" s="15" t="s">
        <v>687</v>
      </c>
      <c r="E288" s="6">
        <v>403</v>
      </c>
      <c r="F288" s="4"/>
      <c r="G288" s="6">
        <v>403</v>
      </c>
      <c r="H288" s="4"/>
      <c r="I288" s="9"/>
      <c r="J288" s="4"/>
      <c r="K288" s="4"/>
      <c r="L288" s="10"/>
      <c r="M288" s="10" t="s">
        <v>46</v>
      </c>
      <c r="N288" s="10"/>
      <c r="O288" s="4"/>
      <c r="P288" s="4"/>
      <c r="Q288" s="18" t="s">
        <v>485</v>
      </c>
    </row>
    <row r="289" spans="1:17" ht="15">
      <c r="A289" s="4" t="str">
        <f t="shared" si="4"/>
        <v>288</v>
      </c>
      <c r="B289" s="1" t="s">
        <v>33</v>
      </c>
      <c r="C289" s="6" t="s">
        <v>680</v>
      </c>
      <c r="D289" s="15" t="s">
        <v>687</v>
      </c>
      <c r="E289" s="6">
        <v>404</v>
      </c>
      <c r="F289" s="4"/>
      <c r="G289" s="6">
        <v>404</v>
      </c>
      <c r="H289" s="4"/>
      <c r="I289" s="9"/>
      <c r="J289" s="4"/>
      <c r="K289" s="4"/>
      <c r="L289" s="10"/>
      <c r="M289" s="10" t="s">
        <v>46</v>
      </c>
      <c r="N289" s="10"/>
      <c r="O289" s="4"/>
      <c r="P289" s="4"/>
      <c r="Q289" s="18" t="s">
        <v>393</v>
      </c>
    </row>
    <row r="290" spans="1:17" ht="15">
      <c r="A290" s="4" t="str">
        <f t="shared" si="4"/>
        <v>289</v>
      </c>
      <c r="B290" s="1" t="s">
        <v>33</v>
      </c>
      <c r="C290" s="6" t="s">
        <v>680</v>
      </c>
      <c r="D290" s="15" t="s">
        <v>687</v>
      </c>
      <c r="E290" s="6">
        <v>301</v>
      </c>
      <c r="F290" s="4"/>
      <c r="G290" s="6">
        <v>301</v>
      </c>
      <c r="H290" s="4"/>
      <c r="I290" s="9"/>
      <c r="J290" s="4"/>
      <c r="K290" s="4"/>
      <c r="L290" s="10"/>
      <c r="M290" s="10" t="s">
        <v>46</v>
      </c>
      <c r="N290" s="10"/>
      <c r="O290" s="4"/>
      <c r="P290" s="4"/>
      <c r="Q290" s="18" t="s">
        <v>486</v>
      </c>
    </row>
    <row r="291" spans="1:17" ht="15">
      <c r="A291" s="4" t="str">
        <f t="shared" si="4"/>
        <v>290</v>
      </c>
      <c r="B291" s="1" t="s">
        <v>33</v>
      </c>
      <c r="C291" s="6" t="s">
        <v>680</v>
      </c>
      <c r="D291" s="15" t="s">
        <v>687</v>
      </c>
      <c r="E291" s="6">
        <v>302</v>
      </c>
      <c r="F291" s="4"/>
      <c r="G291" s="6">
        <v>302</v>
      </c>
      <c r="H291" s="4"/>
      <c r="I291" s="9"/>
      <c r="J291" s="4"/>
      <c r="K291" s="4"/>
      <c r="L291" s="10"/>
      <c r="M291" s="10" t="s">
        <v>46</v>
      </c>
      <c r="N291" s="10"/>
      <c r="O291" s="4"/>
      <c r="P291" s="4"/>
      <c r="Q291" s="18" t="s">
        <v>487</v>
      </c>
    </row>
    <row r="292" spans="1:17" ht="15">
      <c r="A292" s="4" t="str">
        <f t="shared" si="4"/>
        <v>291</v>
      </c>
      <c r="B292" s="1" t="s">
        <v>33</v>
      </c>
      <c r="C292" s="6" t="s">
        <v>680</v>
      </c>
      <c r="D292" s="15" t="s">
        <v>687</v>
      </c>
      <c r="E292" s="6">
        <v>303</v>
      </c>
      <c r="F292" s="4"/>
      <c r="G292" s="6">
        <v>303</v>
      </c>
      <c r="H292" s="4"/>
      <c r="I292" s="9"/>
      <c r="J292" s="4"/>
      <c r="K292" s="4"/>
      <c r="L292" s="10"/>
      <c r="M292" s="10" t="s">
        <v>46</v>
      </c>
      <c r="N292" s="10"/>
      <c r="O292" s="4"/>
      <c r="P292" s="4"/>
      <c r="Q292" s="18" t="s">
        <v>488</v>
      </c>
    </row>
    <row r="293" spans="1:17" ht="15">
      <c r="A293" s="4" t="str">
        <f t="shared" si="4"/>
        <v>292</v>
      </c>
      <c r="B293" s="1" t="s">
        <v>33</v>
      </c>
      <c r="C293" s="6" t="s">
        <v>680</v>
      </c>
      <c r="D293" s="15" t="s">
        <v>687</v>
      </c>
      <c r="E293" s="6">
        <v>304</v>
      </c>
      <c r="F293" s="4"/>
      <c r="G293" s="6">
        <v>304</v>
      </c>
      <c r="H293" s="4"/>
      <c r="I293" s="9"/>
      <c r="J293" s="4"/>
      <c r="K293" s="4"/>
      <c r="L293" s="10"/>
      <c r="M293" s="10" t="s">
        <v>46</v>
      </c>
      <c r="N293" s="10"/>
      <c r="O293" s="4"/>
      <c r="P293" s="4"/>
      <c r="Q293" s="18" t="s">
        <v>489</v>
      </c>
    </row>
    <row r="294" spans="1:17" ht="15">
      <c r="A294" s="4" t="str">
        <f t="shared" si="4"/>
        <v>293</v>
      </c>
      <c r="B294" s="1" t="s">
        <v>33</v>
      </c>
      <c r="C294" s="6" t="s">
        <v>680</v>
      </c>
      <c r="D294" s="15" t="s">
        <v>687</v>
      </c>
      <c r="E294" s="6">
        <v>201</v>
      </c>
      <c r="F294" s="4"/>
      <c r="G294" s="6">
        <v>201</v>
      </c>
      <c r="H294" s="4"/>
      <c r="I294" s="9"/>
      <c r="J294" s="4"/>
      <c r="K294" s="4"/>
      <c r="L294" s="10"/>
      <c r="M294" s="10" t="s">
        <v>46</v>
      </c>
      <c r="N294" s="10"/>
      <c r="O294" s="4"/>
      <c r="P294" s="4"/>
      <c r="Q294" s="18" t="s">
        <v>490</v>
      </c>
    </row>
    <row r="295" spans="1:17" ht="15">
      <c r="A295" s="4" t="str">
        <f t="shared" si="4"/>
        <v>294</v>
      </c>
      <c r="B295" s="1" t="s">
        <v>33</v>
      </c>
      <c r="C295" s="6" t="s">
        <v>680</v>
      </c>
      <c r="D295" s="15" t="s">
        <v>687</v>
      </c>
      <c r="E295" s="6">
        <v>202</v>
      </c>
      <c r="F295" s="4"/>
      <c r="G295" s="6">
        <v>202</v>
      </c>
      <c r="H295" s="4"/>
      <c r="I295" s="9"/>
      <c r="J295" s="4"/>
      <c r="K295" s="4"/>
      <c r="L295" s="10"/>
      <c r="M295" s="10" t="s">
        <v>46</v>
      </c>
      <c r="N295" s="10"/>
      <c r="O295" s="4"/>
      <c r="P295" s="4"/>
      <c r="Q295" s="18" t="s">
        <v>491</v>
      </c>
    </row>
    <row r="296" spans="1:17" ht="15">
      <c r="A296" s="4" t="str">
        <f t="shared" si="4"/>
        <v>295</v>
      </c>
      <c r="B296" s="1" t="s">
        <v>33</v>
      </c>
      <c r="C296" s="6" t="s">
        <v>680</v>
      </c>
      <c r="D296" s="15" t="s">
        <v>687</v>
      </c>
      <c r="E296" s="6">
        <v>203</v>
      </c>
      <c r="F296" s="4"/>
      <c r="G296" s="6">
        <v>203</v>
      </c>
      <c r="H296" s="4"/>
      <c r="I296" s="9"/>
      <c r="J296" s="4"/>
      <c r="K296" s="4"/>
      <c r="L296" s="10"/>
      <c r="M296" s="10" t="s">
        <v>46</v>
      </c>
      <c r="N296" s="10"/>
      <c r="O296" s="4"/>
      <c r="P296" s="4"/>
      <c r="Q296" s="18" t="s">
        <v>492</v>
      </c>
    </row>
    <row r="297" spans="1:17" ht="15">
      <c r="A297" s="4" t="str">
        <f t="shared" si="4"/>
        <v>296</v>
      </c>
      <c r="B297" s="1" t="s">
        <v>33</v>
      </c>
      <c r="C297" s="6" t="s">
        <v>680</v>
      </c>
      <c r="D297" s="15" t="s">
        <v>687</v>
      </c>
      <c r="E297" s="6">
        <v>204</v>
      </c>
      <c r="F297" s="4"/>
      <c r="G297" s="6">
        <v>204</v>
      </c>
      <c r="H297" s="4"/>
      <c r="I297" s="9"/>
      <c r="J297" s="4"/>
      <c r="K297" s="4"/>
      <c r="L297" s="10"/>
      <c r="M297" s="10" t="s">
        <v>46</v>
      </c>
      <c r="N297" s="10"/>
      <c r="O297" s="4"/>
      <c r="P297" s="4"/>
      <c r="Q297" s="18" t="s">
        <v>493</v>
      </c>
    </row>
    <row r="298" spans="1:17" ht="15">
      <c r="A298" s="4" t="str">
        <f t="shared" si="4"/>
        <v>297</v>
      </c>
      <c r="B298" s="1" t="s">
        <v>33</v>
      </c>
      <c r="C298" s="6" t="s">
        <v>680</v>
      </c>
      <c r="D298" s="15" t="s">
        <v>687</v>
      </c>
      <c r="E298" s="6">
        <v>101</v>
      </c>
      <c r="F298" s="4"/>
      <c r="G298" s="6">
        <v>101</v>
      </c>
      <c r="H298" s="4"/>
      <c r="I298" s="9"/>
      <c r="J298" s="4"/>
      <c r="K298" s="4"/>
      <c r="L298" s="10"/>
      <c r="M298" s="10" t="s">
        <v>46</v>
      </c>
      <c r="N298" s="10"/>
      <c r="O298" s="4"/>
      <c r="P298" s="4"/>
      <c r="Q298" s="18" t="s">
        <v>494</v>
      </c>
    </row>
    <row r="299" spans="1:17" ht="15">
      <c r="A299" s="4" t="str">
        <f t="shared" si="4"/>
        <v>298</v>
      </c>
      <c r="B299" s="1" t="s">
        <v>33</v>
      </c>
      <c r="C299" s="6" t="s">
        <v>680</v>
      </c>
      <c r="D299" s="15" t="s">
        <v>687</v>
      </c>
      <c r="E299" s="6">
        <v>102</v>
      </c>
      <c r="F299" s="4"/>
      <c r="G299" s="6">
        <v>102</v>
      </c>
      <c r="H299" s="4"/>
      <c r="I299" s="9"/>
      <c r="J299" s="4"/>
      <c r="K299" s="4"/>
      <c r="L299" s="10"/>
      <c r="M299" s="10" t="s">
        <v>46</v>
      </c>
      <c r="N299" s="10"/>
      <c r="O299" s="4"/>
      <c r="P299" s="4"/>
      <c r="Q299" s="18" t="s">
        <v>495</v>
      </c>
    </row>
    <row r="300" spans="1:17" ht="15">
      <c r="A300" s="4" t="str">
        <f t="shared" si="4"/>
        <v>299</v>
      </c>
      <c r="B300" s="1" t="s">
        <v>33</v>
      </c>
      <c r="C300" s="6" t="s">
        <v>680</v>
      </c>
      <c r="D300" s="15" t="s">
        <v>687</v>
      </c>
      <c r="E300" s="6">
        <v>103</v>
      </c>
      <c r="F300" s="4"/>
      <c r="G300" s="6">
        <v>103</v>
      </c>
      <c r="H300" s="4"/>
      <c r="I300" s="9"/>
      <c r="J300" s="4"/>
      <c r="K300" s="4"/>
      <c r="L300" s="10"/>
      <c r="M300" s="10" t="s">
        <v>46</v>
      </c>
      <c r="N300" s="10"/>
      <c r="O300" s="4"/>
      <c r="P300" s="4"/>
      <c r="Q300" s="18" t="s">
        <v>496</v>
      </c>
    </row>
    <row r="301" spans="1:17" ht="15">
      <c r="A301" s="4" t="str">
        <f t="shared" si="4"/>
        <v>300</v>
      </c>
      <c r="B301" s="1" t="s">
        <v>33</v>
      </c>
      <c r="C301" s="6" t="s">
        <v>680</v>
      </c>
      <c r="D301" s="15" t="s">
        <v>687</v>
      </c>
      <c r="E301" s="6">
        <v>104</v>
      </c>
      <c r="F301" s="4"/>
      <c r="G301" s="6">
        <v>104</v>
      </c>
      <c r="H301" s="4"/>
      <c r="I301" s="9"/>
      <c r="J301" s="4"/>
      <c r="K301" s="4"/>
      <c r="L301" s="10"/>
      <c r="M301" s="10" t="s">
        <v>46</v>
      </c>
      <c r="N301" s="10"/>
      <c r="O301" s="4"/>
      <c r="P301" s="4"/>
      <c r="Q301" s="18" t="s">
        <v>497</v>
      </c>
    </row>
    <row r="302" spans="1:17" ht="15">
      <c r="A302" s="4" t="str">
        <f t="shared" si="4"/>
        <v>301</v>
      </c>
      <c r="B302" s="1" t="s">
        <v>33</v>
      </c>
      <c r="C302" s="6" t="s">
        <v>45</v>
      </c>
      <c r="D302" s="15" t="s">
        <v>686</v>
      </c>
      <c r="E302" s="6">
        <v>501</v>
      </c>
      <c r="F302" s="4"/>
      <c r="G302" s="6">
        <v>501</v>
      </c>
      <c r="H302" s="4"/>
      <c r="I302" s="9"/>
      <c r="J302" s="4"/>
      <c r="K302" s="4"/>
      <c r="L302" s="10"/>
      <c r="M302" s="10" t="s">
        <v>46</v>
      </c>
      <c r="N302" s="10"/>
      <c r="O302" s="4"/>
      <c r="P302" s="4"/>
      <c r="Q302" s="18" t="s">
        <v>498</v>
      </c>
    </row>
    <row r="303" spans="1:17" ht="15">
      <c r="A303" s="4" t="str">
        <f t="shared" si="4"/>
        <v>302</v>
      </c>
      <c r="B303" s="1" t="s">
        <v>33</v>
      </c>
      <c r="C303" s="6" t="s">
        <v>45</v>
      </c>
      <c r="D303" s="15" t="s">
        <v>686</v>
      </c>
      <c r="E303" s="6">
        <v>502</v>
      </c>
      <c r="F303" s="4"/>
      <c r="G303" s="6">
        <v>502</v>
      </c>
      <c r="H303" s="4"/>
      <c r="I303" s="9"/>
      <c r="J303" s="4"/>
      <c r="K303" s="4"/>
      <c r="L303" s="10"/>
      <c r="M303" s="10" t="s">
        <v>46</v>
      </c>
      <c r="N303" s="10"/>
      <c r="O303" s="4"/>
      <c r="P303" s="4"/>
      <c r="Q303" s="18" t="s">
        <v>499</v>
      </c>
    </row>
    <row r="304" spans="1:17" ht="15">
      <c r="A304" s="4" t="str">
        <f t="shared" si="4"/>
        <v>303</v>
      </c>
      <c r="B304" s="1" t="s">
        <v>33</v>
      </c>
      <c r="C304" s="6" t="s">
        <v>45</v>
      </c>
      <c r="D304" s="15" t="s">
        <v>686</v>
      </c>
      <c r="E304" s="6">
        <v>503</v>
      </c>
      <c r="F304" s="4"/>
      <c r="G304" s="6">
        <v>503</v>
      </c>
      <c r="H304" s="4"/>
      <c r="I304" s="9"/>
      <c r="J304" s="4"/>
      <c r="K304" s="4"/>
      <c r="L304" s="10"/>
      <c r="M304" s="10" t="s">
        <v>46</v>
      </c>
      <c r="N304" s="10"/>
      <c r="O304" s="4"/>
      <c r="P304" s="4"/>
      <c r="Q304" s="18" t="s">
        <v>500</v>
      </c>
    </row>
    <row r="305" spans="1:17" ht="15">
      <c r="A305" s="4" t="str">
        <f t="shared" si="4"/>
        <v>304</v>
      </c>
      <c r="B305" s="1" t="s">
        <v>33</v>
      </c>
      <c r="C305" s="6" t="s">
        <v>45</v>
      </c>
      <c r="D305" s="15" t="s">
        <v>686</v>
      </c>
      <c r="E305" s="6">
        <v>504</v>
      </c>
      <c r="F305" s="4"/>
      <c r="G305" s="6">
        <v>504</v>
      </c>
      <c r="H305" s="4"/>
      <c r="I305" s="9"/>
      <c r="J305" s="4"/>
      <c r="K305" s="4"/>
      <c r="L305" s="10"/>
      <c r="M305" s="10" t="s">
        <v>46</v>
      </c>
      <c r="N305" s="10"/>
      <c r="O305" s="4"/>
      <c r="P305" s="4"/>
      <c r="Q305" s="18" t="s">
        <v>501</v>
      </c>
    </row>
    <row r="306" spans="1:17" ht="15">
      <c r="A306" s="4" t="str">
        <f t="shared" si="4"/>
        <v>305</v>
      </c>
      <c r="B306" s="1" t="s">
        <v>33</v>
      </c>
      <c r="C306" s="6" t="s">
        <v>45</v>
      </c>
      <c r="D306" s="15" t="s">
        <v>686</v>
      </c>
      <c r="E306" s="6">
        <v>401</v>
      </c>
      <c r="F306" s="4"/>
      <c r="G306" s="6">
        <v>401</v>
      </c>
      <c r="H306" s="4"/>
      <c r="I306" s="9"/>
      <c r="J306" s="4"/>
      <c r="K306" s="4"/>
      <c r="L306" s="10"/>
      <c r="M306" s="10" t="s">
        <v>46</v>
      </c>
      <c r="N306" s="10"/>
      <c r="O306" s="4"/>
      <c r="P306" s="4"/>
      <c r="Q306" s="18" t="s">
        <v>502</v>
      </c>
    </row>
    <row r="307" spans="1:17" ht="15">
      <c r="A307" s="4" t="str">
        <f t="shared" si="4"/>
        <v>306</v>
      </c>
      <c r="B307" s="1" t="s">
        <v>33</v>
      </c>
      <c r="C307" s="6" t="s">
        <v>45</v>
      </c>
      <c r="D307" s="15" t="s">
        <v>686</v>
      </c>
      <c r="E307" s="6">
        <v>402</v>
      </c>
      <c r="F307" s="4"/>
      <c r="G307" s="6">
        <v>402</v>
      </c>
      <c r="H307" s="4"/>
      <c r="I307" s="9"/>
      <c r="J307" s="4"/>
      <c r="K307" s="4"/>
      <c r="L307" s="10"/>
      <c r="M307" s="10" t="s">
        <v>46</v>
      </c>
      <c r="N307" s="10"/>
      <c r="O307" s="4"/>
      <c r="P307" s="4"/>
      <c r="Q307" s="18" t="s">
        <v>503</v>
      </c>
    </row>
    <row r="308" spans="1:17" ht="15">
      <c r="A308" s="4" t="str">
        <f t="shared" si="4"/>
        <v>307</v>
      </c>
      <c r="B308" s="1" t="s">
        <v>33</v>
      </c>
      <c r="C308" s="6" t="s">
        <v>45</v>
      </c>
      <c r="D308" s="15" t="s">
        <v>686</v>
      </c>
      <c r="E308" s="6">
        <v>403</v>
      </c>
      <c r="F308" s="4"/>
      <c r="G308" s="6">
        <v>403</v>
      </c>
      <c r="H308" s="4"/>
      <c r="I308" s="9"/>
      <c r="J308" s="4"/>
      <c r="K308" s="4"/>
      <c r="L308" s="10"/>
      <c r="M308" s="10" t="s">
        <v>46</v>
      </c>
      <c r="N308" s="10"/>
      <c r="O308" s="4"/>
      <c r="P308" s="4"/>
      <c r="Q308" s="18" t="s">
        <v>504</v>
      </c>
    </row>
    <row r="309" spans="1:17" ht="15">
      <c r="A309" s="4" t="str">
        <f t="shared" si="4"/>
        <v>308</v>
      </c>
      <c r="B309" s="1" t="s">
        <v>33</v>
      </c>
      <c r="C309" s="6" t="s">
        <v>45</v>
      </c>
      <c r="D309" s="15" t="s">
        <v>686</v>
      </c>
      <c r="E309" s="6">
        <v>404</v>
      </c>
      <c r="F309" s="4"/>
      <c r="G309" s="6">
        <v>404</v>
      </c>
      <c r="H309" s="4"/>
      <c r="I309" s="9"/>
      <c r="J309" s="4"/>
      <c r="K309" s="4"/>
      <c r="L309" s="10"/>
      <c r="M309" s="10" t="s">
        <v>46</v>
      </c>
      <c r="N309" s="10"/>
      <c r="O309" s="4"/>
      <c r="P309" s="4"/>
      <c r="Q309" s="18" t="s">
        <v>505</v>
      </c>
    </row>
    <row r="310" spans="1:17" ht="15">
      <c r="A310" s="4" t="str">
        <f t="shared" si="4"/>
        <v>309</v>
      </c>
      <c r="B310" s="1" t="s">
        <v>33</v>
      </c>
      <c r="C310" s="6" t="s">
        <v>45</v>
      </c>
      <c r="D310" s="15" t="s">
        <v>686</v>
      </c>
      <c r="E310" s="6">
        <v>301</v>
      </c>
      <c r="F310" s="4"/>
      <c r="G310" s="6">
        <v>301</v>
      </c>
      <c r="H310" s="4"/>
      <c r="I310" s="9"/>
      <c r="J310" s="4"/>
      <c r="K310" s="4"/>
      <c r="L310" s="10"/>
      <c r="M310" s="10" t="s">
        <v>46</v>
      </c>
      <c r="N310" s="10"/>
      <c r="O310" s="4"/>
      <c r="P310" s="4"/>
      <c r="Q310" s="18" t="s">
        <v>506</v>
      </c>
    </row>
    <row r="311" spans="1:17" ht="15">
      <c r="A311" s="4" t="str">
        <f t="shared" si="4"/>
        <v>310</v>
      </c>
      <c r="B311" s="1" t="s">
        <v>33</v>
      </c>
      <c r="C311" s="6" t="s">
        <v>45</v>
      </c>
      <c r="D311" s="15" t="s">
        <v>686</v>
      </c>
      <c r="E311" s="6">
        <v>302</v>
      </c>
      <c r="F311" s="4"/>
      <c r="G311" s="6">
        <v>302</v>
      </c>
      <c r="H311" s="4"/>
      <c r="I311" s="9"/>
      <c r="J311" s="4"/>
      <c r="K311" s="4"/>
      <c r="L311" s="10"/>
      <c r="M311" s="10" t="s">
        <v>46</v>
      </c>
      <c r="N311" s="10"/>
      <c r="O311" s="4"/>
      <c r="P311" s="4"/>
      <c r="Q311" s="18" t="s">
        <v>507</v>
      </c>
    </row>
    <row r="312" spans="1:17" ht="15">
      <c r="A312" s="4" t="str">
        <f t="shared" si="4"/>
        <v>311</v>
      </c>
      <c r="B312" s="1" t="s">
        <v>33</v>
      </c>
      <c r="C312" s="6" t="s">
        <v>45</v>
      </c>
      <c r="D312" s="15" t="s">
        <v>686</v>
      </c>
      <c r="E312" s="6">
        <v>303</v>
      </c>
      <c r="F312" s="4"/>
      <c r="G312" s="6">
        <v>303</v>
      </c>
      <c r="H312" s="4"/>
      <c r="I312" s="9"/>
      <c r="J312" s="4"/>
      <c r="K312" s="4"/>
      <c r="L312" s="10"/>
      <c r="M312" s="10" t="s">
        <v>46</v>
      </c>
      <c r="N312" s="10"/>
      <c r="O312" s="4"/>
      <c r="P312" s="4"/>
      <c r="Q312" s="18" t="s">
        <v>508</v>
      </c>
    </row>
    <row r="313" spans="1:17" ht="15">
      <c r="A313" s="4" t="str">
        <f t="shared" si="4"/>
        <v>312</v>
      </c>
      <c r="B313" s="1" t="s">
        <v>33</v>
      </c>
      <c r="C313" s="6" t="s">
        <v>45</v>
      </c>
      <c r="D313" s="15" t="s">
        <v>686</v>
      </c>
      <c r="E313" s="6">
        <v>304</v>
      </c>
      <c r="F313" s="4"/>
      <c r="G313" s="6">
        <v>304</v>
      </c>
      <c r="H313" s="4"/>
      <c r="I313" s="9"/>
      <c r="J313" s="4"/>
      <c r="K313" s="4"/>
      <c r="L313" s="10"/>
      <c r="M313" s="10" t="s">
        <v>46</v>
      </c>
      <c r="N313" s="10"/>
      <c r="O313" s="4"/>
      <c r="P313" s="4"/>
      <c r="Q313" s="18" t="s">
        <v>509</v>
      </c>
    </row>
    <row r="314" spans="1:17" ht="15">
      <c r="A314" s="4" t="str">
        <f t="shared" si="4"/>
        <v>313</v>
      </c>
      <c r="B314" s="1" t="s">
        <v>33</v>
      </c>
      <c r="C314" s="6" t="s">
        <v>45</v>
      </c>
      <c r="D314" s="15" t="s">
        <v>686</v>
      </c>
      <c r="E314" s="6">
        <v>201</v>
      </c>
      <c r="F314" s="4"/>
      <c r="G314" s="6">
        <v>201</v>
      </c>
      <c r="H314" s="4"/>
      <c r="I314" s="9"/>
      <c r="J314" s="4"/>
      <c r="K314" s="4"/>
      <c r="L314" s="10"/>
      <c r="M314" s="10" t="s">
        <v>46</v>
      </c>
      <c r="N314" s="10"/>
      <c r="O314" s="4"/>
      <c r="P314" s="4"/>
      <c r="Q314" s="18" t="s">
        <v>510</v>
      </c>
    </row>
    <row r="315" spans="1:17" ht="15">
      <c r="A315" s="4" t="str">
        <f t="shared" si="4"/>
        <v>314</v>
      </c>
      <c r="B315" s="1" t="s">
        <v>33</v>
      </c>
      <c r="C315" s="6" t="s">
        <v>45</v>
      </c>
      <c r="D315" s="15" t="s">
        <v>686</v>
      </c>
      <c r="E315" s="6">
        <v>202</v>
      </c>
      <c r="F315" s="4"/>
      <c r="G315" s="6">
        <v>202</v>
      </c>
      <c r="H315" s="4"/>
      <c r="I315" s="9"/>
      <c r="J315" s="4"/>
      <c r="K315" s="4"/>
      <c r="L315" s="10"/>
      <c r="M315" s="10" t="s">
        <v>46</v>
      </c>
      <c r="N315" s="10"/>
      <c r="O315" s="4"/>
      <c r="P315" s="4"/>
      <c r="Q315" s="18" t="s">
        <v>511</v>
      </c>
    </row>
    <row r="316" spans="1:17" ht="15">
      <c r="A316" s="4" t="str">
        <f t="shared" si="4"/>
        <v>315</v>
      </c>
      <c r="B316" s="1" t="s">
        <v>33</v>
      </c>
      <c r="C316" s="6" t="s">
        <v>45</v>
      </c>
      <c r="D316" s="15" t="s">
        <v>686</v>
      </c>
      <c r="E316" s="6">
        <v>203</v>
      </c>
      <c r="F316" s="4"/>
      <c r="G316" s="6">
        <v>203</v>
      </c>
      <c r="H316" s="4"/>
      <c r="I316" s="9"/>
      <c r="J316" s="4"/>
      <c r="K316" s="4"/>
      <c r="L316" s="10"/>
      <c r="M316" s="10" t="s">
        <v>46</v>
      </c>
      <c r="N316" s="10"/>
      <c r="O316" s="4"/>
      <c r="P316" s="4"/>
      <c r="Q316" s="18" t="s">
        <v>512</v>
      </c>
    </row>
    <row r="317" spans="1:17" ht="15">
      <c r="A317" s="4" t="str">
        <f t="shared" si="4"/>
        <v>316</v>
      </c>
      <c r="B317" s="1" t="s">
        <v>33</v>
      </c>
      <c r="C317" s="1" t="s">
        <v>45</v>
      </c>
      <c r="D317" s="1" t="s">
        <v>686</v>
      </c>
      <c r="E317" s="1">
        <v>204</v>
      </c>
      <c r="G317" s="1">
        <v>204</v>
      </c>
      <c r="M317" s="1" t="s">
        <v>46</v>
      </c>
      <c r="Q317" s="1" t="s">
        <v>513</v>
      </c>
    </row>
    <row r="318" spans="1:17" ht="15">
      <c r="A318" s="4" t="str">
        <f t="shared" si="4"/>
        <v>317</v>
      </c>
      <c r="B318" s="1" t="s">
        <v>33</v>
      </c>
      <c r="C318" s="1" t="s">
        <v>45</v>
      </c>
      <c r="D318" s="1" t="s">
        <v>686</v>
      </c>
      <c r="E318" s="1">
        <v>101</v>
      </c>
      <c r="G318" s="1">
        <v>101</v>
      </c>
      <c r="M318" s="1" t="s">
        <v>46</v>
      </c>
      <c r="Q318" s="1" t="s">
        <v>514</v>
      </c>
    </row>
    <row r="319" spans="1:17" ht="15">
      <c r="A319" s="4" t="str">
        <f t="shared" si="4"/>
        <v>318</v>
      </c>
      <c r="B319" s="1" t="s">
        <v>33</v>
      </c>
      <c r="C319" s="1" t="s">
        <v>45</v>
      </c>
      <c r="D319" s="1" t="s">
        <v>686</v>
      </c>
      <c r="E319" s="1">
        <v>102</v>
      </c>
      <c r="G319" s="1">
        <v>102</v>
      </c>
      <c r="M319" s="1" t="s">
        <v>46</v>
      </c>
      <c r="Q319" s="1" t="s">
        <v>515</v>
      </c>
    </row>
    <row r="320" spans="1:17" ht="15">
      <c r="A320" s="4" t="str">
        <f t="shared" si="4"/>
        <v>319</v>
      </c>
      <c r="B320" s="1" t="s">
        <v>33</v>
      </c>
      <c r="C320" s="1" t="s">
        <v>45</v>
      </c>
      <c r="D320" s="1" t="s">
        <v>686</v>
      </c>
      <c r="E320" s="1">
        <v>103</v>
      </c>
      <c r="G320" s="1">
        <v>103</v>
      </c>
      <c r="M320" s="1" t="s">
        <v>46</v>
      </c>
      <c r="Q320" s="1" t="s">
        <v>516</v>
      </c>
    </row>
    <row r="321" spans="1:17" ht="15">
      <c r="A321" s="4" t="str">
        <f t="shared" si="4"/>
        <v>320</v>
      </c>
      <c r="B321" s="1" t="s">
        <v>33</v>
      </c>
      <c r="C321" s="1" t="s">
        <v>45</v>
      </c>
      <c r="D321" s="1" t="s">
        <v>686</v>
      </c>
      <c r="E321" s="1">
        <v>104</v>
      </c>
      <c r="G321" s="1">
        <v>104</v>
      </c>
      <c r="M321" s="1" t="s">
        <v>46</v>
      </c>
      <c r="Q321" s="1" t="s">
        <v>517</v>
      </c>
    </row>
    <row r="322" spans="1:17" ht="15">
      <c r="A322" s="4" t="str">
        <f t="shared" si="4"/>
        <v>321</v>
      </c>
      <c r="B322" s="1" t="s">
        <v>33</v>
      </c>
      <c r="C322" s="1" t="s">
        <v>45</v>
      </c>
      <c r="D322" s="1" t="s">
        <v>687</v>
      </c>
      <c r="E322" s="1">
        <v>501</v>
      </c>
      <c r="G322" s="1">
        <v>501</v>
      </c>
      <c r="M322" s="1" t="s">
        <v>46</v>
      </c>
      <c r="Q322" s="1" t="s">
        <v>272</v>
      </c>
    </row>
    <row r="323" spans="1:17" ht="15">
      <c r="A323" s="4" t="str">
        <f t="shared" ref="A323:A386" si="5">TEXT(ROW(A322),"000")</f>
        <v>322</v>
      </c>
      <c r="B323" s="1" t="s">
        <v>33</v>
      </c>
      <c r="C323" s="1" t="s">
        <v>45</v>
      </c>
      <c r="D323" s="1" t="s">
        <v>687</v>
      </c>
      <c r="E323" s="1">
        <v>502</v>
      </c>
      <c r="G323" s="1">
        <v>502</v>
      </c>
      <c r="M323" s="1" t="s">
        <v>46</v>
      </c>
      <c r="Q323" s="1" t="s">
        <v>273</v>
      </c>
    </row>
    <row r="324" spans="1:17" ht="15">
      <c r="A324" s="4" t="str">
        <f t="shared" si="5"/>
        <v>323</v>
      </c>
      <c r="B324" s="1" t="s">
        <v>33</v>
      </c>
      <c r="C324" s="1" t="s">
        <v>45</v>
      </c>
      <c r="D324" s="1" t="s">
        <v>687</v>
      </c>
      <c r="E324" s="1">
        <v>503</v>
      </c>
      <c r="G324" s="1">
        <v>503</v>
      </c>
      <c r="M324" s="1" t="s">
        <v>46</v>
      </c>
      <c r="Q324" s="1" t="s">
        <v>274</v>
      </c>
    </row>
    <row r="325" spans="1:17" ht="15">
      <c r="A325" s="4" t="str">
        <f t="shared" si="5"/>
        <v>324</v>
      </c>
      <c r="B325" s="1" t="s">
        <v>33</v>
      </c>
      <c r="C325" s="1" t="s">
        <v>45</v>
      </c>
      <c r="D325" s="1" t="s">
        <v>687</v>
      </c>
      <c r="E325" s="1">
        <v>504</v>
      </c>
      <c r="G325" s="1">
        <v>504</v>
      </c>
      <c r="M325" s="1" t="s">
        <v>46</v>
      </c>
      <c r="Q325" s="1" t="s">
        <v>275</v>
      </c>
    </row>
    <row r="326" spans="1:17" ht="15">
      <c r="A326" s="4" t="str">
        <f t="shared" si="5"/>
        <v>325</v>
      </c>
      <c r="B326" s="1" t="s">
        <v>33</v>
      </c>
      <c r="C326" s="1" t="s">
        <v>45</v>
      </c>
      <c r="D326" s="1" t="s">
        <v>687</v>
      </c>
      <c r="E326" s="1">
        <v>401</v>
      </c>
      <c r="G326" s="1">
        <v>401</v>
      </c>
      <c r="M326" s="1" t="s">
        <v>46</v>
      </c>
      <c r="Q326" s="1" t="s">
        <v>276</v>
      </c>
    </row>
    <row r="327" spans="1:17" ht="15">
      <c r="A327" s="4" t="str">
        <f t="shared" si="5"/>
        <v>326</v>
      </c>
      <c r="B327" s="1" t="s">
        <v>33</v>
      </c>
      <c r="C327" s="1" t="s">
        <v>45</v>
      </c>
      <c r="D327" s="1" t="s">
        <v>687</v>
      </c>
      <c r="E327" s="1">
        <v>402</v>
      </c>
      <c r="G327" s="1">
        <v>402</v>
      </c>
      <c r="M327" s="1" t="s">
        <v>46</v>
      </c>
      <c r="Q327" s="1" t="s">
        <v>277</v>
      </c>
    </row>
    <row r="328" spans="1:17" ht="15">
      <c r="A328" s="4" t="str">
        <f t="shared" si="5"/>
        <v>327</v>
      </c>
      <c r="B328" s="1" t="s">
        <v>33</v>
      </c>
      <c r="C328" s="1" t="s">
        <v>45</v>
      </c>
      <c r="D328" s="1" t="s">
        <v>687</v>
      </c>
      <c r="E328" s="1">
        <v>403</v>
      </c>
      <c r="G328" s="1">
        <v>403</v>
      </c>
      <c r="M328" s="1" t="s">
        <v>46</v>
      </c>
      <c r="Q328" s="1" t="s">
        <v>278</v>
      </c>
    </row>
    <row r="329" spans="1:17" ht="15">
      <c r="A329" s="4" t="str">
        <f t="shared" si="5"/>
        <v>328</v>
      </c>
      <c r="B329" s="1" t="s">
        <v>33</v>
      </c>
      <c r="C329" s="1" t="s">
        <v>45</v>
      </c>
      <c r="D329" s="1" t="s">
        <v>687</v>
      </c>
      <c r="E329" s="1">
        <v>404</v>
      </c>
      <c r="G329" s="1">
        <v>404</v>
      </c>
      <c r="M329" s="1" t="s">
        <v>46</v>
      </c>
      <c r="Q329" s="1" t="s">
        <v>279</v>
      </c>
    </row>
    <row r="330" spans="1:17" ht="15">
      <c r="A330" s="4" t="str">
        <f t="shared" si="5"/>
        <v>329</v>
      </c>
      <c r="B330" s="1" t="s">
        <v>33</v>
      </c>
      <c r="C330" s="1" t="s">
        <v>45</v>
      </c>
      <c r="D330" s="1" t="s">
        <v>687</v>
      </c>
      <c r="E330" s="1">
        <v>301</v>
      </c>
      <c r="G330" s="1">
        <v>301</v>
      </c>
      <c r="M330" s="1" t="s">
        <v>46</v>
      </c>
      <c r="Q330" s="1" t="s">
        <v>280</v>
      </c>
    </row>
    <row r="331" spans="1:17" ht="15">
      <c r="A331" s="4" t="str">
        <f t="shared" si="5"/>
        <v>330</v>
      </c>
      <c r="B331" s="1" t="s">
        <v>33</v>
      </c>
      <c r="C331" s="1" t="s">
        <v>45</v>
      </c>
      <c r="D331" s="1" t="s">
        <v>687</v>
      </c>
      <c r="E331" s="1">
        <v>302</v>
      </c>
      <c r="G331" s="1">
        <v>302</v>
      </c>
      <c r="M331" s="1" t="s">
        <v>46</v>
      </c>
      <c r="Q331" s="1" t="s">
        <v>281</v>
      </c>
    </row>
    <row r="332" spans="1:17" ht="15">
      <c r="A332" s="4" t="str">
        <f t="shared" si="5"/>
        <v>331</v>
      </c>
      <c r="B332" s="1" t="s">
        <v>33</v>
      </c>
      <c r="C332" s="1" t="s">
        <v>45</v>
      </c>
      <c r="D332" s="1" t="s">
        <v>687</v>
      </c>
      <c r="E332" s="1">
        <v>303</v>
      </c>
      <c r="G332" s="1">
        <v>303</v>
      </c>
      <c r="M332" s="1" t="s">
        <v>46</v>
      </c>
      <c r="Q332" s="1" t="s">
        <v>282</v>
      </c>
    </row>
    <row r="333" spans="1:17" ht="15">
      <c r="A333" s="4" t="str">
        <f t="shared" si="5"/>
        <v>332</v>
      </c>
      <c r="B333" s="1" t="s">
        <v>33</v>
      </c>
      <c r="C333" s="1" t="s">
        <v>45</v>
      </c>
      <c r="D333" s="1" t="s">
        <v>687</v>
      </c>
      <c r="E333" s="1">
        <v>304</v>
      </c>
      <c r="G333" s="1">
        <v>304</v>
      </c>
      <c r="M333" s="1" t="s">
        <v>46</v>
      </c>
      <c r="Q333" s="1" t="s">
        <v>283</v>
      </c>
    </row>
    <row r="334" spans="1:17" ht="15">
      <c r="A334" s="4" t="str">
        <f t="shared" si="5"/>
        <v>333</v>
      </c>
      <c r="B334" s="1" t="s">
        <v>33</v>
      </c>
      <c r="C334" s="1" t="s">
        <v>45</v>
      </c>
      <c r="D334" s="1" t="s">
        <v>687</v>
      </c>
      <c r="E334" s="1">
        <v>201</v>
      </c>
      <c r="G334" s="1">
        <v>201</v>
      </c>
      <c r="M334" s="1" t="s">
        <v>46</v>
      </c>
      <c r="Q334" s="1" t="s">
        <v>284</v>
      </c>
    </row>
    <row r="335" spans="1:17" ht="15">
      <c r="A335" s="4" t="str">
        <f t="shared" si="5"/>
        <v>334</v>
      </c>
      <c r="B335" s="1" t="s">
        <v>33</v>
      </c>
      <c r="C335" s="1" t="s">
        <v>45</v>
      </c>
      <c r="D335" s="1" t="s">
        <v>687</v>
      </c>
      <c r="E335" s="1">
        <v>202</v>
      </c>
      <c r="G335" s="1">
        <v>202</v>
      </c>
      <c r="M335" s="1" t="s">
        <v>46</v>
      </c>
      <c r="Q335" s="1" t="s">
        <v>285</v>
      </c>
    </row>
    <row r="336" spans="1:17" ht="15">
      <c r="A336" s="4" t="str">
        <f t="shared" si="5"/>
        <v>335</v>
      </c>
      <c r="B336" s="1" t="s">
        <v>33</v>
      </c>
      <c r="C336" s="1" t="s">
        <v>45</v>
      </c>
      <c r="D336" s="1" t="s">
        <v>687</v>
      </c>
      <c r="E336" s="1">
        <v>203</v>
      </c>
      <c r="G336" s="1">
        <v>203</v>
      </c>
      <c r="M336" s="1" t="s">
        <v>46</v>
      </c>
      <c r="Q336" s="1" t="s">
        <v>286</v>
      </c>
    </row>
    <row r="337" spans="1:17" ht="15">
      <c r="A337" s="4" t="str">
        <f t="shared" si="5"/>
        <v>336</v>
      </c>
      <c r="B337" s="1" t="s">
        <v>33</v>
      </c>
      <c r="C337" s="1" t="s">
        <v>45</v>
      </c>
      <c r="D337" s="1" t="s">
        <v>687</v>
      </c>
      <c r="E337" s="1">
        <v>204</v>
      </c>
      <c r="G337" s="1">
        <v>204</v>
      </c>
      <c r="M337" s="1" t="s">
        <v>46</v>
      </c>
      <c r="Q337" s="1" t="s">
        <v>287</v>
      </c>
    </row>
    <row r="338" spans="1:17" ht="15">
      <c r="A338" s="4" t="str">
        <f t="shared" si="5"/>
        <v>337</v>
      </c>
      <c r="B338" s="1" t="s">
        <v>33</v>
      </c>
      <c r="C338" s="1" t="s">
        <v>45</v>
      </c>
      <c r="D338" s="1" t="s">
        <v>687</v>
      </c>
      <c r="E338" s="1">
        <v>101</v>
      </c>
      <c r="G338" s="1">
        <v>101</v>
      </c>
      <c r="M338" s="1" t="s">
        <v>46</v>
      </c>
      <c r="Q338" s="1" t="s">
        <v>288</v>
      </c>
    </row>
    <row r="339" spans="1:17" ht="15">
      <c r="A339" s="4" t="str">
        <f t="shared" si="5"/>
        <v>338</v>
      </c>
      <c r="B339" s="1" t="s">
        <v>33</v>
      </c>
      <c r="C339" s="1" t="s">
        <v>45</v>
      </c>
      <c r="D339" s="1" t="s">
        <v>687</v>
      </c>
      <c r="E339" s="1">
        <v>102</v>
      </c>
      <c r="G339" s="1">
        <v>102</v>
      </c>
      <c r="M339" s="1" t="s">
        <v>46</v>
      </c>
      <c r="Q339" s="1" t="s">
        <v>289</v>
      </c>
    </row>
    <row r="340" spans="1:17" ht="15">
      <c r="A340" s="4" t="str">
        <f t="shared" si="5"/>
        <v>339</v>
      </c>
      <c r="B340" s="1" t="s">
        <v>33</v>
      </c>
      <c r="C340" s="1" t="s">
        <v>45</v>
      </c>
      <c r="D340" s="1" t="s">
        <v>687</v>
      </c>
      <c r="E340" s="1">
        <v>103</v>
      </c>
      <c r="G340" s="1">
        <v>103</v>
      </c>
      <c r="M340" s="1" t="s">
        <v>46</v>
      </c>
      <c r="Q340" s="1" t="s">
        <v>290</v>
      </c>
    </row>
    <row r="341" spans="1:17" ht="15">
      <c r="A341" s="4" t="str">
        <f t="shared" si="5"/>
        <v>340</v>
      </c>
      <c r="B341" s="1" t="s">
        <v>33</v>
      </c>
      <c r="C341" s="1" t="s">
        <v>45</v>
      </c>
      <c r="D341" s="1" t="s">
        <v>687</v>
      </c>
      <c r="E341" s="1">
        <v>104</v>
      </c>
      <c r="G341" s="1">
        <v>104</v>
      </c>
      <c r="M341" s="1" t="s">
        <v>46</v>
      </c>
      <c r="Q341" s="1" t="s">
        <v>291</v>
      </c>
    </row>
    <row r="342" spans="1:17" ht="15">
      <c r="A342" s="4" t="str">
        <f t="shared" si="5"/>
        <v>341</v>
      </c>
      <c r="B342" s="1" t="s">
        <v>33</v>
      </c>
      <c r="C342" s="1" t="s">
        <v>45</v>
      </c>
      <c r="D342" s="1" t="s">
        <v>688</v>
      </c>
      <c r="E342" s="1">
        <v>501</v>
      </c>
      <c r="G342" s="1">
        <v>501</v>
      </c>
      <c r="M342" s="1" t="s">
        <v>46</v>
      </c>
      <c r="Q342" s="1" t="s">
        <v>518</v>
      </c>
    </row>
    <row r="343" spans="1:17" ht="15">
      <c r="A343" s="4" t="str">
        <f t="shared" si="5"/>
        <v>342</v>
      </c>
      <c r="B343" s="1" t="s">
        <v>33</v>
      </c>
      <c r="C343" s="1" t="s">
        <v>45</v>
      </c>
      <c r="D343" s="1" t="s">
        <v>688</v>
      </c>
      <c r="E343" s="1">
        <v>502</v>
      </c>
      <c r="G343" s="1">
        <v>502</v>
      </c>
      <c r="M343" s="1" t="s">
        <v>46</v>
      </c>
      <c r="Q343" s="1" t="s">
        <v>519</v>
      </c>
    </row>
    <row r="344" spans="1:17" ht="15">
      <c r="A344" s="4" t="str">
        <f t="shared" si="5"/>
        <v>343</v>
      </c>
      <c r="B344" s="1" t="s">
        <v>33</v>
      </c>
      <c r="C344" s="1" t="s">
        <v>45</v>
      </c>
      <c r="D344" s="1" t="s">
        <v>688</v>
      </c>
      <c r="E344" s="1">
        <v>503</v>
      </c>
      <c r="G344" s="1">
        <v>503</v>
      </c>
      <c r="M344" s="1" t="s">
        <v>46</v>
      </c>
      <c r="Q344" s="1" t="s">
        <v>520</v>
      </c>
    </row>
    <row r="345" spans="1:17" ht="15">
      <c r="A345" s="4" t="str">
        <f t="shared" si="5"/>
        <v>344</v>
      </c>
      <c r="B345" s="1" t="s">
        <v>33</v>
      </c>
      <c r="C345" s="1" t="s">
        <v>45</v>
      </c>
      <c r="D345" s="1" t="s">
        <v>688</v>
      </c>
      <c r="E345" s="1">
        <v>504</v>
      </c>
      <c r="G345" s="1">
        <v>504</v>
      </c>
      <c r="M345" s="1" t="s">
        <v>46</v>
      </c>
      <c r="Q345" s="1" t="s">
        <v>521</v>
      </c>
    </row>
    <row r="346" spans="1:17" ht="15">
      <c r="A346" s="4" t="str">
        <f t="shared" si="5"/>
        <v>345</v>
      </c>
      <c r="B346" s="1" t="s">
        <v>33</v>
      </c>
      <c r="C346" s="1" t="s">
        <v>45</v>
      </c>
      <c r="D346" s="1" t="s">
        <v>688</v>
      </c>
      <c r="E346" s="1">
        <v>401</v>
      </c>
      <c r="G346" s="1">
        <v>401</v>
      </c>
      <c r="M346" s="1" t="s">
        <v>46</v>
      </c>
      <c r="Q346" s="1" t="s">
        <v>522</v>
      </c>
    </row>
    <row r="347" spans="1:17" ht="15">
      <c r="A347" s="4" t="str">
        <f t="shared" si="5"/>
        <v>346</v>
      </c>
      <c r="B347" s="1" t="s">
        <v>33</v>
      </c>
      <c r="C347" s="1" t="s">
        <v>45</v>
      </c>
      <c r="D347" s="1" t="s">
        <v>688</v>
      </c>
      <c r="E347" s="1">
        <v>402</v>
      </c>
      <c r="G347" s="1">
        <v>402</v>
      </c>
      <c r="M347" s="1" t="s">
        <v>46</v>
      </c>
      <c r="Q347" s="1" t="s">
        <v>523</v>
      </c>
    </row>
    <row r="348" spans="1:17" ht="15">
      <c r="A348" s="4" t="str">
        <f t="shared" si="5"/>
        <v>347</v>
      </c>
      <c r="B348" s="1" t="s">
        <v>33</v>
      </c>
      <c r="C348" s="1" t="s">
        <v>45</v>
      </c>
      <c r="D348" s="1" t="s">
        <v>688</v>
      </c>
      <c r="E348" s="1">
        <v>403</v>
      </c>
      <c r="G348" s="1">
        <v>403</v>
      </c>
      <c r="M348" s="1" t="s">
        <v>46</v>
      </c>
      <c r="Q348" s="1" t="s">
        <v>524</v>
      </c>
    </row>
    <row r="349" spans="1:17" ht="15">
      <c r="A349" s="4" t="str">
        <f t="shared" si="5"/>
        <v>348</v>
      </c>
      <c r="B349" s="1" t="s">
        <v>33</v>
      </c>
      <c r="C349" s="1" t="s">
        <v>45</v>
      </c>
      <c r="D349" s="1" t="s">
        <v>688</v>
      </c>
      <c r="E349" s="1">
        <v>404</v>
      </c>
      <c r="G349" s="1">
        <v>404</v>
      </c>
      <c r="M349" s="1" t="s">
        <v>46</v>
      </c>
      <c r="Q349" s="1" t="s">
        <v>525</v>
      </c>
    </row>
    <row r="350" spans="1:17" ht="15">
      <c r="A350" s="4" t="str">
        <f t="shared" si="5"/>
        <v>349</v>
      </c>
      <c r="B350" s="1" t="s">
        <v>33</v>
      </c>
      <c r="C350" s="1" t="s">
        <v>45</v>
      </c>
      <c r="D350" s="1" t="s">
        <v>688</v>
      </c>
      <c r="E350" s="1">
        <v>301</v>
      </c>
      <c r="G350" s="1">
        <v>301</v>
      </c>
      <c r="M350" s="1" t="s">
        <v>46</v>
      </c>
      <c r="Q350" s="1" t="s">
        <v>526</v>
      </c>
    </row>
    <row r="351" spans="1:17" ht="15">
      <c r="A351" s="4" t="str">
        <f t="shared" si="5"/>
        <v>350</v>
      </c>
      <c r="B351" s="1" t="s">
        <v>33</v>
      </c>
      <c r="C351" s="1" t="s">
        <v>45</v>
      </c>
      <c r="D351" s="1" t="s">
        <v>688</v>
      </c>
      <c r="E351" s="1">
        <v>302</v>
      </c>
      <c r="G351" s="1">
        <v>302</v>
      </c>
      <c r="M351" s="1" t="s">
        <v>46</v>
      </c>
      <c r="Q351" s="1" t="s">
        <v>527</v>
      </c>
    </row>
    <row r="352" spans="1:17" ht="15">
      <c r="A352" s="4" t="str">
        <f t="shared" si="5"/>
        <v>351</v>
      </c>
      <c r="B352" s="1" t="s">
        <v>33</v>
      </c>
      <c r="C352" s="1" t="s">
        <v>45</v>
      </c>
      <c r="D352" s="1" t="s">
        <v>688</v>
      </c>
      <c r="E352" s="1">
        <v>303</v>
      </c>
      <c r="G352" s="1">
        <v>303</v>
      </c>
      <c r="M352" s="1" t="s">
        <v>46</v>
      </c>
      <c r="Q352" s="1" t="s">
        <v>528</v>
      </c>
    </row>
    <row r="353" spans="1:17" ht="15">
      <c r="A353" s="4" t="str">
        <f t="shared" si="5"/>
        <v>352</v>
      </c>
      <c r="B353" s="1" t="s">
        <v>33</v>
      </c>
      <c r="C353" s="1" t="s">
        <v>45</v>
      </c>
      <c r="D353" s="1" t="s">
        <v>688</v>
      </c>
      <c r="E353" s="1">
        <v>304</v>
      </c>
      <c r="G353" s="1">
        <v>304</v>
      </c>
      <c r="M353" s="1" t="s">
        <v>46</v>
      </c>
      <c r="Q353" s="1" t="s">
        <v>529</v>
      </c>
    </row>
    <row r="354" spans="1:17" ht="15">
      <c r="A354" s="4" t="str">
        <f t="shared" si="5"/>
        <v>353</v>
      </c>
      <c r="B354" s="1" t="s">
        <v>33</v>
      </c>
      <c r="C354" s="1" t="s">
        <v>45</v>
      </c>
      <c r="D354" s="1" t="s">
        <v>688</v>
      </c>
      <c r="E354" s="1">
        <v>201</v>
      </c>
      <c r="G354" s="1">
        <v>201</v>
      </c>
      <c r="M354" s="1" t="s">
        <v>46</v>
      </c>
      <c r="Q354" s="1" t="s">
        <v>530</v>
      </c>
    </row>
    <row r="355" spans="1:17" ht="15">
      <c r="A355" s="4" t="str">
        <f t="shared" si="5"/>
        <v>354</v>
      </c>
      <c r="B355" s="1" t="s">
        <v>33</v>
      </c>
      <c r="C355" s="1" t="s">
        <v>45</v>
      </c>
      <c r="D355" s="1" t="s">
        <v>688</v>
      </c>
      <c r="E355" s="1">
        <v>202</v>
      </c>
      <c r="G355" s="1">
        <v>202</v>
      </c>
      <c r="M355" s="1" t="s">
        <v>46</v>
      </c>
      <c r="Q355" s="1" t="s">
        <v>531</v>
      </c>
    </row>
    <row r="356" spans="1:17" ht="15">
      <c r="A356" s="4" t="str">
        <f t="shared" si="5"/>
        <v>355</v>
      </c>
      <c r="B356" s="1" t="s">
        <v>33</v>
      </c>
      <c r="C356" s="1" t="s">
        <v>45</v>
      </c>
      <c r="D356" s="1" t="s">
        <v>688</v>
      </c>
      <c r="E356" s="1">
        <v>203</v>
      </c>
      <c r="G356" s="1">
        <v>203</v>
      </c>
      <c r="M356" s="1" t="s">
        <v>46</v>
      </c>
      <c r="Q356" s="1" t="s">
        <v>532</v>
      </c>
    </row>
    <row r="357" spans="1:17" ht="15">
      <c r="A357" s="4" t="str">
        <f t="shared" si="5"/>
        <v>356</v>
      </c>
      <c r="B357" s="1" t="s">
        <v>33</v>
      </c>
      <c r="C357" s="1" t="s">
        <v>45</v>
      </c>
      <c r="D357" s="1" t="s">
        <v>688</v>
      </c>
      <c r="E357" s="1">
        <v>204</v>
      </c>
      <c r="G357" s="1">
        <v>204</v>
      </c>
      <c r="M357" s="1" t="s">
        <v>46</v>
      </c>
      <c r="Q357" s="1" t="s">
        <v>533</v>
      </c>
    </row>
    <row r="358" spans="1:17" ht="15">
      <c r="A358" s="4" t="str">
        <f t="shared" si="5"/>
        <v>357</v>
      </c>
      <c r="B358" s="1" t="s">
        <v>33</v>
      </c>
      <c r="C358" s="1" t="s">
        <v>45</v>
      </c>
      <c r="D358" s="1" t="s">
        <v>688</v>
      </c>
      <c r="E358" s="1">
        <v>101</v>
      </c>
      <c r="G358" s="1">
        <v>101</v>
      </c>
      <c r="M358" s="1" t="s">
        <v>46</v>
      </c>
      <c r="Q358" s="1" t="s">
        <v>534</v>
      </c>
    </row>
    <row r="359" spans="1:17" ht="15">
      <c r="A359" s="4" t="str">
        <f t="shared" si="5"/>
        <v>358</v>
      </c>
      <c r="B359" s="1" t="s">
        <v>33</v>
      </c>
      <c r="C359" s="1" t="s">
        <v>45</v>
      </c>
      <c r="D359" s="1" t="s">
        <v>688</v>
      </c>
      <c r="E359" s="1">
        <v>102</v>
      </c>
      <c r="G359" s="1">
        <v>102</v>
      </c>
      <c r="M359" s="1" t="s">
        <v>46</v>
      </c>
      <c r="Q359" s="1" t="s">
        <v>535</v>
      </c>
    </row>
    <row r="360" spans="1:17" ht="15">
      <c r="A360" s="4" t="str">
        <f t="shared" si="5"/>
        <v>359</v>
      </c>
      <c r="B360" s="1" t="s">
        <v>33</v>
      </c>
      <c r="C360" s="1" t="s">
        <v>45</v>
      </c>
      <c r="D360" s="1" t="s">
        <v>688</v>
      </c>
      <c r="E360" s="1">
        <v>103</v>
      </c>
      <c r="G360" s="1">
        <v>103</v>
      </c>
      <c r="M360" s="1" t="s">
        <v>46</v>
      </c>
      <c r="Q360" s="1" t="s">
        <v>536</v>
      </c>
    </row>
    <row r="361" spans="1:17" ht="15">
      <c r="A361" s="4" t="str">
        <f t="shared" si="5"/>
        <v>360</v>
      </c>
      <c r="B361" s="1" t="s">
        <v>33</v>
      </c>
      <c r="C361" s="1" t="s">
        <v>45</v>
      </c>
      <c r="D361" s="1" t="s">
        <v>688</v>
      </c>
      <c r="E361" s="1">
        <v>104</v>
      </c>
      <c r="G361" s="1">
        <v>104</v>
      </c>
      <c r="M361" s="1" t="s">
        <v>46</v>
      </c>
      <c r="Q361" s="1" t="s">
        <v>537</v>
      </c>
    </row>
    <row r="362" spans="1:17" ht="15">
      <c r="A362" s="4" t="str">
        <f t="shared" si="5"/>
        <v>361</v>
      </c>
      <c r="B362" s="1" t="s">
        <v>33</v>
      </c>
      <c r="C362" s="1" t="s">
        <v>44</v>
      </c>
      <c r="D362" s="1" t="s">
        <v>686</v>
      </c>
      <c r="E362" s="1">
        <v>101</v>
      </c>
      <c r="G362" s="1">
        <v>101</v>
      </c>
      <c r="M362" s="1" t="s">
        <v>46</v>
      </c>
      <c r="Q362" s="1" t="s">
        <v>315</v>
      </c>
    </row>
    <row r="363" spans="1:17" ht="15">
      <c r="A363" s="4" t="str">
        <f t="shared" si="5"/>
        <v>362</v>
      </c>
      <c r="B363" s="1" t="s">
        <v>33</v>
      </c>
      <c r="C363" s="1" t="s">
        <v>44</v>
      </c>
      <c r="D363" s="1" t="s">
        <v>686</v>
      </c>
      <c r="E363" s="1">
        <v>102</v>
      </c>
      <c r="G363" s="1">
        <v>102</v>
      </c>
      <c r="M363" s="1" t="s">
        <v>46</v>
      </c>
      <c r="Q363" s="1" t="s">
        <v>316</v>
      </c>
    </row>
    <row r="364" spans="1:17" ht="15">
      <c r="A364" s="4" t="str">
        <f t="shared" si="5"/>
        <v>363</v>
      </c>
      <c r="B364" s="1" t="s">
        <v>33</v>
      </c>
      <c r="C364" s="1" t="s">
        <v>44</v>
      </c>
      <c r="D364" s="1" t="s">
        <v>686</v>
      </c>
      <c r="E364" s="1">
        <v>103</v>
      </c>
      <c r="G364" s="1">
        <v>103</v>
      </c>
      <c r="M364" s="1" t="s">
        <v>46</v>
      </c>
      <c r="Q364" s="1" t="s">
        <v>317</v>
      </c>
    </row>
    <row r="365" spans="1:17" ht="15">
      <c r="A365" s="4" t="str">
        <f t="shared" si="5"/>
        <v>364</v>
      </c>
      <c r="B365" s="1" t="s">
        <v>33</v>
      </c>
      <c r="C365" s="1" t="s">
        <v>44</v>
      </c>
      <c r="D365" s="1" t="s">
        <v>686</v>
      </c>
      <c r="E365" s="1">
        <v>104</v>
      </c>
      <c r="G365" s="1">
        <v>104</v>
      </c>
      <c r="M365" s="1" t="s">
        <v>46</v>
      </c>
      <c r="Q365" s="1" t="s">
        <v>318</v>
      </c>
    </row>
    <row r="366" spans="1:17" ht="15">
      <c r="A366" s="4" t="str">
        <f t="shared" si="5"/>
        <v>365</v>
      </c>
      <c r="B366" s="1" t="s">
        <v>33</v>
      </c>
      <c r="C366" s="1" t="s">
        <v>44</v>
      </c>
      <c r="D366" s="1" t="s">
        <v>686</v>
      </c>
      <c r="E366" s="1">
        <v>201</v>
      </c>
      <c r="G366" s="1">
        <v>201</v>
      </c>
      <c r="M366" s="1" t="s">
        <v>46</v>
      </c>
      <c r="Q366" s="1" t="s">
        <v>311</v>
      </c>
    </row>
    <row r="367" spans="1:17" ht="15">
      <c r="A367" s="4" t="str">
        <f t="shared" si="5"/>
        <v>366</v>
      </c>
      <c r="B367" s="1" t="s">
        <v>33</v>
      </c>
      <c r="C367" s="1" t="s">
        <v>44</v>
      </c>
      <c r="D367" s="1" t="s">
        <v>686</v>
      </c>
      <c r="E367" s="1">
        <v>202</v>
      </c>
      <c r="G367" s="1">
        <v>202</v>
      </c>
      <c r="M367" s="1" t="s">
        <v>46</v>
      </c>
      <c r="Q367" s="1" t="s">
        <v>312</v>
      </c>
    </row>
    <row r="368" spans="1:17" ht="15">
      <c r="A368" s="4" t="str">
        <f t="shared" si="5"/>
        <v>367</v>
      </c>
      <c r="B368" s="1" t="s">
        <v>33</v>
      </c>
      <c r="C368" s="1" t="s">
        <v>44</v>
      </c>
      <c r="D368" s="1" t="s">
        <v>686</v>
      </c>
      <c r="E368" s="1">
        <v>203</v>
      </c>
      <c r="G368" s="1">
        <v>203</v>
      </c>
      <c r="M368" s="1" t="s">
        <v>46</v>
      </c>
      <c r="Q368" s="1" t="s">
        <v>313</v>
      </c>
    </row>
    <row r="369" spans="1:17" ht="15">
      <c r="A369" s="4" t="str">
        <f t="shared" si="5"/>
        <v>368</v>
      </c>
      <c r="B369" s="1" t="s">
        <v>33</v>
      </c>
      <c r="C369" s="1" t="s">
        <v>44</v>
      </c>
      <c r="D369" s="1" t="s">
        <v>686</v>
      </c>
      <c r="E369" s="1">
        <v>204</v>
      </c>
      <c r="G369" s="1">
        <v>204</v>
      </c>
      <c r="M369" s="1" t="s">
        <v>46</v>
      </c>
      <c r="Q369" s="1" t="s">
        <v>314</v>
      </c>
    </row>
    <row r="370" spans="1:17" ht="15">
      <c r="A370" s="4" t="str">
        <f t="shared" si="5"/>
        <v>369</v>
      </c>
      <c r="B370" s="1" t="s">
        <v>33</v>
      </c>
      <c r="C370" s="1" t="s">
        <v>44</v>
      </c>
      <c r="D370" s="1" t="s">
        <v>686</v>
      </c>
      <c r="E370" s="1">
        <v>301</v>
      </c>
      <c r="G370" s="1">
        <v>301</v>
      </c>
      <c r="M370" s="1" t="s">
        <v>46</v>
      </c>
      <c r="Q370" s="1" t="s">
        <v>538</v>
      </c>
    </row>
    <row r="371" spans="1:17" ht="15">
      <c r="A371" s="4" t="str">
        <f t="shared" si="5"/>
        <v>370</v>
      </c>
      <c r="B371" s="1" t="s">
        <v>33</v>
      </c>
      <c r="C371" s="1" t="s">
        <v>44</v>
      </c>
      <c r="D371" s="1" t="s">
        <v>686</v>
      </c>
      <c r="E371" s="1">
        <v>302</v>
      </c>
      <c r="G371" s="1">
        <v>302</v>
      </c>
      <c r="M371" s="1" t="s">
        <v>46</v>
      </c>
      <c r="Q371" s="1" t="s">
        <v>539</v>
      </c>
    </row>
    <row r="372" spans="1:17" ht="15">
      <c r="A372" s="4" t="str">
        <f t="shared" si="5"/>
        <v>371</v>
      </c>
      <c r="B372" s="1" t="s">
        <v>33</v>
      </c>
      <c r="C372" s="1" t="s">
        <v>44</v>
      </c>
      <c r="D372" s="1" t="s">
        <v>686</v>
      </c>
      <c r="E372" s="1">
        <v>303</v>
      </c>
      <c r="G372" s="1">
        <v>303</v>
      </c>
      <c r="M372" s="1" t="s">
        <v>46</v>
      </c>
      <c r="Q372" s="1" t="s">
        <v>540</v>
      </c>
    </row>
    <row r="373" spans="1:17" ht="15">
      <c r="A373" s="4" t="str">
        <f t="shared" si="5"/>
        <v>372</v>
      </c>
      <c r="B373" s="1" t="s">
        <v>33</v>
      </c>
      <c r="C373" s="1" t="s">
        <v>44</v>
      </c>
      <c r="D373" s="1" t="s">
        <v>686</v>
      </c>
      <c r="E373" s="1">
        <v>304</v>
      </c>
      <c r="G373" s="1">
        <v>304</v>
      </c>
      <c r="M373" s="1" t="s">
        <v>46</v>
      </c>
      <c r="Q373" s="1" t="s">
        <v>541</v>
      </c>
    </row>
    <row r="374" spans="1:17" ht="15">
      <c r="A374" s="4" t="str">
        <f t="shared" si="5"/>
        <v>373</v>
      </c>
      <c r="B374" s="1" t="s">
        <v>33</v>
      </c>
      <c r="C374" s="1" t="s">
        <v>44</v>
      </c>
      <c r="D374" s="1" t="s">
        <v>686</v>
      </c>
      <c r="E374" s="1">
        <v>401</v>
      </c>
      <c r="G374" s="1">
        <v>401</v>
      </c>
      <c r="M374" s="1" t="s">
        <v>46</v>
      </c>
      <c r="Q374" s="1" t="s">
        <v>542</v>
      </c>
    </row>
    <row r="375" spans="1:17" ht="15">
      <c r="A375" s="4" t="str">
        <f t="shared" si="5"/>
        <v>374</v>
      </c>
      <c r="B375" s="1" t="s">
        <v>33</v>
      </c>
      <c r="C375" s="1" t="s">
        <v>44</v>
      </c>
      <c r="D375" s="1" t="s">
        <v>686</v>
      </c>
      <c r="E375" s="1">
        <v>402</v>
      </c>
      <c r="G375" s="1">
        <v>402</v>
      </c>
      <c r="M375" s="1" t="s">
        <v>46</v>
      </c>
      <c r="Q375" s="1" t="s">
        <v>543</v>
      </c>
    </row>
    <row r="376" spans="1:17" ht="15">
      <c r="A376" s="4" t="str">
        <f t="shared" si="5"/>
        <v>375</v>
      </c>
      <c r="B376" s="1" t="s">
        <v>33</v>
      </c>
      <c r="C376" s="1" t="s">
        <v>44</v>
      </c>
      <c r="D376" s="1" t="s">
        <v>686</v>
      </c>
      <c r="E376" s="1">
        <v>403</v>
      </c>
      <c r="G376" s="1">
        <v>403</v>
      </c>
      <c r="M376" s="1" t="s">
        <v>46</v>
      </c>
      <c r="Q376" s="1" t="s">
        <v>544</v>
      </c>
    </row>
    <row r="377" spans="1:17" ht="15">
      <c r="A377" s="4" t="str">
        <f t="shared" si="5"/>
        <v>376</v>
      </c>
      <c r="B377" s="1" t="s">
        <v>33</v>
      </c>
      <c r="C377" s="1" t="s">
        <v>44</v>
      </c>
      <c r="D377" s="1" t="s">
        <v>686</v>
      </c>
      <c r="E377" s="1">
        <v>404</v>
      </c>
      <c r="G377" s="1">
        <v>404</v>
      </c>
      <c r="M377" s="1" t="s">
        <v>46</v>
      </c>
      <c r="Q377" s="1" t="s">
        <v>545</v>
      </c>
    </row>
    <row r="378" spans="1:17" ht="15">
      <c r="A378" s="4" t="str">
        <f t="shared" si="5"/>
        <v>377</v>
      </c>
      <c r="B378" s="1" t="s">
        <v>33</v>
      </c>
      <c r="C378" s="1" t="s">
        <v>44</v>
      </c>
      <c r="D378" s="1" t="s">
        <v>686</v>
      </c>
      <c r="E378" s="1">
        <v>501</v>
      </c>
      <c r="G378" s="1">
        <v>501</v>
      </c>
      <c r="M378" s="1" t="s">
        <v>46</v>
      </c>
      <c r="Q378" s="1" t="s">
        <v>546</v>
      </c>
    </row>
    <row r="379" spans="1:17" ht="15">
      <c r="A379" s="4" t="str">
        <f t="shared" si="5"/>
        <v>378</v>
      </c>
      <c r="B379" s="1" t="s">
        <v>33</v>
      </c>
      <c r="C379" s="1" t="s">
        <v>44</v>
      </c>
      <c r="D379" s="1" t="s">
        <v>686</v>
      </c>
      <c r="E379" s="1">
        <v>502</v>
      </c>
      <c r="G379" s="1">
        <v>502</v>
      </c>
      <c r="M379" s="1" t="s">
        <v>46</v>
      </c>
      <c r="Q379" s="1" t="s">
        <v>547</v>
      </c>
    </row>
    <row r="380" spans="1:17" ht="15">
      <c r="A380" s="4" t="str">
        <f t="shared" si="5"/>
        <v>379</v>
      </c>
      <c r="B380" s="1" t="s">
        <v>33</v>
      </c>
      <c r="C380" s="1" t="s">
        <v>44</v>
      </c>
      <c r="D380" s="1" t="s">
        <v>686</v>
      </c>
      <c r="E380" s="1">
        <v>503</v>
      </c>
      <c r="G380" s="1">
        <v>503</v>
      </c>
      <c r="M380" s="1" t="s">
        <v>46</v>
      </c>
      <c r="Q380" s="1" t="s">
        <v>548</v>
      </c>
    </row>
    <row r="381" spans="1:17" ht="15">
      <c r="A381" s="4" t="str">
        <f t="shared" si="5"/>
        <v>380</v>
      </c>
      <c r="B381" s="1" t="s">
        <v>33</v>
      </c>
      <c r="C381" s="1" t="s">
        <v>44</v>
      </c>
      <c r="D381" s="1" t="s">
        <v>686</v>
      </c>
      <c r="E381" s="1">
        <v>504</v>
      </c>
      <c r="G381" s="1">
        <v>504</v>
      </c>
      <c r="M381" s="1" t="s">
        <v>46</v>
      </c>
      <c r="Q381" s="1" t="s">
        <v>549</v>
      </c>
    </row>
    <row r="382" spans="1:17" ht="15">
      <c r="A382" s="4" t="str">
        <f t="shared" si="5"/>
        <v>381</v>
      </c>
      <c r="B382" s="1" t="s">
        <v>33</v>
      </c>
      <c r="C382" s="1" t="s">
        <v>44</v>
      </c>
      <c r="D382" s="1" t="s">
        <v>687</v>
      </c>
      <c r="E382" s="1">
        <v>501</v>
      </c>
      <c r="G382" s="1">
        <v>501</v>
      </c>
      <c r="M382" s="1" t="s">
        <v>46</v>
      </c>
      <c r="Q382" s="1" t="s">
        <v>550</v>
      </c>
    </row>
    <row r="383" spans="1:17" ht="15">
      <c r="A383" s="4" t="str">
        <f t="shared" si="5"/>
        <v>382</v>
      </c>
      <c r="B383" s="1" t="s">
        <v>33</v>
      </c>
      <c r="C383" s="1" t="s">
        <v>44</v>
      </c>
      <c r="D383" s="1" t="s">
        <v>687</v>
      </c>
      <c r="E383" s="1">
        <v>502</v>
      </c>
      <c r="G383" s="1">
        <v>502</v>
      </c>
      <c r="M383" s="1" t="s">
        <v>46</v>
      </c>
      <c r="Q383" s="1" t="s">
        <v>551</v>
      </c>
    </row>
    <row r="384" spans="1:17" ht="15">
      <c r="A384" s="4" t="str">
        <f t="shared" si="5"/>
        <v>383</v>
      </c>
      <c r="B384" s="1" t="s">
        <v>33</v>
      </c>
      <c r="C384" s="1" t="s">
        <v>44</v>
      </c>
      <c r="D384" s="1" t="s">
        <v>687</v>
      </c>
      <c r="E384" s="1">
        <v>503</v>
      </c>
      <c r="G384" s="1">
        <v>503</v>
      </c>
      <c r="M384" s="1" t="s">
        <v>46</v>
      </c>
      <c r="Q384" s="1" t="s">
        <v>552</v>
      </c>
    </row>
    <row r="385" spans="1:17" ht="15">
      <c r="A385" s="4" t="str">
        <f t="shared" si="5"/>
        <v>384</v>
      </c>
      <c r="B385" s="1" t="s">
        <v>33</v>
      </c>
      <c r="C385" s="1" t="s">
        <v>44</v>
      </c>
      <c r="D385" s="1" t="s">
        <v>687</v>
      </c>
      <c r="E385" s="1">
        <v>504</v>
      </c>
      <c r="G385" s="1">
        <v>504</v>
      </c>
      <c r="M385" s="1" t="s">
        <v>46</v>
      </c>
      <c r="Q385" s="1" t="s">
        <v>553</v>
      </c>
    </row>
    <row r="386" spans="1:17" ht="15">
      <c r="A386" s="4" t="str">
        <f t="shared" si="5"/>
        <v>385</v>
      </c>
      <c r="B386" s="1" t="s">
        <v>33</v>
      </c>
      <c r="C386" s="1" t="s">
        <v>44</v>
      </c>
      <c r="D386" s="1" t="s">
        <v>687</v>
      </c>
      <c r="E386" s="1">
        <v>101</v>
      </c>
      <c r="G386" s="1">
        <v>101</v>
      </c>
      <c r="M386" s="1" t="s">
        <v>46</v>
      </c>
      <c r="Q386" s="1" t="s">
        <v>554</v>
      </c>
    </row>
    <row r="387" spans="1:17" ht="15">
      <c r="A387" s="4" t="str">
        <f t="shared" ref="A387:A450" si="6">TEXT(ROW(A386),"000")</f>
        <v>386</v>
      </c>
      <c r="B387" s="1" t="s">
        <v>33</v>
      </c>
      <c r="C387" s="1" t="s">
        <v>44</v>
      </c>
      <c r="D387" s="1" t="s">
        <v>687</v>
      </c>
      <c r="E387" s="1">
        <v>102</v>
      </c>
      <c r="G387" s="1">
        <v>102</v>
      </c>
      <c r="M387" s="1" t="s">
        <v>46</v>
      </c>
      <c r="Q387" s="1" t="s">
        <v>555</v>
      </c>
    </row>
    <row r="388" spans="1:17" ht="15">
      <c r="A388" s="4" t="str">
        <f t="shared" si="6"/>
        <v>387</v>
      </c>
      <c r="B388" s="1" t="s">
        <v>33</v>
      </c>
      <c r="C388" s="1" t="s">
        <v>44</v>
      </c>
      <c r="D388" s="1" t="s">
        <v>687</v>
      </c>
      <c r="E388" s="1">
        <v>103</v>
      </c>
      <c r="G388" s="1">
        <v>103</v>
      </c>
      <c r="M388" s="1" t="s">
        <v>46</v>
      </c>
      <c r="Q388" s="1" t="s">
        <v>556</v>
      </c>
    </row>
    <row r="389" spans="1:17" ht="15">
      <c r="A389" s="4" t="str">
        <f t="shared" si="6"/>
        <v>388</v>
      </c>
      <c r="B389" s="1" t="s">
        <v>33</v>
      </c>
      <c r="C389" s="1" t="s">
        <v>44</v>
      </c>
      <c r="D389" s="1" t="s">
        <v>687</v>
      </c>
      <c r="E389" s="1">
        <v>104</v>
      </c>
      <c r="G389" s="1">
        <v>104</v>
      </c>
      <c r="M389" s="1" t="s">
        <v>46</v>
      </c>
      <c r="Q389" s="1" t="s">
        <v>557</v>
      </c>
    </row>
    <row r="390" spans="1:17" ht="15">
      <c r="A390" s="4" t="str">
        <f t="shared" si="6"/>
        <v>389</v>
      </c>
      <c r="B390" s="1" t="s">
        <v>33</v>
      </c>
      <c r="C390" s="1" t="s">
        <v>44</v>
      </c>
      <c r="D390" s="1" t="s">
        <v>687</v>
      </c>
      <c r="E390" s="1">
        <v>201</v>
      </c>
      <c r="G390" s="1">
        <v>201</v>
      </c>
      <c r="M390" s="1" t="s">
        <v>46</v>
      </c>
      <c r="Q390" s="1" t="s">
        <v>558</v>
      </c>
    </row>
    <row r="391" spans="1:17" ht="15">
      <c r="A391" s="4" t="str">
        <f t="shared" si="6"/>
        <v>390</v>
      </c>
      <c r="B391" s="1" t="s">
        <v>33</v>
      </c>
      <c r="C391" s="1" t="s">
        <v>44</v>
      </c>
      <c r="D391" s="1" t="s">
        <v>687</v>
      </c>
      <c r="E391" s="1">
        <v>202</v>
      </c>
      <c r="G391" s="1">
        <v>202</v>
      </c>
      <c r="M391" s="1" t="s">
        <v>46</v>
      </c>
      <c r="Q391" s="1" t="s">
        <v>559</v>
      </c>
    </row>
    <row r="392" spans="1:17" ht="15">
      <c r="A392" s="4" t="str">
        <f t="shared" si="6"/>
        <v>391</v>
      </c>
      <c r="B392" s="1" t="s">
        <v>33</v>
      </c>
      <c r="C392" s="1" t="s">
        <v>44</v>
      </c>
      <c r="D392" s="1" t="s">
        <v>687</v>
      </c>
      <c r="E392" s="1">
        <v>203</v>
      </c>
      <c r="G392" s="1">
        <v>203</v>
      </c>
      <c r="M392" s="1" t="s">
        <v>46</v>
      </c>
      <c r="Q392" s="1" t="s">
        <v>560</v>
      </c>
    </row>
    <row r="393" spans="1:17" ht="15">
      <c r="A393" s="4" t="str">
        <f t="shared" si="6"/>
        <v>392</v>
      </c>
      <c r="B393" s="1" t="s">
        <v>33</v>
      </c>
      <c r="C393" s="1" t="s">
        <v>44</v>
      </c>
      <c r="D393" s="1" t="s">
        <v>687</v>
      </c>
      <c r="E393" s="1">
        <v>204</v>
      </c>
      <c r="G393" s="1">
        <v>204</v>
      </c>
      <c r="M393" s="1" t="s">
        <v>46</v>
      </c>
      <c r="Q393" s="1" t="s">
        <v>561</v>
      </c>
    </row>
    <row r="394" spans="1:17" ht="15">
      <c r="A394" s="4" t="str">
        <f t="shared" si="6"/>
        <v>393</v>
      </c>
      <c r="B394" s="1" t="s">
        <v>33</v>
      </c>
      <c r="C394" s="1" t="s">
        <v>44</v>
      </c>
      <c r="D394" s="1" t="s">
        <v>687</v>
      </c>
      <c r="E394" s="1">
        <v>301</v>
      </c>
      <c r="G394" s="1">
        <v>301</v>
      </c>
      <c r="M394" s="1" t="s">
        <v>46</v>
      </c>
      <c r="Q394" s="1" t="s">
        <v>562</v>
      </c>
    </row>
    <row r="395" spans="1:17" ht="15">
      <c r="A395" s="4" t="str">
        <f t="shared" si="6"/>
        <v>394</v>
      </c>
      <c r="B395" s="1" t="s">
        <v>33</v>
      </c>
      <c r="C395" s="1" t="s">
        <v>44</v>
      </c>
      <c r="D395" s="1" t="s">
        <v>687</v>
      </c>
      <c r="E395" s="1">
        <v>302</v>
      </c>
      <c r="G395" s="1">
        <v>302</v>
      </c>
      <c r="M395" s="1" t="s">
        <v>46</v>
      </c>
      <c r="Q395" s="1" t="s">
        <v>563</v>
      </c>
    </row>
    <row r="396" spans="1:17" ht="15">
      <c r="A396" s="4" t="str">
        <f t="shared" si="6"/>
        <v>395</v>
      </c>
      <c r="B396" s="1" t="s">
        <v>33</v>
      </c>
      <c r="C396" s="1" t="s">
        <v>44</v>
      </c>
      <c r="D396" s="1" t="s">
        <v>687</v>
      </c>
      <c r="E396" s="1">
        <v>303</v>
      </c>
      <c r="G396" s="1">
        <v>303</v>
      </c>
      <c r="M396" s="1" t="s">
        <v>46</v>
      </c>
      <c r="Q396" s="1" t="s">
        <v>564</v>
      </c>
    </row>
    <row r="397" spans="1:17" ht="15">
      <c r="A397" s="4" t="str">
        <f t="shared" si="6"/>
        <v>396</v>
      </c>
      <c r="B397" s="1" t="s">
        <v>33</v>
      </c>
      <c r="C397" s="1" t="s">
        <v>44</v>
      </c>
      <c r="D397" s="1" t="s">
        <v>687</v>
      </c>
      <c r="E397" s="1">
        <v>304</v>
      </c>
      <c r="G397" s="1">
        <v>304</v>
      </c>
      <c r="M397" s="1" t="s">
        <v>46</v>
      </c>
      <c r="Q397" s="1" t="s">
        <v>565</v>
      </c>
    </row>
    <row r="398" spans="1:17" ht="15">
      <c r="A398" s="4" t="str">
        <f t="shared" si="6"/>
        <v>397</v>
      </c>
      <c r="B398" s="1" t="s">
        <v>33</v>
      </c>
      <c r="C398" s="1" t="s">
        <v>44</v>
      </c>
      <c r="D398" s="1" t="s">
        <v>687</v>
      </c>
      <c r="E398" s="1">
        <v>401</v>
      </c>
      <c r="G398" s="1">
        <v>401</v>
      </c>
      <c r="M398" s="1" t="s">
        <v>46</v>
      </c>
      <c r="Q398" s="1" t="s">
        <v>566</v>
      </c>
    </row>
    <row r="399" spans="1:17" ht="15">
      <c r="A399" s="4" t="str">
        <f t="shared" si="6"/>
        <v>398</v>
      </c>
      <c r="B399" s="1" t="s">
        <v>33</v>
      </c>
      <c r="C399" s="1" t="s">
        <v>44</v>
      </c>
      <c r="D399" s="1" t="s">
        <v>687</v>
      </c>
      <c r="E399" s="1">
        <v>402</v>
      </c>
      <c r="G399" s="1">
        <v>402</v>
      </c>
      <c r="M399" s="1" t="s">
        <v>46</v>
      </c>
      <c r="Q399" s="1" t="s">
        <v>567</v>
      </c>
    </row>
    <row r="400" spans="1:17" ht="15">
      <c r="A400" s="4" t="str">
        <f t="shared" si="6"/>
        <v>399</v>
      </c>
      <c r="B400" s="1" t="s">
        <v>33</v>
      </c>
      <c r="C400" s="1" t="s">
        <v>44</v>
      </c>
      <c r="D400" s="1" t="s">
        <v>687</v>
      </c>
      <c r="E400" s="1">
        <v>403</v>
      </c>
      <c r="G400" s="1">
        <v>403</v>
      </c>
      <c r="M400" s="1" t="s">
        <v>46</v>
      </c>
      <c r="Q400" s="1" t="s">
        <v>568</v>
      </c>
    </row>
    <row r="401" spans="1:17" ht="15">
      <c r="A401" s="4" t="str">
        <f t="shared" si="6"/>
        <v>400</v>
      </c>
      <c r="B401" s="1" t="s">
        <v>33</v>
      </c>
      <c r="C401" s="1" t="s">
        <v>44</v>
      </c>
      <c r="D401" s="1" t="s">
        <v>687</v>
      </c>
      <c r="E401" s="1">
        <v>404</v>
      </c>
      <c r="G401" s="1">
        <v>404</v>
      </c>
      <c r="M401" s="1" t="s">
        <v>46</v>
      </c>
      <c r="Q401" s="1" t="s">
        <v>569</v>
      </c>
    </row>
    <row r="402" spans="1:17" ht="15">
      <c r="A402" s="4" t="str">
        <f t="shared" si="6"/>
        <v>401</v>
      </c>
      <c r="B402" s="1" t="s">
        <v>33</v>
      </c>
      <c r="C402" s="1" t="s">
        <v>681</v>
      </c>
      <c r="D402" s="1" t="s">
        <v>686</v>
      </c>
      <c r="E402" s="1">
        <v>601</v>
      </c>
      <c r="G402" s="1">
        <v>601</v>
      </c>
      <c r="M402" s="1" t="s">
        <v>46</v>
      </c>
      <c r="Q402" s="1" t="s">
        <v>570</v>
      </c>
    </row>
    <row r="403" spans="1:17" ht="15">
      <c r="A403" s="4" t="str">
        <f t="shared" si="6"/>
        <v>402</v>
      </c>
      <c r="B403" s="1" t="s">
        <v>33</v>
      </c>
      <c r="C403" s="1" t="s">
        <v>681</v>
      </c>
      <c r="D403" s="1" t="s">
        <v>686</v>
      </c>
      <c r="E403" s="1">
        <v>602</v>
      </c>
      <c r="G403" s="1">
        <v>602</v>
      </c>
      <c r="M403" s="1" t="s">
        <v>46</v>
      </c>
      <c r="Q403" s="1" t="s">
        <v>571</v>
      </c>
    </row>
    <row r="404" spans="1:17" ht="15">
      <c r="A404" s="4" t="str">
        <f t="shared" si="6"/>
        <v>403</v>
      </c>
      <c r="B404" s="1" t="s">
        <v>33</v>
      </c>
      <c r="C404" s="1" t="s">
        <v>681</v>
      </c>
      <c r="D404" s="1" t="s">
        <v>686</v>
      </c>
      <c r="E404" s="1">
        <v>603</v>
      </c>
      <c r="G404" s="1">
        <v>603</v>
      </c>
      <c r="M404" s="1" t="s">
        <v>46</v>
      </c>
      <c r="Q404" s="1" t="s">
        <v>572</v>
      </c>
    </row>
    <row r="405" spans="1:17" ht="15">
      <c r="A405" s="4" t="str">
        <f t="shared" si="6"/>
        <v>404</v>
      </c>
      <c r="B405" s="1" t="s">
        <v>33</v>
      </c>
      <c r="C405" s="1" t="s">
        <v>681</v>
      </c>
      <c r="D405" s="1" t="s">
        <v>686</v>
      </c>
      <c r="E405" s="1">
        <v>604</v>
      </c>
      <c r="G405" s="1">
        <v>604</v>
      </c>
      <c r="M405" s="1" t="s">
        <v>46</v>
      </c>
      <c r="Q405" s="1" t="s">
        <v>573</v>
      </c>
    </row>
    <row r="406" spans="1:17" ht="15">
      <c r="A406" s="4" t="str">
        <f t="shared" si="6"/>
        <v>405</v>
      </c>
      <c r="B406" s="1" t="s">
        <v>33</v>
      </c>
      <c r="C406" s="1" t="s">
        <v>681</v>
      </c>
      <c r="D406" s="1" t="s">
        <v>686</v>
      </c>
      <c r="E406" s="1">
        <v>501</v>
      </c>
      <c r="G406" s="1">
        <v>501</v>
      </c>
      <c r="M406" s="1" t="s">
        <v>46</v>
      </c>
      <c r="Q406" s="1" t="s">
        <v>574</v>
      </c>
    </row>
    <row r="407" spans="1:17" ht="15">
      <c r="A407" s="4" t="str">
        <f t="shared" si="6"/>
        <v>406</v>
      </c>
      <c r="B407" s="1" t="s">
        <v>33</v>
      </c>
      <c r="C407" s="1" t="s">
        <v>681</v>
      </c>
      <c r="D407" s="1" t="s">
        <v>686</v>
      </c>
      <c r="E407" s="1">
        <v>502</v>
      </c>
      <c r="G407" s="1">
        <v>502</v>
      </c>
      <c r="M407" s="1" t="s">
        <v>46</v>
      </c>
      <c r="Q407" s="1" t="s">
        <v>575</v>
      </c>
    </row>
    <row r="408" spans="1:17" ht="15">
      <c r="A408" s="4" t="str">
        <f t="shared" si="6"/>
        <v>407</v>
      </c>
      <c r="B408" s="1" t="s">
        <v>33</v>
      </c>
      <c r="C408" s="1" t="s">
        <v>681</v>
      </c>
      <c r="D408" s="1" t="s">
        <v>686</v>
      </c>
      <c r="E408" s="1">
        <v>503</v>
      </c>
      <c r="G408" s="1">
        <v>503</v>
      </c>
      <c r="M408" s="1" t="s">
        <v>46</v>
      </c>
      <c r="Q408" s="1" t="s">
        <v>576</v>
      </c>
    </row>
    <row r="409" spans="1:17" ht="15">
      <c r="A409" s="4" t="str">
        <f t="shared" si="6"/>
        <v>408</v>
      </c>
      <c r="B409" s="1" t="s">
        <v>33</v>
      </c>
      <c r="C409" s="1" t="s">
        <v>681</v>
      </c>
      <c r="D409" s="1" t="s">
        <v>686</v>
      </c>
      <c r="E409" s="1">
        <v>504</v>
      </c>
      <c r="G409" s="1">
        <v>504</v>
      </c>
      <c r="M409" s="1" t="s">
        <v>46</v>
      </c>
      <c r="Q409" s="1" t="s">
        <v>577</v>
      </c>
    </row>
    <row r="410" spans="1:17" ht="15">
      <c r="A410" s="4" t="str">
        <f t="shared" si="6"/>
        <v>409</v>
      </c>
      <c r="B410" s="1" t="s">
        <v>33</v>
      </c>
      <c r="C410" s="1" t="s">
        <v>681</v>
      </c>
      <c r="D410" s="1" t="s">
        <v>686</v>
      </c>
      <c r="E410" s="1">
        <v>401</v>
      </c>
      <c r="G410" s="1">
        <v>401</v>
      </c>
      <c r="M410" s="1" t="s">
        <v>46</v>
      </c>
      <c r="Q410" s="1" t="s">
        <v>578</v>
      </c>
    </row>
    <row r="411" spans="1:17" ht="15">
      <c r="A411" s="4" t="str">
        <f t="shared" si="6"/>
        <v>410</v>
      </c>
      <c r="B411" s="1" t="s">
        <v>33</v>
      </c>
      <c r="C411" s="1" t="s">
        <v>681</v>
      </c>
      <c r="D411" s="1" t="s">
        <v>686</v>
      </c>
      <c r="E411" s="1">
        <v>402</v>
      </c>
      <c r="G411" s="1">
        <v>402</v>
      </c>
      <c r="M411" s="1" t="s">
        <v>46</v>
      </c>
      <c r="Q411" s="1" t="s">
        <v>579</v>
      </c>
    </row>
    <row r="412" spans="1:17" ht="15">
      <c r="A412" s="4" t="str">
        <f t="shared" si="6"/>
        <v>411</v>
      </c>
      <c r="B412" s="1" t="s">
        <v>33</v>
      </c>
      <c r="C412" s="1" t="s">
        <v>681</v>
      </c>
      <c r="D412" s="1" t="s">
        <v>686</v>
      </c>
      <c r="E412" s="1">
        <v>403</v>
      </c>
      <c r="G412" s="1">
        <v>403</v>
      </c>
      <c r="M412" s="1" t="s">
        <v>46</v>
      </c>
      <c r="Q412" s="1" t="s">
        <v>580</v>
      </c>
    </row>
    <row r="413" spans="1:17" ht="15">
      <c r="A413" s="4" t="str">
        <f t="shared" si="6"/>
        <v>412</v>
      </c>
      <c r="B413" s="1" t="s">
        <v>33</v>
      </c>
      <c r="C413" s="1" t="s">
        <v>681</v>
      </c>
      <c r="D413" s="1" t="s">
        <v>686</v>
      </c>
      <c r="E413" s="1">
        <v>404</v>
      </c>
      <c r="G413" s="1">
        <v>404</v>
      </c>
      <c r="M413" s="1" t="s">
        <v>46</v>
      </c>
      <c r="Q413" s="1" t="s">
        <v>581</v>
      </c>
    </row>
    <row r="414" spans="1:17" ht="15">
      <c r="A414" s="4" t="str">
        <f t="shared" si="6"/>
        <v>413</v>
      </c>
      <c r="B414" s="1" t="s">
        <v>33</v>
      </c>
      <c r="C414" s="1" t="s">
        <v>681</v>
      </c>
      <c r="D414" s="1" t="s">
        <v>686</v>
      </c>
      <c r="E414" s="1">
        <v>301</v>
      </c>
      <c r="G414" s="1">
        <v>301</v>
      </c>
      <c r="M414" s="1" t="s">
        <v>46</v>
      </c>
      <c r="Q414" s="1" t="s">
        <v>582</v>
      </c>
    </row>
    <row r="415" spans="1:17" ht="15">
      <c r="A415" s="4" t="str">
        <f t="shared" si="6"/>
        <v>414</v>
      </c>
      <c r="B415" s="1" t="s">
        <v>33</v>
      </c>
      <c r="C415" s="1" t="s">
        <v>681</v>
      </c>
      <c r="D415" s="1" t="s">
        <v>686</v>
      </c>
      <c r="E415" s="1">
        <v>302</v>
      </c>
      <c r="G415" s="1">
        <v>302</v>
      </c>
      <c r="M415" s="1" t="s">
        <v>46</v>
      </c>
      <c r="Q415" s="1" t="s">
        <v>583</v>
      </c>
    </row>
    <row r="416" spans="1:17" ht="15">
      <c r="A416" s="4" t="str">
        <f t="shared" si="6"/>
        <v>415</v>
      </c>
      <c r="B416" s="1" t="s">
        <v>33</v>
      </c>
      <c r="C416" s="1" t="s">
        <v>681</v>
      </c>
      <c r="D416" s="1" t="s">
        <v>686</v>
      </c>
      <c r="E416" s="1">
        <v>303</v>
      </c>
      <c r="G416" s="1">
        <v>303</v>
      </c>
      <c r="M416" s="1" t="s">
        <v>46</v>
      </c>
      <c r="Q416" s="1" t="s">
        <v>584</v>
      </c>
    </row>
    <row r="417" spans="1:17" ht="15">
      <c r="A417" s="4" t="str">
        <f t="shared" si="6"/>
        <v>416</v>
      </c>
      <c r="B417" s="1" t="s">
        <v>33</v>
      </c>
      <c r="C417" s="1" t="s">
        <v>681</v>
      </c>
      <c r="D417" s="1" t="s">
        <v>686</v>
      </c>
      <c r="E417" s="1">
        <v>304</v>
      </c>
      <c r="G417" s="1">
        <v>304</v>
      </c>
      <c r="M417" s="1" t="s">
        <v>46</v>
      </c>
      <c r="Q417" s="1" t="s">
        <v>585</v>
      </c>
    </row>
    <row r="418" spans="1:17" ht="15">
      <c r="A418" s="4" t="str">
        <f t="shared" si="6"/>
        <v>417</v>
      </c>
      <c r="B418" s="1" t="s">
        <v>33</v>
      </c>
      <c r="C418" s="1" t="s">
        <v>681</v>
      </c>
      <c r="D418" s="1" t="s">
        <v>686</v>
      </c>
      <c r="E418" s="1">
        <v>201</v>
      </c>
      <c r="G418" s="1">
        <v>201</v>
      </c>
      <c r="M418" s="1" t="s">
        <v>46</v>
      </c>
      <c r="Q418" s="1" t="s">
        <v>586</v>
      </c>
    </row>
    <row r="419" spans="1:17" ht="15">
      <c r="A419" s="4" t="str">
        <f t="shared" si="6"/>
        <v>418</v>
      </c>
      <c r="B419" s="1" t="s">
        <v>33</v>
      </c>
      <c r="C419" s="1" t="s">
        <v>681</v>
      </c>
      <c r="D419" s="1" t="s">
        <v>686</v>
      </c>
      <c r="E419" s="1">
        <v>202</v>
      </c>
      <c r="G419" s="1">
        <v>202</v>
      </c>
      <c r="M419" s="1" t="s">
        <v>46</v>
      </c>
      <c r="Q419" s="1" t="s">
        <v>587</v>
      </c>
    </row>
    <row r="420" spans="1:17" ht="15">
      <c r="A420" s="4" t="str">
        <f t="shared" si="6"/>
        <v>419</v>
      </c>
      <c r="B420" s="1" t="s">
        <v>33</v>
      </c>
      <c r="C420" s="1" t="s">
        <v>681</v>
      </c>
      <c r="D420" s="1" t="s">
        <v>686</v>
      </c>
      <c r="E420" s="1">
        <v>203</v>
      </c>
      <c r="G420" s="1">
        <v>203</v>
      </c>
      <c r="M420" s="1" t="s">
        <v>46</v>
      </c>
      <c r="Q420" s="1" t="s">
        <v>588</v>
      </c>
    </row>
    <row r="421" spans="1:17" ht="15">
      <c r="A421" s="4" t="str">
        <f t="shared" si="6"/>
        <v>420</v>
      </c>
      <c r="B421" s="1" t="s">
        <v>33</v>
      </c>
      <c r="C421" s="1" t="s">
        <v>681</v>
      </c>
      <c r="D421" s="1" t="s">
        <v>686</v>
      </c>
      <c r="E421" s="1">
        <v>204</v>
      </c>
      <c r="G421" s="1">
        <v>204</v>
      </c>
      <c r="M421" s="1" t="s">
        <v>46</v>
      </c>
      <c r="Q421" s="1" t="s">
        <v>589</v>
      </c>
    </row>
    <row r="422" spans="1:17" ht="15">
      <c r="A422" s="4" t="str">
        <f t="shared" si="6"/>
        <v>421</v>
      </c>
      <c r="B422" s="1" t="s">
        <v>33</v>
      </c>
      <c r="C422" s="1" t="s">
        <v>681</v>
      </c>
      <c r="D422" s="1" t="s">
        <v>686</v>
      </c>
      <c r="E422" s="1">
        <v>101</v>
      </c>
      <c r="G422" s="1">
        <v>101</v>
      </c>
      <c r="M422" s="1" t="s">
        <v>46</v>
      </c>
      <c r="Q422" s="1" t="s">
        <v>590</v>
      </c>
    </row>
    <row r="423" spans="1:17" ht="15">
      <c r="A423" s="4" t="str">
        <f t="shared" si="6"/>
        <v>422</v>
      </c>
      <c r="B423" s="1" t="s">
        <v>33</v>
      </c>
      <c r="C423" s="1" t="s">
        <v>681</v>
      </c>
      <c r="D423" s="1" t="s">
        <v>686</v>
      </c>
      <c r="E423" s="1">
        <v>102</v>
      </c>
      <c r="G423" s="1">
        <v>102</v>
      </c>
      <c r="M423" s="1" t="s">
        <v>46</v>
      </c>
      <c r="Q423" s="1" t="s">
        <v>591</v>
      </c>
    </row>
    <row r="424" spans="1:17" ht="15">
      <c r="A424" s="4" t="str">
        <f t="shared" si="6"/>
        <v>423</v>
      </c>
      <c r="B424" s="1" t="s">
        <v>33</v>
      </c>
      <c r="C424" s="1" t="s">
        <v>681</v>
      </c>
      <c r="D424" s="1" t="s">
        <v>686</v>
      </c>
      <c r="E424" s="1">
        <v>103</v>
      </c>
      <c r="G424" s="1">
        <v>103</v>
      </c>
      <c r="M424" s="1" t="s">
        <v>46</v>
      </c>
      <c r="Q424" s="1" t="s">
        <v>592</v>
      </c>
    </row>
    <row r="425" spans="1:17" ht="15">
      <c r="A425" s="4" t="str">
        <f t="shared" si="6"/>
        <v>424</v>
      </c>
      <c r="B425" s="1" t="s">
        <v>33</v>
      </c>
      <c r="C425" s="1" t="s">
        <v>681</v>
      </c>
      <c r="D425" s="1" t="s">
        <v>686</v>
      </c>
      <c r="E425" s="1">
        <v>104</v>
      </c>
      <c r="G425" s="1">
        <v>104</v>
      </c>
      <c r="M425" s="1" t="s">
        <v>46</v>
      </c>
      <c r="Q425" s="1" t="s">
        <v>593</v>
      </c>
    </row>
    <row r="426" spans="1:17" ht="15">
      <c r="A426" s="4" t="str">
        <f t="shared" si="6"/>
        <v>425</v>
      </c>
      <c r="B426" s="1" t="s">
        <v>33</v>
      </c>
      <c r="C426" s="1" t="s">
        <v>681</v>
      </c>
      <c r="D426" s="1" t="s">
        <v>687</v>
      </c>
      <c r="E426" s="1">
        <v>601</v>
      </c>
      <c r="G426" s="1">
        <v>601</v>
      </c>
      <c r="M426" s="1" t="s">
        <v>46</v>
      </c>
      <c r="Q426" s="1" t="s">
        <v>594</v>
      </c>
    </row>
    <row r="427" spans="1:17" ht="15">
      <c r="A427" s="4" t="str">
        <f t="shared" si="6"/>
        <v>426</v>
      </c>
      <c r="B427" s="1" t="s">
        <v>33</v>
      </c>
      <c r="C427" s="1" t="s">
        <v>681</v>
      </c>
      <c r="D427" s="1" t="s">
        <v>687</v>
      </c>
      <c r="E427" s="1">
        <v>602</v>
      </c>
      <c r="G427" s="1">
        <v>602</v>
      </c>
      <c r="M427" s="1" t="s">
        <v>46</v>
      </c>
      <c r="Q427" s="1" t="s">
        <v>595</v>
      </c>
    </row>
    <row r="428" spans="1:17" ht="15">
      <c r="A428" s="4" t="str">
        <f t="shared" si="6"/>
        <v>427</v>
      </c>
      <c r="B428" s="1" t="s">
        <v>33</v>
      </c>
      <c r="C428" s="1" t="s">
        <v>681</v>
      </c>
      <c r="D428" s="1" t="s">
        <v>687</v>
      </c>
      <c r="E428" s="1">
        <v>603</v>
      </c>
      <c r="G428" s="1">
        <v>603</v>
      </c>
      <c r="M428" s="1" t="s">
        <v>46</v>
      </c>
      <c r="Q428" s="1" t="s">
        <v>596</v>
      </c>
    </row>
    <row r="429" spans="1:17" ht="15">
      <c r="A429" s="4" t="str">
        <f t="shared" si="6"/>
        <v>428</v>
      </c>
      <c r="B429" s="1" t="s">
        <v>33</v>
      </c>
      <c r="C429" s="1" t="s">
        <v>681</v>
      </c>
      <c r="D429" s="1" t="s">
        <v>687</v>
      </c>
      <c r="E429" s="1">
        <v>604</v>
      </c>
      <c r="G429" s="1">
        <v>604</v>
      </c>
      <c r="M429" s="1" t="s">
        <v>46</v>
      </c>
      <c r="Q429" s="1" t="s">
        <v>393</v>
      </c>
    </row>
    <row r="430" spans="1:17" ht="15">
      <c r="A430" s="4" t="str">
        <f t="shared" si="6"/>
        <v>429</v>
      </c>
      <c r="B430" s="1" t="s">
        <v>33</v>
      </c>
      <c r="C430" s="1" t="s">
        <v>681</v>
      </c>
      <c r="D430" s="1" t="s">
        <v>687</v>
      </c>
      <c r="E430" s="1">
        <v>501</v>
      </c>
      <c r="G430" s="1">
        <v>501</v>
      </c>
      <c r="M430" s="1" t="s">
        <v>46</v>
      </c>
      <c r="Q430" s="1" t="s">
        <v>597</v>
      </c>
    </row>
    <row r="431" spans="1:17" ht="15">
      <c r="A431" s="4" t="str">
        <f t="shared" si="6"/>
        <v>430</v>
      </c>
      <c r="B431" s="1" t="s">
        <v>33</v>
      </c>
      <c r="C431" s="1" t="s">
        <v>681</v>
      </c>
      <c r="D431" s="1" t="s">
        <v>687</v>
      </c>
      <c r="E431" s="1">
        <v>502</v>
      </c>
      <c r="G431" s="1">
        <v>502</v>
      </c>
      <c r="M431" s="1" t="s">
        <v>46</v>
      </c>
      <c r="Q431" s="1" t="s">
        <v>598</v>
      </c>
    </row>
    <row r="432" spans="1:17" ht="15">
      <c r="A432" s="4" t="str">
        <f t="shared" si="6"/>
        <v>431</v>
      </c>
      <c r="B432" s="1" t="s">
        <v>33</v>
      </c>
      <c r="C432" s="1" t="s">
        <v>681</v>
      </c>
      <c r="D432" s="1" t="s">
        <v>687</v>
      </c>
      <c r="E432" s="1">
        <v>503</v>
      </c>
      <c r="G432" s="1">
        <v>503</v>
      </c>
      <c r="M432" s="1" t="s">
        <v>46</v>
      </c>
      <c r="Q432" s="1" t="s">
        <v>599</v>
      </c>
    </row>
    <row r="433" spans="1:17" ht="15">
      <c r="A433" s="4" t="str">
        <f t="shared" si="6"/>
        <v>432</v>
      </c>
      <c r="B433" s="1" t="s">
        <v>33</v>
      </c>
      <c r="C433" s="1" t="s">
        <v>681</v>
      </c>
      <c r="D433" s="1" t="s">
        <v>687</v>
      </c>
      <c r="E433" s="1">
        <v>504</v>
      </c>
      <c r="G433" s="1">
        <v>504</v>
      </c>
      <c r="M433" s="1" t="s">
        <v>46</v>
      </c>
      <c r="Q433" s="1" t="s">
        <v>600</v>
      </c>
    </row>
    <row r="434" spans="1:17" ht="15">
      <c r="A434" s="4" t="str">
        <f t="shared" si="6"/>
        <v>433</v>
      </c>
      <c r="B434" s="1" t="s">
        <v>33</v>
      </c>
      <c r="C434" s="1" t="s">
        <v>681</v>
      </c>
      <c r="D434" s="1" t="s">
        <v>687</v>
      </c>
      <c r="E434" s="1">
        <v>401</v>
      </c>
      <c r="G434" s="1">
        <v>401</v>
      </c>
      <c r="M434" s="1" t="s">
        <v>46</v>
      </c>
      <c r="Q434" s="1" t="s">
        <v>601</v>
      </c>
    </row>
    <row r="435" spans="1:17" ht="15">
      <c r="A435" s="4" t="str">
        <f t="shared" si="6"/>
        <v>434</v>
      </c>
      <c r="B435" s="1" t="s">
        <v>33</v>
      </c>
      <c r="C435" s="1" t="s">
        <v>681</v>
      </c>
      <c r="D435" s="1" t="s">
        <v>687</v>
      </c>
      <c r="E435" s="1">
        <v>402</v>
      </c>
      <c r="G435" s="1">
        <v>402</v>
      </c>
      <c r="M435" s="1" t="s">
        <v>46</v>
      </c>
      <c r="Q435" s="1" t="s">
        <v>602</v>
      </c>
    </row>
    <row r="436" spans="1:17" ht="15">
      <c r="A436" s="4" t="str">
        <f t="shared" si="6"/>
        <v>435</v>
      </c>
      <c r="B436" s="1" t="s">
        <v>33</v>
      </c>
      <c r="C436" s="1" t="s">
        <v>681</v>
      </c>
      <c r="D436" s="1" t="s">
        <v>687</v>
      </c>
      <c r="E436" s="1">
        <v>403</v>
      </c>
      <c r="G436" s="1">
        <v>403</v>
      </c>
      <c r="M436" s="1" t="s">
        <v>46</v>
      </c>
      <c r="Q436" s="1" t="s">
        <v>603</v>
      </c>
    </row>
    <row r="437" spans="1:17" ht="15">
      <c r="A437" s="4" t="str">
        <f t="shared" si="6"/>
        <v>436</v>
      </c>
      <c r="B437" s="1" t="s">
        <v>33</v>
      </c>
      <c r="C437" s="1" t="s">
        <v>681</v>
      </c>
      <c r="D437" s="1" t="s">
        <v>687</v>
      </c>
      <c r="E437" s="1">
        <v>404</v>
      </c>
      <c r="G437" s="1">
        <v>404</v>
      </c>
      <c r="M437" s="1" t="s">
        <v>46</v>
      </c>
      <c r="Q437" s="1" t="s">
        <v>604</v>
      </c>
    </row>
    <row r="438" spans="1:17" ht="15">
      <c r="A438" s="4" t="str">
        <f t="shared" si="6"/>
        <v>437</v>
      </c>
      <c r="B438" s="1" t="s">
        <v>33</v>
      </c>
      <c r="C438" s="1" t="s">
        <v>681</v>
      </c>
      <c r="D438" s="1" t="s">
        <v>687</v>
      </c>
      <c r="E438" s="1">
        <v>301</v>
      </c>
      <c r="G438" s="1">
        <v>301</v>
      </c>
      <c r="M438" s="1" t="s">
        <v>46</v>
      </c>
      <c r="Q438" s="1" t="s">
        <v>605</v>
      </c>
    </row>
    <row r="439" spans="1:17" ht="15">
      <c r="A439" s="4" t="str">
        <f t="shared" si="6"/>
        <v>438</v>
      </c>
      <c r="B439" s="1" t="s">
        <v>33</v>
      </c>
      <c r="C439" s="1" t="s">
        <v>681</v>
      </c>
      <c r="D439" s="1" t="s">
        <v>687</v>
      </c>
      <c r="E439" s="1">
        <v>302</v>
      </c>
      <c r="G439" s="1">
        <v>302</v>
      </c>
      <c r="M439" s="1" t="s">
        <v>46</v>
      </c>
      <c r="Q439" s="1" t="s">
        <v>606</v>
      </c>
    </row>
    <row r="440" spans="1:17" ht="15">
      <c r="A440" s="4" t="str">
        <f t="shared" si="6"/>
        <v>439</v>
      </c>
      <c r="B440" s="1" t="s">
        <v>33</v>
      </c>
      <c r="C440" s="1" t="s">
        <v>681</v>
      </c>
      <c r="D440" s="1" t="s">
        <v>687</v>
      </c>
      <c r="E440" s="1">
        <v>303</v>
      </c>
      <c r="G440" s="1">
        <v>303</v>
      </c>
      <c r="M440" s="1" t="s">
        <v>46</v>
      </c>
      <c r="Q440" s="1" t="s">
        <v>607</v>
      </c>
    </row>
    <row r="441" spans="1:17" ht="15">
      <c r="A441" s="4" t="str">
        <f t="shared" si="6"/>
        <v>440</v>
      </c>
      <c r="B441" s="1" t="s">
        <v>33</v>
      </c>
      <c r="C441" s="1" t="s">
        <v>681</v>
      </c>
      <c r="D441" s="1" t="s">
        <v>687</v>
      </c>
      <c r="E441" s="1">
        <v>304</v>
      </c>
      <c r="G441" s="1">
        <v>304</v>
      </c>
      <c r="M441" s="1" t="s">
        <v>46</v>
      </c>
      <c r="Q441" s="1" t="s">
        <v>608</v>
      </c>
    </row>
    <row r="442" spans="1:17" ht="15">
      <c r="A442" s="4" t="str">
        <f t="shared" si="6"/>
        <v>441</v>
      </c>
      <c r="B442" s="1" t="s">
        <v>33</v>
      </c>
      <c r="C442" s="1" t="s">
        <v>681</v>
      </c>
      <c r="D442" s="1" t="s">
        <v>687</v>
      </c>
      <c r="E442" s="1">
        <v>201</v>
      </c>
      <c r="G442" s="1">
        <v>201</v>
      </c>
      <c r="M442" s="1" t="s">
        <v>46</v>
      </c>
      <c r="Q442" s="1" t="s">
        <v>609</v>
      </c>
    </row>
    <row r="443" spans="1:17" ht="15">
      <c r="A443" s="4" t="str">
        <f t="shared" si="6"/>
        <v>442</v>
      </c>
      <c r="B443" s="1" t="s">
        <v>33</v>
      </c>
      <c r="C443" s="1" t="s">
        <v>681</v>
      </c>
      <c r="D443" s="1" t="s">
        <v>687</v>
      </c>
      <c r="E443" s="1">
        <v>202</v>
      </c>
      <c r="G443" s="1">
        <v>202</v>
      </c>
      <c r="M443" s="1" t="s">
        <v>46</v>
      </c>
      <c r="Q443" s="1" t="s">
        <v>610</v>
      </c>
    </row>
    <row r="444" spans="1:17" ht="15">
      <c r="A444" s="4" t="str">
        <f t="shared" si="6"/>
        <v>443</v>
      </c>
      <c r="B444" s="1" t="s">
        <v>33</v>
      </c>
      <c r="C444" s="1" t="s">
        <v>681</v>
      </c>
      <c r="D444" s="1" t="s">
        <v>687</v>
      </c>
      <c r="E444" s="1">
        <v>203</v>
      </c>
      <c r="G444" s="1">
        <v>203</v>
      </c>
      <c r="M444" s="1" t="s">
        <v>46</v>
      </c>
      <c r="Q444" s="1" t="s">
        <v>611</v>
      </c>
    </row>
    <row r="445" spans="1:17" ht="15">
      <c r="A445" s="4" t="str">
        <f t="shared" si="6"/>
        <v>444</v>
      </c>
      <c r="B445" s="1" t="s">
        <v>33</v>
      </c>
      <c r="C445" s="1" t="s">
        <v>681</v>
      </c>
      <c r="D445" s="1" t="s">
        <v>687</v>
      </c>
      <c r="E445" s="1">
        <v>204</v>
      </c>
      <c r="G445" s="1">
        <v>204</v>
      </c>
      <c r="M445" s="1" t="s">
        <v>46</v>
      </c>
      <c r="Q445" s="1" t="s">
        <v>612</v>
      </c>
    </row>
    <row r="446" spans="1:17" ht="15">
      <c r="A446" s="4" t="str">
        <f t="shared" si="6"/>
        <v>445</v>
      </c>
      <c r="B446" s="1" t="s">
        <v>33</v>
      </c>
      <c r="C446" s="1" t="s">
        <v>681</v>
      </c>
      <c r="D446" s="1" t="s">
        <v>687</v>
      </c>
      <c r="E446" s="1">
        <v>101</v>
      </c>
      <c r="G446" s="1">
        <v>101</v>
      </c>
      <c r="M446" s="1" t="s">
        <v>46</v>
      </c>
      <c r="Q446" s="1" t="s">
        <v>613</v>
      </c>
    </row>
    <row r="447" spans="1:17" ht="15">
      <c r="A447" s="4" t="str">
        <f t="shared" si="6"/>
        <v>446</v>
      </c>
      <c r="B447" s="1" t="s">
        <v>33</v>
      </c>
      <c r="C447" s="1" t="s">
        <v>681</v>
      </c>
      <c r="D447" s="1" t="s">
        <v>687</v>
      </c>
      <c r="E447" s="1">
        <v>102</v>
      </c>
      <c r="G447" s="1">
        <v>102</v>
      </c>
      <c r="M447" s="1" t="s">
        <v>46</v>
      </c>
      <c r="Q447" s="1" t="s">
        <v>614</v>
      </c>
    </row>
    <row r="448" spans="1:17" ht="15">
      <c r="A448" s="4" t="str">
        <f t="shared" si="6"/>
        <v>447</v>
      </c>
      <c r="B448" s="1" t="s">
        <v>33</v>
      </c>
      <c r="C448" s="1" t="s">
        <v>681</v>
      </c>
      <c r="D448" s="1" t="s">
        <v>687</v>
      </c>
      <c r="E448" s="1">
        <v>103</v>
      </c>
      <c r="G448" s="1">
        <v>103</v>
      </c>
      <c r="M448" s="1" t="s">
        <v>46</v>
      </c>
      <c r="Q448" s="1" t="s">
        <v>615</v>
      </c>
    </row>
    <row r="449" spans="1:17" ht="15">
      <c r="A449" s="4" t="str">
        <f t="shared" si="6"/>
        <v>448</v>
      </c>
      <c r="B449" s="1" t="s">
        <v>33</v>
      </c>
      <c r="C449" s="1" t="s">
        <v>681</v>
      </c>
      <c r="D449" s="1" t="s">
        <v>687</v>
      </c>
      <c r="E449" s="1">
        <v>104</v>
      </c>
      <c r="G449" s="1">
        <v>104</v>
      </c>
      <c r="M449" s="1" t="s">
        <v>46</v>
      </c>
      <c r="Q449" s="1" t="s">
        <v>616</v>
      </c>
    </row>
    <row r="450" spans="1:17" ht="15">
      <c r="A450" s="4" t="str">
        <f t="shared" si="6"/>
        <v>449</v>
      </c>
      <c r="B450" s="1" t="s">
        <v>33</v>
      </c>
      <c r="C450" s="1" t="s">
        <v>682</v>
      </c>
      <c r="D450" s="1" t="s">
        <v>686</v>
      </c>
      <c r="E450" s="1">
        <v>501</v>
      </c>
      <c r="G450" s="1">
        <v>501</v>
      </c>
      <c r="M450" s="1" t="s">
        <v>46</v>
      </c>
      <c r="Q450" s="1" t="s">
        <v>319</v>
      </c>
    </row>
    <row r="451" spans="1:17" ht="15">
      <c r="A451" s="4" t="str">
        <f t="shared" ref="A451:A514" si="7">TEXT(ROW(A450),"000")</f>
        <v>450</v>
      </c>
      <c r="B451" s="1" t="s">
        <v>33</v>
      </c>
      <c r="C451" s="1" t="s">
        <v>682</v>
      </c>
      <c r="D451" s="1" t="s">
        <v>686</v>
      </c>
      <c r="E451" s="1">
        <v>502</v>
      </c>
      <c r="G451" s="1">
        <v>502</v>
      </c>
      <c r="M451" s="1" t="s">
        <v>46</v>
      </c>
      <c r="Q451" s="1" t="s">
        <v>320</v>
      </c>
    </row>
    <row r="452" spans="1:17" ht="15">
      <c r="A452" s="4" t="str">
        <f t="shared" si="7"/>
        <v>451</v>
      </c>
      <c r="B452" s="1" t="s">
        <v>33</v>
      </c>
      <c r="C452" s="1" t="s">
        <v>682</v>
      </c>
      <c r="D452" s="1" t="s">
        <v>686</v>
      </c>
      <c r="E452" s="1">
        <v>401</v>
      </c>
      <c r="G452" s="1">
        <v>401</v>
      </c>
      <c r="M452" s="1" t="s">
        <v>46</v>
      </c>
      <c r="Q452" s="1" t="s">
        <v>321</v>
      </c>
    </row>
    <row r="453" spans="1:17" ht="15">
      <c r="A453" s="4" t="str">
        <f t="shared" si="7"/>
        <v>452</v>
      </c>
      <c r="B453" s="1" t="s">
        <v>33</v>
      </c>
      <c r="C453" s="1" t="s">
        <v>682</v>
      </c>
      <c r="D453" s="1" t="s">
        <v>686</v>
      </c>
      <c r="E453" s="1">
        <v>402</v>
      </c>
      <c r="G453" s="1">
        <v>402</v>
      </c>
      <c r="M453" s="1" t="s">
        <v>46</v>
      </c>
      <c r="Q453" s="1" t="s">
        <v>322</v>
      </c>
    </row>
    <row r="454" spans="1:17" ht="15">
      <c r="A454" s="4" t="str">
        <f t="shared" si="7"/>
        <v>453</v>
      </c>
      <c r="B454" s="1" t="s">
        <v>33</v>
      </c>
      <c r="C454" s="1" t="s">
        <v>682</v>
      </c>
      <c r="D454" s="1" t="s">
        <v>686</v>
      </c>
      <c r="E454" s="1">
        <v>301</v>
      </c>
      <c r="G454" s="1">
        <v>301</v>
      </c>
      <c r="M454" s="1" t="s">
        <v>46</v>
      </c>
      <c r="Q454" s="1" t="s">
        <v>323</v>
      </c>
    </row>
    <row r="455" spans="1:17" ht="15">
      <c r="A455" s="4" t="str">
        <f t="shared" si="7"/>
        <v>454</v>
      </c>
      <c r="B455" s="1" t="s">
        <v>33</v>
      </c>
      <c r="C455" s="1" t="s">
        <v>682</v>
      </c>
      <c r="D455" s="1" t="s">
        <v>686</v>
      </c>
      <c r="E455" s="1">
        <v>302</v>
      </c>
      <c r="G455" s="1">
        <v>302</v>
      </c>
      <c r="M455" s="1" t="s">
        <v>46</v>
      </c>
      <c r="Q455" s="1" t="s">
        <v>324</v>
      </c>
    </row>
    <row r="456" spans="1:17" ht="15">
      <c r="A456" s="4" t="str">
        <f t="shared" si="7"/>
        <v>455</v>
      </c>
      <c r="B456" s="1" t="s">
        <v>33</v>
      </c>
      <c r="C456" s="1" t="s">
        <v>682</v>
      </c>
      <c r="D456" s="1" t="s">
        <v>686</v>
      </c>
      <c r="E456" s="1">
        <v>201</v>
      </c>
      <c r="G456" s="1">
        <v>201</v>
      </c>
      <c r="M456" s="1" t="s">
        <v>46</v>
      </c>
      <c r="Q456" s="1" t="s">
        <v>325</v>
      </c>
    </row>
    <row r="457" spans="1:17" ht="15">
      <c r="A457" s="4" t="str">
        <f t="shared" si="7"/>
        <v>456</v>
      </c>
      <c r="B457" s="1" t="s">
        <v>33</v>
      </c>
      <c r="C457" s="1" t="s">
        <v>682</v>
      </c>
      <c r="D457" s="1" t="s">
        <v>686</v>
      </c>
      <c r="E457" s="1">
        <v>202</v>
      </c>
      <c r="G457" s="1">
        <v>202</v>
      </c>
      <c r="M457" s="1" t="s">
        <v>46</v>
      </c>
      <c r="Q457" s="1" t="s">
        <v>326</v>
      </c>
    </row>
    <row r="458" spans="1:17" ht="15">
      <c r="A458" s="4" t="str">
        <f t="shared" si="7"/>
        <v>457</v>
      </c>
      <c r="B458" s="1" t="s">
        <v>33</v>
      </c>
      <c r="C458" s="1" t="s">
        <v>682</v>
      </c>
      <c r="D458" s="1" t="s">
        <v>686</v>
      </c>
      <c r="E458" s="1">
        <v>101</v>
      </c>
      <c r="G458" s="1">
        <v>101</v>
      </c>
      <c r="M458" s="1" t="s">
        <v>46</v>
      </c>
      <c r="Q458" s="1" t="s">
        <v>617</v>
      </c>
    </row>
    <row r="459" spans="1:17" ht="15">
      <c r="A459" s="4" t="str">
        <f t="shared" si="7"/>
        <v>458</v>
      </c>
      <c r="B459" s="1" t="s">
        <v>33</v>
      </c>
      <c r="C459" s="1" t="s">
        <v>682</v>
      </c>
      <c r="D459" s="1" t="s">
        <v>686</v>
      </c>
      <c r="E459" s="1">
        <v>102</v>
      </c>
      <c r="G459" s="1">
        <v>102</v>
      </c>
      <c r="M459" s="1" t="s">
        <v>46</v>
      </c>
      <c r="Q459" s="1" t="s">
        <v>328</v>
      </c>
    </row>
    <row r="460" spans="1:17" ht="15">
      <c r="A460" s="4" t="str">
        <f t="shared" si="7"/>
        <v>459</v>
      </c>
      <c r="B460" s="1" t="s">
        <v>33</v>
      </c>
      <c r="C460" s="1" t="s">
        <v>682</v>
      </c>
      <c r="D460" s="1" t="s">
        <v>688</v>
      </c>
      <c r="E460" s="1">
        <v>501</v>
      </c>
      <c r="G460" s="1">
        <v>501</v>
      </c>
      <c r="M460" s="1" t="s">
        <v>46</v>
      </c>
      <c r="Q460" s="1" t="s">
        <v>339</v>
      </c>
    </row>
    <row r="461" spans="1:17" ht="15">
      <c r="A461" s="4" t="str">
        <f t="shared" si="7"/>
        <v>460</v>
      </c>
      <c r="B461" s="1" t="s">
        <v>33</v>
      </c>
      <c r="C461" s="1" t="s">
        <v>682</v>
      </c>
      <c r="D461" s="1" t="s">
        <v>688</v>
      </c>
      <c r="E461" s="1">
        <v>502</v>
      </c>
      <c r="G461" s="1">
        <v>502</v>
      </c>
      <c r="M461" s="1" t="s">
        <v>46</v>
      </c>
      <c r="Q461" s="1" t="s">
        <v>340</v>
      </c>
    </row>
    <row r="462" spans="1:17" ht="15">
      <c r="A462" s="4" t="str">
        <f t="shared" si="7"/>
        <v>461</v>
      </c>
      <c r="B462" s="1" t="s">
        <v>33</v>
      </c>
      <c r="C462" s="1" t="s">
        <v>682</v>
      </c>
      <c r="D462" s="1" t="s">
        <v>688</v>
      </c>
      <c r="E462" s="1">
        <v>401</v>
      </c>
      <c r="G462" s="1">
        <v>401</v>
      </c>
      <c r="M462" s="1" t="s">
        <v>46</v>
      </c>
      <c r="Q462" s="1" t="s">
        <v>341</v>
      </c>
    </row>
    <row r="463" spans="1:17" ht="15">
      <c r="A463" s="4" t="str">
        <f t="shared" si="7"/>
        <v>462</v>
      </c>
      <c r="B463" s="1" t="s">
        <v>33</v>
      </c>
      <c r="C463" s="1" t="s">
        <v>682</v>
      </c>
      <c r="D463" s="1" t="s">
        <v>688</v>
      </c>
      <c r="E463" s="1">
        <v>402</v>
      </c>
      <c r="G463" s="1">
        <v>402</v>
      </c>
      <c r="M463" s="1" t="s">
        <v>46</v>
      </c>
      <c r="Q463" s="1" t="s">
        <v>342</v>
      </c>
    </row>
    <row r="464" spans="1:17" ht="15">
      <c r="A464" s="4" t="str">
        <f t="shared" si="7"/>
        <v>463</v>
      </c>
      <c r="B464" s="1" t="s">
        <v>33</v>
      </c>
      <c r="C464" s="1" t="s">
        <v>682</v>
      </c>
      <c r="D464" s="1" t="s">
        <v>688</v>
      </c>
      <c r="E464" s="1">
        <v>301</v>
      </c>
      <c r="G464" s="1">
        <v>301</v>
      </c>
      <c r="M464" s="1" t="s">
        <v>46</v>
      </c>
      <c r="Q464" s="1" t="s">
        <v>343</v>
      </c>
    </row>
    <row r="465" spans="1:17" ht="15">
      <c r="A465" s="4" t="str">
        <f t="shared" si="7"/>
        <v>464</v>
      </c>
      <c r="B465" s="1" t="s">
        <v>33</v>
      </c>
      <c r="C465" s="1" t="s">
        <v>682</v>
      </c>
      <c r="D465" s="1" t="s">
        <v>688</v>
      </c>
      <c r="E465" s="1">
        <v>302</v>
      </c>
      <c r="G465" s="1">
        <v>302</v>
      </c>
      <c r="M465" s="1" t="s">
        <v>46</v>
      </c>
      <c r="Q465" s="1" t="s">
        <v>344</v>
      </c>
    </row>
    <row r="466" spans="1:17" ht="15">
      <c r="A466" s="4" t="str">
        <f t="shared" si="7"/>
        <v>465</v>
      </c>
      <c r="B466" s="1" t="s">
        <v>33</v>
      </c>
      <c r="C466" s="1" t="s">
        <v>682</v>
      </c>
      <c r="D466" s="1" t="s">
        <v>688</v>
      </c>
      <c r="E466" s="1">
        <v>201</v>
      </c>
      <c r="G466" s="1">
        <v>201</v>
      </c>
      <c r="M466" s="1" t="s">
        <v>46</v>
      </c>
      <c r="Q466" s="1" t="s">
        <v>345</v>
      </c>
    </row>
    <row r="467" spans="1:17" ht="15">
      <c r="A467" s="4" t="str">
        <f t="shared" si="7"/>
        <v>466</v>
      </c>
      <c r="B467" s="1" t="s">
        <v>33</v>
      </c>
      <c r="C467" s="1" t="s">
        <v>682</v>
      </c>
      <c r="D467" s="1" t="s">
        <v>688</v>
      </c>
      <c r="E467" s="1">
        <v>202</v>
      </c>
      <c r="G467" s="1">
        <v>202</v>
      </c>
      <c r="M467" s="1" t="s">
        <v>46</v>
      </c>
      <c r="Q467" s="1" t="s">
        <v>346</v>
      </c>
    </row>
    <row r="468" spans="1:17" ht="15">
      <c r="A468" s="4" t="str">
        <f t="shared" si="7"/>
        <v>467</v>
      </c>
      <c r="B468" s="1" t="s">
        <v>33</v>
      </c>
      <c r="C468" s="1" t="s">
        <v>682</v>
      </c>
      <c r="D468" s="1" t="s">
        <v>688</v>
      </c>
      <c r="E468" s="1">
        <v>101</v>
      </c>
      <c r="G468" s="1">
        <v>101</v>
      </c>
      <c r="M468" s="1" t="s">
        <v>46</v>
      </c>
      <c r="Q468" s="1" t="s">
        <v>347</v>
      </c>
    </row>
    <row r="469" spans="1:17" ht="15">
      <c r="A469" s="4" t="str">
        <f t="shared" si="7"/>
        <v>468</v>
      </c>
      <c r="B469" s="1" t="s">
        <v>33</v>
      </c>
      <c r="C469" s="1" t="s">
        <v>682</v>
      </c>
      <c r="D469" s="1" t="s">
        <v>688</v>
      </c>
      <c r="E469" s="1">
        <v>102</v>
      </c>
      <c r="G469" s="1">
        <v>102</v>
      </c>
      <c r="M469" s="1" t="s">
        <v>46</v>
      </c>
      <c r="Q469" s="1" t="s">
        <v>348</v>
      </c>
    </row>
    <row r="470" spans="1:17" ht="15">
      <c r="A470" s="4" t="str">
        <f t="shared" si="7"/>
        <v>469</v>
      </c>
      <c r="B470" s="1" t="s">
        <v>33</v>
      </c>
      <c r="C470" s="1" t="s">
        <v>682</v>
      </c>
      <c r="D470" s="1" t="s">
        <v>687</v>
      </c>
      <c r="E470" s="1">
        <v>501</v>
      </c>
      <c r="G470" s="1">
        <v>501</v>
      </c>
      <c r="M470" s="1" t="s">
        <v>46</v>
      </c>
      <c r="Q470" s="1" t="s">
        <v>329</v>
      </c>
    </row>
    <row r="471" spans="1:17" ht="15">
      <c r="A471" s="4" t="str">
        <f t="shared" si="7"/>
        <v>470</v>
      </c>
      <c r="B471" s="1" t="s">
        <v>33</v>
      </c>
      <c r="C471" s="1" t="s">
        <v>682</v>
      </c>
      <c r="D471" s="1" t="s">
        <v>687</v>
      </c>
      <c r="E471" s="1">
        <v>502</v>
      </c>
      <c r="G471" s="1">
        <v>502</v>
      </c>
      <c r="M471" s="1" t="s">
        <v>46</v>
      </c>
      <c r="Q471" s="1" t="s">
        <v>330</v>
      </c>
    </row>
    <row r="472" spans="1:17" ht="15">
      <c r="A472" s="4" t="str">
        <f t="shared" si="7"/>
        <v>471</v>
      </c>
      <c r="B472" s="1" t="s">
        <v>33</v>
      </c>
      <c r="C472" s="1" t="s">
        <v>682</v>
      </c>
      <c r="D472" s="1" t="s">
        <v>687</v>
      </c>
      <c r="E472" s="1">
        <v>401</v>
      </c>
      <c r="G472" s="1">
        <v>401</v>
      </c>
      <c r="M472" s="1" t="s">
        <v>46</v>
      </c>
      <c r="Q472" s="1" t="s">
        <v>331</v>
      </c>
    </row>
    <row r="473" spans="1:17" ht="15">
      <c r="A473" s="4" t="str">
        <f t="shared" si="7"/>
        <v>472</v>
      </c>
      <c r="B473" s="1" t="s">
        <v>33</v>
      </c>
      <c r="C473" s="1" t="s">
        <v>682</v>
      </c>
      <c r="D473" s="1" t="s">
        <v>687</v>
      </c>
      <c r="E473" s="1">
        <v>402</v>
      </c>
      <c r="G473" s="1">
        <v>402</v>
      </c>
      <c r="M473" s="1" t="s">
        <v>46</v>
      </c>
      <c r="Q473" s="1" t="s">
        <v>332</v>
      </c>
    </row>
    <row r="474" spans="1:17" ht="15">
      <c r="A474" s="4" t="str">
        <f t="shared" si="7"/>
        <v>473</v>
      </c>
      <c r="B474" s="1" t="s">
        <v>33</v>
      </c>
      <c r="C474" s="1" t="s">
        <v>682</v>
      </c>
      <c r="D474" s="1" t="s">
        <v>687</v>
      </c>
      <c r="E474" s="1">
        <v>301</v>
      </c>
      <c r="G474" s="1">
        <v>301</v>
      </c>
      <c r="M474" s="1" t="s">
        <v>46</v>
      </c>
      <c r="Q474" s="1" t="s">
        <v>333</v>
      </c>
    </row>
    <row r="475" spans="1:17" ht="15">
      <c r="A475" s="4" t="str">
        <f t="shared" si="7"/>
        <v>474</v>
      </c>
      <c r="B475" s="1" t="s">
        <v>33</v>
      </c>
      <c r="C475" s="1" t="s">
        <v>682</v>
      </c>
      <c r="D475" s="1" t="s">
        <v>687</v>
      </c>
      <c r="E475" s="1">
        <v>302</v>
      </c>
      <c r="G475" s="1">
        <v>302</v>
      </c>
      <c r="M475" s="1" t="s">
        <v>46</v>
      </c>
      <c r="Q475" s="1" t="s">
        <v>334</v>
      </c>
    </row>
    <row r="476" spans="1:17" ht="15">
      <c r="A476" s="4" t="str">
        <f t="shared" si="7"/>
        <v>475</v>
      </c>
      <c r="B476" s="1" t="s">
        <v>33</v>
      </c>
      <c r="C476" s="1" t="s">
        <v>682</v>
      </c>
      <c r="D476" s="1" t="s">
        <v>687</v>
      </c>
      <c r="E476" s="1">
        <v>201</v>
      </c>
      <c r="G476" s="1">
        <v>201</v>
      </c>
      <c r="M476" s="1" t="s">
        <v>46</v>
      </c>
      <c r="Q476" s="1" t="s">
        <v>335</v>
      </c>
    </row>
    <row r="477" spans="1:17" ht="15">
      <c r="A477" s="4" t="str">
        <f t="shared" si="7"/>
        <v>476</v>
      </c>
      <c r="B477" s="1" t="s">
        <v>33</v>
      </c>
      <c r="C477" s="1" t="s">
        <v>682</v>
      </c>
      <c r="D477" s="1" t="s">
        <v>687</v>
      </c>
      <c r="E477" s="1">
        <v>202</v>
      </c>
      <c r="G477" s="1">
        <v>202</v>
      </c>
      <c r="M477" s="1" t="s">
        <v>46</v>
      </c>
      <c r="Q477" s="1" t="s">
        <v>336</v>
      </c>
    </row>
    <row r="478" spans="1:17" ht="15">
      <c r="A478" s="4" t="str">
        <f t="shared" si="7"/>
        <v>477</v>
      </c>
      <c r="B478" s="1" t="s">
        <v>33</v>
      </c>
      <c r="C478" s="1" t="s">
        <v>682</v>
      </c>
      <c r="D478" s="1" t="s">
        <v>687</v>
      </c>
      <c r="E478" s="1">
        <v>101</v>
      </c>
      <c r="G478" s="1">
        <v>101</v>
      </c>
      <c r="M478" s="1" t="s">
        <v>46</v>
      </c>
      <c r="Q478" s="1" t="s">
        <v>337</v>
      </c>
    </row>
    <row r="479" spans="1:17" ht="15">
      <c r="A479" s="4" t="str">
        <f t="shared" si="7"/>
        <v>478</v>
      </c>
      <c r="B479" s="1" t="s">
        <v>33</v>
      </c>
      <c r="C479" s="1" t="s">
        <v>682</v>
      </c>
      <c r="D479" s="1" t="s">
        <v>687</v>
      </c>
      <c r="E479" s="1">
        <v>102</v>
      </c>
      <c r="G479" s="1">
        <v>102</v>
      </c>
      <c r="M479" s="1" t="s">
        <v>46</v>
      </c>
      <c r="Q479" s="1" t="s">
        <v>338</v>
      </c>
    </row>
    <row r="480" spans="1:17" ht="15">
      <c r="A480" s="4" t="str">
        <f t="shared" si="7"/>
        <v>479</v>
      </c>
      <c r="B480" s="1" t="s">
        <v>33</v>
      </c>
      <c r="C480" s="1" t="s">
        <v>683</v>
      </c>
      <c r="D480" s="1" t="s">
        <v>686</v>
      </c>
      <c r="E480" s="1">
        <v>101</v>
      </c>
      <c r="G480" s="1">
        <v>101</v>
      </c>
      <c r="M480" s="1" t="s">
        <v>46</v>
      </c>
      <c r="Q480" s="1" t="s">
        <v>618</v>
      </c>
    </row>
    <row r="481" spans="1:17" ht="15">
      <c r="A481" s="4" t="str">
        <f t="shared" si="7"/>
        <v>480</v>
      </c>
      <c r="B481" s="1" t="s">
        <v>33</v>
      </c>
      <c r="C481" s="1" t="s">
        <v>683</v>
      </c>
      <c r="D481" s="1" t="s">
        <v>686</v>
      </c>
      <c r="E481" s="1">
        <v>102</v>
      </c>
      <c r="G481" s="1">
        <v>102</v>
      </c>
      <c r="M481" s="1" t="s">
        <v>46</v>
      </c>
      <c r="Q481" s="1" t="s">
        <v>619</v>
      </c>
    </row>
    <row r="482" spans="1:17" ht="15">
      <c r="A482" s="4" t="str">
        <f t="shared" si="7"/>
        <v>481</v>
      </c>
      <c r="B482" s="1" t="s">
        <v>33</v>
      </c>
      <c r="C482" s="1" t="s">
        <v>683</v>
      </c>
      <c r="D482" s="1" t="s">
        <v>686</v>
      </c>
      <c r="E482" s="1">
        <v>201</v>
      </c>
      <c r="G482" s="1">
        <v>201</v>
      </c>
      <c r="M482" s="1" t="s">
        <v>46</v>
      </c>
      <c r="Q482" s="1" t="s">
        <v>620</v>
      </c>
    </row>
    <row r="483" spans="1:17" ht="15">
      <c r="A483" s="4" t="str">
        <f t="shared" si="7"/>
        <v>482</v>
      </c>
      <c r="B483" s="1" t="s">
        <v>33</v>
      </c>
      <c r="C483" s="1" t="s">
        <v>683</v>
      </c>
      <c r="D483" s="1" t="s">
        <v>686</v>
      </c>
      <c r="E483" s="1">
        <v>202</v>
      </c>
      <c r="G483" s="1">
        <v>202</v>
      </c>
      <c r="M483" s="1" t="s">
        <v>46</v>
      </c>
      <c r="Q483" s="1" t="s">
        <v>621</v>
      </c>
    </row>
    <row r="484" spans="1:17" ht="15">
      <c r="A484" s="4" t="str">
        <f t="shared" si="7"/>
        <v>483</v>
      </c>
      <c r="B484" s="1" t="s">
        <v>33</v>
      </c>
      <c r="C484" s="1" t="s">
        <v>683</v>
      </c>
      <c r="D484" s="1" t="s">
        <v>686</v>
      </c>
      <c r="E484" s="1">
        <v>301</v>
      </c>
      <c r="G484" s="1">
        <v>301</v>
      </c>
      <c r="M484" s="1" t="s">
        <v>46</v>
      </c>
      <c r="Q484" s="1" t="s">
        <v>622</v>
      </c>
    </row>
    <row r="485" spans="1:17" ht="15">
      <c r="A485" s="4" t="str">
        <f t="shared" si="7"/>
        <v>484</v>
      </c>
      <c r="B485" s="1" t="s">
        <v>33</v>
      </c>
      <c r="C485" s="1" t="s">
        <v>683</v>
      </c>
      <c r="D485" s="1" t="s">
        <v>686</v>
      </c>
      <c r="E485" s="1">
        <v>302</v>
      </c>
      <c r="G485" s="1">
        <v>302</v>
      </c>
      <c r="M485" s="1" t="s">
        <v>46</v>
      </c>
      <c r="Q485" s="1" t="s">
        <v>623</v>
      </c>
    </row>
    <row r="486" spans="1:17" ht="15">
      <c r="A486" s="4" t="str">
        <f t="shared" si="7"/>
        <v>485</v>
      </c>
      <c r="B486" s="1" t="s">
        <v>33</v>
      </c>
      <c r="C486" s="1" t="s">
        <v>683</v>
      </c>
      <c r="D486" s="1" t="s">
        <v>686</v>
      </c>
      <c r="E486" s="1">
        <v>401</v>
      </c>
      <c r="G486" s="1">
        <v>401</v>
      </c>
      <c r="M486" s="1" t="s">
        <v>46</v>
      </c>
      <c r="Q486" s="1" t="s">
        <v>624</v>
      </c>
    </row>
    <row r="487" spans="1:17" ht="15">
      <c r="A487" s="4" t="str">
        <f t="shared" si="7"/>
        <v>486</v>
      </c>
      <c r="B487" s="1" t="s">
        <v>33</v>
      </c>
      <c r="C487" s="1" t="s">
        <v>683</v>
      </c>
      <c r="D487" s="1" t="s">
        <v>686</v>
      </c>
      <c r="E487" s="1">
        <v>402</v>
      </c>
      <c r="G487" s="1">
        <v>402</v>
      </c>
      <c r="M487" s="1" t="s">
        <v>46</v>
      </c>
      <c r="Q487" s="1" t="s">
        <v>625</v>
      </c>
    </row>
    <row r="488" spans="1:17" ht="15">
      <c r="A488" s="4" t="str">
        <f t="shared" si="7"/>
        <v>487</v>
      </c>
      <c r="B488" s="1" t="s">
        <v>33</v>
      </c>
      <c r="C488" s="1" t="s">
        <v>683</v>
      </c>
      <c r="D488" s="1" t="s">
        <v>686</v>
      </c>
      <c r="E488" s="1">
        <v>501</v>
      </c>
      <c r="G488" s="1">
        <v>501</v>
      </c>
      <c r="M488" s="1" t="s">
        <v>46</v>
      </c>
      <c r="Q488" s="1" t="s">
        <v>626</v>
      </c>
    </row>
    <row r="489" spans="1:17" ht="15">
      <c r="A489" s="4" t="str">
        <f t="shared" si="7"/>
        <v>488</v>
      </c>
      <c r="B489" s="1" t="s">
        <v>33</v>
      </c>
      <c r="C489" s="1" t="s">
        <v>683</v>
      </c>
      <c r="D489" s="1" t="s">
        <v>686</v>
      </c>
      <c r="E489" s="1">
        <v>502</v>
      </c>
      <c r="G489" s="1">
        <v>502</v>
      </c>
      <c r="M489" s="1" t="s">
        <v>46</v>
      </c>
      <c r="Q489" s="1" t="s">
        <v>627</v>
      </c>
    </row>
    <row r="490" spans="1:17" ht="15">
      <c r="A490" s="4" t="str">
        <f t="shared" si="7"/>
        <v>489</v>
      </c>
      <c r="B490" s="1" t="s">
        <v>33</v>
      </c>
      <c r="C490" s="1" t="s">
        <v>683</v>
      </c>
      <c r="D490" s="1" t="s">
        <v>687</v>
      </c>
      <c r="E490" s="1">
        <v>101</v>
      </c>
      <c r="G490" s="1">
        <v>101</v>
      </c>
      <c r="M490" s="1" t="s">
        <v>46</v>
      </c>
      <c r="Q490" s="1" t="s">
        <v>628</v>
      </c>
    </row>
    <row r="491" spans="1:17" ht="15">
      <c r="A491" s="4" t="str">
        <f t="shared" si="7"/>
        <v>490</v>
      </c>
      <c r="B491" s="1" t="s">
        <v>33</v>
      </c>
      <c r="C491" s="1" t="s">
        <v>683</v>
      </c>
      <c r="D491" s="1" t="s">
        <v>687</v>
      </c>
      <c r="E491" s="1">
        <v>102</v>
      </c>
      <c r="G491" s="1">
        <v>102</v>
      </c>
      <c r="M491" s="1" t="s">
        <v>46</v>
      </c>
      <c r="Q491" s="1" t="s">
        <v>629</v>
      </c>
    </row>
    <row r="492" spans="1:17" ht="15">
      <c r="A492" s="4" t="str">
        <f t="shared" si="7"/>
        <v>491</v>
      </c>
      <c r="B492" s="1" t="s">
        <v>33</v>
      </c>
      <c r="C492" s="1" t="s">
        <v>683</v>
      </c>
      <c r="D492" s="1" t="s">
        <v>687</v>
      </c>
      <c r="E492" s="1">
        <v>201</v>
      </c>
      <c r="G492" s="1">
        <v>201</v>
      </c>
      <c r="M492" s="1" t="s">
        <v>46</v>
      </c>
      <c r="Q492" s="1" t="s">
        <v>630</v>
      </c>
    </row>
    <row r="493" spans="1:17" ht="15">
      <c r="A493" s="4" t="str">
        <f t="shared" si="7"/>
        <v>492</v>
      </c>
      <c r="B493" s="1" t="s">
        <v>33</v>
      </c>
      <c r="C493" s="1" t="s">
        <v>683</v>
      </c>
      <c r="D493" s="1" t="s">
        <v>687</v>
      </c>
      <c r="E493" s="1">
        <v>202</v>
      </c>
      <c r="G493" s="1">
        <v>202</v>
      </c>
      <c r="M493" s="1" t="s">
        <v>46</v>
      </c>
      <c r="Q493" s="1" t="s">
        <v>631</v>
      </c>
    </row>
    <row r="494" spans="1:17" ht="15">
      <c r="A494" s="4" t="str">
        <f t="shared" si="7"/>
        <v>493</v>
      </c>
      <c r="B494" s="1" t="s">
        <v>33</v>
      </c>
      <c r="C494" s="1" t="s">
        <v>683</v>
      </c>
      <c r="D494" s="1" t="s">
        <v>687</v>
      </c>
      <c r="E494" s="1">
        <v>301</v>
      </c>
      <c r="G494" s="1">
        <v>301</v>
      </c>
      <c r="M494" s="1" t="s">
        <v>46</v>
      </c>
      <c r="Q494" s="1" t="s">
        <v>632</v>
      </c>
    </row>
    <row r="495" spans="1:17" ht="15">
      <c r="A495" s="4" t="str">
        <f t="shared" si="7"/>
        <v>494</v>
      </c>
      <c r="B495" s="1" t="s">
        <v>33</v>
      </c>
      <c r="C495" s="1" t="s">
        <v>683</v>
      </c>
      <c r="D495" s="1" t="s">
        <v>687</v>
      </c>
      <c r="E495" s="1">
        <v>302</v>
      </c>
      <c r="G495" s="1">
        <v>302</v>
      </c>
      <c r="M495" s="1" t="s">
        <v>46</v>
      </c>
      <c r="Q495" s="1" t="s">
        <v>633</v>
      </c>
    </row>
    <row r="496" spans="1:17" ht="15">
      <c r="A496" s="4" t="str">
        <f t="shared" si="7"/>
        <v>495</v>
      </c>
      <c r="B496" s="1" t="s">
        <v>33</v>
      </c>
      <c r="C496" s="1" t="s">
        <v>683</v>
      </c>
      <c r="D496" s="1" t="s">
        <v>687</v>
      </c>
      <c r="E496" s="1">
        <v>401</v>
      </c>
      <c r="G496" s="1">
        <v>401</v>
      </c>
      <c r="M496" s="1" t="s">
        <v>46</v>
      </c>
      <c r="Q496" s="1" t="s">
        <v>634</v>
      </c>
    </row>
    <row r="497" spans="1:17" ht="15">
      <c r="A497" s="4" t="str">
        <f t="shared" si="7"/>
        <v>496</v>
      </c>
      <c r="B497" s="1" t="s">
        <v>33</v>
      </c>
      <c r="C497" s="1" t="s">
        <v>683</v>
      </c>
      <c r="D497" s="1" t="s">
        <v>687</v>
      </c>
      <c r="E497" s="1">
        <v>402</v>
      </c>
      <c r="G497" s="1">
        <v>402</v>
      </c>
      <c r="M497" s="1" t="s">
        <v>46</v>
      </c>
      <c r="Q497" s="1" t="s">
        <v>635</v>
      </c>
    </row>
    <row r="498" spans="1:17" ht="15">
      <c r="A498" s="4" t="str">
        <f t="shared" si="7"/>
        <v>497</v>
      </c>
      <c r="B498" s="1" t="s">
        <v>33</v>
      </c>
      <c r="C498" s="1" t="s">
        <v>683</v>
      </c>
      <c r="D498" s="1" t="s">
        <v>687</v>
      </c>
      <c r="E498" s="1">
        <v>501</v>
      </c>
      <c r="G498" s="1">
        <v>501</v>
      </c>
      <c r="M498" s="1" t="s">
        <v>46</v>
      </c>
      <c r="Q498" s="1" t="s">
        <v>636</v>
      </c>
    </row>
    <row r="499" spans="1:17" ht="15">
      <c r="A499" s="4" t="str">
        <f t="shared" si="7"/>
        <v>498</v>
      </c>
      <c r="B499" s="1" t="s">
        <v>33</v>
      </c>
      <c r="C499" s="1" t="s">
        <v>683</v>
      </c>
      <c r="D499" s="1" t="s">
        <v>687</v>
      </c>
      <c r="E499" s="1">
        <v>502</v>
      </c>
      <c r="G499" s="1">
        <v>502</v>
      </c>
      <c r="M499" s="1" t="s">
        <v>46</v>
      </c>
      <c r="Q499" s="1" t="s">
        <v>637</v>
      </c>
    </row>
    <row r="500" spans="1:17" ht="15">
      <c r="A500" s="4" t="str">
        <f t="shared" si="7"/>
        <v>499</v>
      </c>
      <c r="B500" s="1" t="s">
        <v>33</v>
      </c>
      <c r="C500" s="1" t="s">
        <v>684</v>
      </c>
      <c r="D500" s="1" t="s">
        <v>686</v>
      </c>
      <c r="E500" s="1">
        <v>601</v>
      </c>
      <c r="G500" s="1">
        <v>601</v>
      </c>
      <c r="M500" s="1" t="s">
        <v>46</v>
      </c>
      <c r="Q500" s="1" t="s">
        <v>638</v>
      </c>
    </row>
    <row r="501" spans="1:17" ht="15">
      <c r="A501" s="4" t="str">
        <f t="shared" si="7"/>
        <v>500</v>
      </c>
      <c r="B501" s="1" t="s">
        <v>33</v>
      </c>
      <c r="C501" s="1" t="s">
        <v>684</v>
      </c>
      <c r="D501" s="1" t="s">
        <v>686</v>
      </c>
      <c r="E501" s="1">
        <v>602</v>
      </c>
      <c r="G501" s="1">
        <v>602</v>
      </c>
      <c r="M501" s="1" t="s">
        <v>46</v>
      </c>
      <c r="Q501" s="1" t="s">
        <v>639</v>
      </c>
    </row>
    <row r="502" spans="1:17" ht="15">
      <c r="A502" s="4" t="str">
        <f t="shared" si="7"/>
        <v>501</v>
      </c>
      <c r="B502" s="1" t="s">
        <v>33</v>
      </c>
      <c r="C502" s="1" t="s">
        <v>684</v>
      </c>
      <c r="D502" s="1" t="s">
        <v>686</v>
      </c>
      <c r="E502" s="1">
        <v>501</v>
      </c>
      <c r="G502" s="1">
        <v>501</v>
      </c>
      <c r="M502" s="1" t="s">
        <v>46</v>
      </c>
      <c r="Q502" s="1" t="s">
        <v>640</v>
      </c>
    </row>
    <row r="503" spans="1:17" ht="15">
      <c r="A503" s="4" t="str">
        <f t="shared" si="7"/>
        <v>502</v>
      </c>
      <c r="B503" s="1" t="s">
        <v>33</v>
      </c>
      <c r="C503" s="1" t="s">
        <v>684</v>
      </c>
      <c r="D503" s="1" t="s">
        <v>686</v>
      </c>
      <c r="E503" s="1">
        <v>502</v>
      </c>
      <c r="G503" s="1">
        <v>502</v>
      </c>
      <c r="M503" s="1" t="s">
        <v>46</v>
      </c>
      <c r="Q503" s="1" t="s">
        <v>641</v>
      </c>
    </row>
    <row r="504" spans="1:17" ht="15">
      <c r="A504" s="4" t="str">
        <f t="shared" si="7"/>
        <v>503</v>
      </c>
      <c r="B504" s="1" t="s">
        <v>33</v>
      </c>
      <c r="C504" s="1" t="s">
        <v>684</v>
      </c>
      <c r="D504" s="1" t="s">
        <v>686</v>
      </c>
      <c r="E504" s="1">
        <v>401</v>
      </c>
      <c r="G504" s="1">
        <v>401</v>
      </c>
      <c r="M504" s="1" t="s">
        <v>46</v>
      </c>
      <c r="Q504" s="1" t="s">
        <v>642</v>
      </c>
    </row>
    <row r="505" spans="1:17" ht="15">
      <c r="A505" s="4" t="str">
        <f t="shared" si="7"/>
        <v>504</v>
      </c>
      <c r="B505" s="1" t="s">
        <v>33</v>
      </c>
      <c r="C505" s="1" t="s">
        <v>684</v>
      </c>
      <c r="D505" s="1" t="s">
        <v>686</v>
      </c>
      <c r="E505" s="1">
        <v>402</v>
      </c>
      <c r="G505" s="1">
        <v>402</v>
      </c>
      <c r="M505" s="1" t="s">
        <v>46</v>
      </c>
      <c r="Q505" s="1" t="s">
        <v>643</v>
      </c>
    </row>
    <row r="506" spans="1:17" ht="15">
      <c r="A506" s="4" t="str">
        <f t="shared" si="7"/>
        <v>505</v>
      </c>
      <c r="B506" s="1" t="s">
        <v>33</v>
      </c>
      <c r="C506" s="1" t="s">
        <v>684</v>
      </c>
      <c r="D506" s="1" t="s">
        <v>686</v>
      </c>
      <c r="E506" s="1">
        <v>301</v>
      </c>
      <c r="G506" s="1">
        <v>301</v>
      </c>
      <c r="M506" s="1" t="s">
        <v>46</v>
      </c>
      <c r="Q506" s="1" t="s">
        <v>644</v>
      </c>
    </row>
    <row r="507" spans="1:17" ht="15">
      <c r="A507" s="4" t="str">
        <f t="shared" si="7"/>
        <v>506</v>
      </c>
      <c r="B507" s="1" t="s">
        <v>33</v>
      </c>
      <c r="C507" s="1" t="s">
        <v>684</v>
      </c>
      <c r="D507" s="1" t="s">
        <v>686</v>
      </c>
      <c r="E507" s="1">
        <v>302</v>
      </c>
      <c r="G507" s="1">
        <v>302</v>
      </c>
      <c r="M507" s="1" t="s">
        <v>46</v>
      </c>
      <c r="Q507" s="1" t="s">
        <v>645</v>
      </c>
    </row>
    <row r="508" spans="1:17" ht="15">
      <c r="A508" s="4" t="str">
        <f t="shared" si="7"/>
        <v>507</v>
      </c>
      <c r="B508" s="1" t="s">
        <v>33</v>
      </c>
      <c r="C508" s="1" t="s">
        <v>684</v>
      </c>
      <c r="D508" s="1" t="s">
        <v>686</v>
      </c>
      <c r="E508" s="1">
        <v>201</v>
      </c>
      <c r="G508" s="1">
        <v>201</v>
      </c>
      <c r="M508" s="1" t="s">
        <v>46</v>
      </c>
      <c r="Q508" s="1" t="s">
        <v>646</v>
      </c>
    </row>
    <row r="509" spans="1:17" ht="15">
      <c r="A509" s="4" t="str">
        <f t="shared" si="7"/>
        <v>508</v>
      </c>
      <c r="B509" s="1" t="s">
        <v>33</v>
      </c>
      <c r="C509" s="1" t="s">
        <v>684</v>
      </c>
      <c r="D509" s="1" t="s">
        <v>686</v>
      </c>
      <c r="E509" s="1">
        <v>202</v>
      </c>
      <c r="G509" s="1">
        <v>202</v>
      </c>
      <c r="M509" s="1" t="s">
        <v>46</v>
      </c>
      <c r="Q509" s="1" t="s">
        <v>647</v>
      </c>
    </row>
    <row r="510" spans="1:17" ht="15">
      <c r="A510" s="4" t="str">
        <f t="shared" si="7"/>
        <v>509</v>
      </c>
      <c r="B510" s="1" t="s">
        <v>33</v>
      </c>
      <c r="C510" s="1" t="s">
        <v>684</v>
      </c>
      <c r="D510" s="1" t="s">
        <v>686</v>
      </c>
      <c r="E510" s="1">
        <v>101</v>
      </c>
      <c r="G510" s="1">
        <v>101</v>
      </c>
      <c r="M510" s="1" t="s">
        <v>46</v>
      </c>
      <c r="Q510" s="1" t="s">
        <v>648</v>
      </c>
    </row>
    <row r="511" spans="1:17" ht="15">
      <c r="A511" s="4" t="str">
        <f t="shared" si="7"/>
        <v>510</v>
      </c>
      <c r="B511" s="1" t="s">
        <v>33</v>
      </c>
      <c r="C511" s="1" t="s">
        <v>684</v>
      </c>
      <c r="D511" s="1" t="s">
        <v>686</v>
      </c>
      <c r="E511" s="1">
        <v>102</v>
      </c>
      <c r="G511" s="1">
        <v>102</v>
      </c>
      <c r="M511" s="1" t="s">
        <v>46</v>
      </c>
      <c r="Q511" s="1" t="s">
        <v>649</v>
      </c>
    </row>
    <row r="512" spans="1:17" ht="15">
      <c r="A512" s="4" t="str">
        <f t="shared" si="7"/>
        <v>511</v>
      </c>
      <c r="B512" s="1" t="s">
        <v>33</v>
      </c>
      <c r="C512" s="1" t="s">
        <v>684</v>
      </c>
      <c r="D512" s="1" t="s">
        <v>688</v>
      </c>
      <c r="E512" s="1">
        <v>601</v>
      </c>
      <c r="G512" s="1">
        <v>601</v>
      </c>
      <c r="M512" s="1" t="s">
        <v>46</v>
      </c>
      <c r="Q512" s="1" t="s">
        <v>650</v>
      </c>
    </row>
    <row r="513" spans="1:17" ht="15">
      <c r="A513" s="4" t="str">
        <f t="shared" si="7"/>
        <v>512</v>
      </c>
      <c r="B513" s="1" t="s">
        <v>33</v>
      </c>
      <c r="C513" s="1" t="s">
        <v>684</v>
      </c>
      <c r="D513" s="1" t="s">
        <v>688</v>
      </c>
      <c r="E513" s="1">
        <v>602</v>
      </c>
      <c r="G513" s="1">
        <v>602</v>
      </c>
      <c r="M513" s="1" t="s">
        <v>46</v>
      </c>
      <c r="Q513" s="1" t="s">
        <v>651</v>
      </c>
    </row>
    <row r="514" spans="1:17" ht="15">
      <c r="A514" s="4" t="str">
        <f t="shared" si="7"/>
        <v>513</v>
      </c>
      <c r="B514" s="1" t="s">
        <v>33</v>
      </c>
      <c r="C514" s="1" t="s">
        <v>684</v>
      </c>
      <c r="D514" s="1" t="s">
        <v>688</v>
      </c>
      <c r="E514" s="1">
        <v>501</v>
      </c>
      <c r="G514" s="1">
        <v>501</v>
      </c>
      <c r="M514" s="1" t="s">
        <v>46</v>
      </c>
      <c r="Q514" s="1" t="s">
        <v>652</v>
      </c>
    </row>
    <row r="515" spans="1:17" ht="15">
      <c r="A515" s="4" t="str">
        <f t="shared" ref="A515:A578" si="8">TEXT(ROW(A514),"000")</f>
        <v>514</v>
      </c>
      <c r="B515" s="1" t="s">
        <v>33</v>
      </c>
      <c r="C515" s="1" t="s">
        <v>684</v>
      </c>
      <c r="D515" s="1" t="s">
        <v>688</v>
      </c>
      <c r="E515" s="1">
        <v>502</v>
      </c>
      <c r="G515" s="1">
        <v>502</v>
      </c>
      <c r="M515" s="1" t="s">
        <v>46</v>
      </c>
      <c r="Q515" s="1" t="s">
        <v>653</v>
      </c>
    </row>
    <row r="516" spans="1:17" ht="15">
      <c r="A516" s="4" t="str">
        <f t="shared" si="8"/>
        <v>515</v>
      </c>
      <c r="B516" s="1" t="s">
        <v>33</v>
      </c>
      <c r="C516" s="1" t="s">
        <v>684</v>
      </c>
      <c r="D516" s="1" t="s">
        <v>688</v>
      </c>
      <c r="E516" s="1">
        <v>401</v>
      </c>
      <c r="G516" s="1">
        <v>401</v>
      </c>
      <c r="M516" s="1" t="s">
        <v>46</v>
      </c>
      <c r="Q516" s="1" t="s">
        <v>654</v>
      </c>
    </row>
    <row r="517" spans="1:17" ht="15">
      <c r="A517" s="4" t="str">
        <f t="shared" si="8"/>
        <v>516</v>
      </c>
      <c r="B517" s="1" t="s">
        <v>33</v>
      </c>
      <c r="C517" s="1" t="s">
        <v>684</v>
      </c>
      <c r="D517" s="1" t="s">
        <v>688</v>
      </c>
      <c r="E517" s="1">
        <v>402</v>
      </c>
      <c r="G517" s="1">
        <v>402</v>
      </c>
      <c r="M517" s="1" t="s">
        <v>46</v>
      </c>
      <c r="Q517" s="1" t="s">
        <v>655</v>
      </c>
    </row>
    <row r="518" spans="1:17" ht="15">
      <c r="A518" s="4" t="str">
        <f t="shared" si="8"/>
        <v>517</v>
      </c>
      <c r="B518" s="1" t="s">
        <v>33</v>
      </c>
      <c r="C518" s="1" t="s">
        <v>684</v>
      </c>
      <c r="D518" s="1" t="s">
        <v>688</v>
      </c>
      <c r="E518" s="1">
        <v>301</v>
      </c>
      <c r="G518" s="1">
        <v>301</v>
      </c>
      <c r="M518" s="1" t="s">
        <v>46</v>
      </c>
      <c r="Q518" s="1" t="s">
        <v>656</v>
      </c>
    </row>
    <row r="519" spans="1:17" ht="15">
      <c r="A519" s="4" t="str">
        <f t="shared" si="8"/>
        <v>518</v>
      </c>
      <c r="B519" s="1" t="s">
        <v>33</v>
      </c>
      <c r="C519" s="1" t="s">
        <v>684</v>
      </c>
      <c r="D519" s="1" t="s">
        <v>688</v>
      </c>
      <c r="E519" s="1">
        <v>302</v>
      </c>
      <c r="G519" s="1">
        <v>302</v>
      </c>
      <c r="M519" s="1" t="s">
        <v>46</v>
      </c>
      <c r="Q519" s="1" t="s">
        <v>657</v>
      </c>
    </row>
    <row r="520" spans="1:17" ht="15">
      <c r="A520" s="4" t="str">
        <f t="shared" si="8"/>
        <v>519</v>
      </c>
      <c r="B520" s="1" t="s">
        <v>33</v>
      </c>
      <c r="C520" s="1" t="s">
        <v>684</v>
      </c>
      <c r="D520" s="1" t="s">
        <v>688</v>
      </c>
      <c r="E520" s="1">
        <v>201</v>
      </c>
      <c r="G520" s="1">
        <v>201</v>
      </c>
      <c r="M520" s="1" t="s">
        <v>46</v>
      </c>
      <c r="Q520" s="1" t="s">
        <v>658</v>
      </c>
    </row>
    <row r="521" spans="1:17" ht="15">
      <c r="A521" s="4" t="str">
        <f t="shared" si="8"/>
        <v>520</v>
      </c>
      <c r="B521" s="1" t="s">
        <v>33</v>
      </c>
      <c r="C521" s="1" t="s">
        <v>684</v>
      </c>
      <c r="D521" s="1" t="s">
        <v>688</v>
      </c>
      <c r="E521" s="1">
        <v>202</v>
      </c>
      <c r="G521" s="1">
        <v>202</v>
      </c>
      <c r="M521" s="1" t="s">
        <v>46</v>
      </c>
      <c r="Q521" s="1" t="s">
        <v>659</v>
      </c>
    </row>
    <row r="522" spans="1:17" ht="15">
      <c r="A522" s="4" t="str">
        <f t="shared" si="8"/>
        <v>521</v>
      </c>
      <c r="B522" s="1" t="s">
        <v>33</v>
      </c>
      <c r="C522" s="1" t="s">
        <v>684</v>
      </c>
      <c r="D522" s="1" t="s">
        <v>688</v>
      </c>
      <c r="E522" s="1">
        <v>101</v>
      </c>
      <c r="G522" s="1">
        <v>101</v>
      </c>
      <c r="M522" s="1" t="s">
        <v>46</v>
      </c>
      <c r="Q522" s="1" t="s">
        <v>660</v>
      </c>
    </row>
    <row r="523" spans="1:17" ht="15">
      <c r="A523" s="4" t="str">
        <f t="shared" si="8"/>
        <v>522</v>
      </c>
      <c r="B523" s="1" t="s">
        <v>33</v>
      </c>
      <c r="C523" s="1" t="s">
        <v>684</v>
      </c>
      <c r="D523" s="1" t="s">
        <v>688</v>
      </c>
      <c r="E523" s="1">
        <v>102</v>
      </c>
      <c r="G523" s="1">
        <v>102</v>
      </c>
      <c r="M523" s="1" t="s">
        <v>46</v>
      </c>
      <c r="Q523" s="1" t="s">
        <v>661</v>
      </c>
    </row>
    <row r="524" spans="1:17" ht="15">
      <c r="A524" s="4" t="str">
        <f t="shared" si="8"/>
        <v>523</v>
      </c>
      <c r="B524" s="1" t="s">
        <v>33</v>
      </c>
      <c r="C524" s="1" t="s">
        <v>684</v>
      </c>
      <c r="D524" s="1" t="s">
        <v>687</v>
      </c>
      <c r="E524" s="1">
        <v>601</v>
      </c>
      <c r="G524" s="1">
        <v>601</v>
      </c>
      <c r="M524" s="1" t="s">
        <v>46</v>
      </c>
      <c r="Q524" s="1" t="s">
        <v>662</v>
      </c>
    </row>
    <row r="525" spans="1:17" ht="15">
      <c r="A525" s="4" t="str">
        <f t="shared" si="8"/>
        <v>524</v>
      </c>
      <c r="B525" s="1" t="s">
        <v>33</v>
      </c>
      <c r="C525" s="1" t="s">
        <v>684</v>
      </c>
      <c r="D525" s="1" t="s">
        <v>687</v>
      </c>
      <c r="E525" s="1">
        <v>602</v>
      </c>
      <c r="G525" s="1">
        <v>602</v>
      </c>
      <c r="M525" s="1" t="s">
        <v>46</v>
      </c>
      <c r="Q525" s="1" t="s">
        <v>663</v>
      </c>
    </row>
    <row r="526" spans="1:17" ht="15">
      <c r="A526" s="4" t="str">
        <f t="shared" si="8"/>
        <v>525</v>
      </c>
      <c r="B526" s="1" t="s">
        <v>33</v>
      </c>
      <c r="C526" s="1" t="s">
        <v>684</v>
      </c>
      <c r="D526" s="1" t="s">
        <v>687</v>
      </c>
      <c r="E526" s="1">
        <v>501</v>
      </c>
      <c r="G526" s="1">
        <v>501</v>
      </c>
      <c r="M526" s="1" t="s">
        <v>46</v>
      </c>
      <c r="Q526" s="1" t="s">
        <v>664</v>
      </c>
    </row>
    <row r="527" spans="1:17" ht="15">
      <c r="A527" s="4" t="str">
        <f t="shared" si="8"/>
        <v>526</v>
      </c>
      <c r="B527" s="1" t="s">
        <v>33</v>
      </c>
      <c r="C527" s="1" t="s">
        <v>684</v>
      </c>
      <c r="D527" s="1" t="s">
        <v>687</v>
      </c>
      <c r="E527" s="1">
        <v>502</v>
      </c>
      <c r="G527" s="1">
        <v>502</v>
      </c>
      <c r="M527" s="1" t="s">
        <v>46</v>
      </c>
      <c r="Q527" s="1" t="s">
        <v>665</v>
      </c>
    </row>
    <row r="528" spans="1:17" ht="15">
      <c r="A528" s="4" t="str">
        <f t="shared" si="8"/>
        <v>527</v>
      </c>
      <c r="B528" s="1" t="s">
        <v>33</v>
      </c>
      <c r="C528" s="1" t="s">
        <v>684</v>
      </c>
      <c r="D528" s="1" t="s">
        <v>687</v>
      </c>
      <c r="E528" s="1">
        <v>401</v>
      </c>
      <c r="G528" s="1">
        <v>401</v>
      </c>
      <c r="M528" s="1" t="s">
        <v>46</v>
      </c>
      <c r="Q528" s="1" t="s">
        <v>666</v>
      </c>
    </row>
    <row r="529" spans="1:17" ht="15">
      <c r="A529" s="4" t="str">
        <f t="shared" si="8"/>
        <v>528</v>
      </c>
      <c r="B529" s="1" t="s">
        <v>33</v>
      </c>
      <c r="C529" s="1" t="s">
        <v>684</v>
      </c>
      <c r="D529" s="1" t="s">
        <v>687</v>
      </c>
      <c r="E529" s="1">
        <v>402</v>
      </c>
      <c r="G529" s="1">
        <v>402</v>
      </c>
      <c r="M529" s="1" t="s">
        <v>46</v>
      </c>
      <c r="Q529" s="1" t="s">
        <v>667</v>
      </c>
    </row>
    <row r="530" spans="1:17" ht="15">
      <c r="A530" s="4" t="str">
        <f t="shared" si="8"/>
        <v>529</v>
      </c>
      <c r="B530" s="1" t="s">
        <v>33</v>
      </c>
      <c r="C530" s="1" t="s">
        <v>684</v>
      </c>
      <c r="D530" s="1" t="s">
        <v>687</v>
      </c>
      <c r="E530" s="1">
        <v>301</v>
      </c>
      <c r="G530" s="1">
        <v>301</v>
      </c>
      <c r="M530" s="1" t="s">
        <v>46</v>
      </c>
      <c r="Q530" s="1" t="s">
        <v>668</v>
      </c>
    </row>
    <row r="531" spans="1:17" ht="15">
      <c r="A531" s="4" t="str">
        <f t="shared" si="8"/>
        <v>530</v>
      </c>
      <c r="B531" s="1" t="s">
        <v>33</v>
      </c>
      <c r="C531" s="1" t="s">
        <v>684</v>
      </c>
      <c r="D531" s="1" t="s">
        <v>687</v>
      </c>
      <c r="E531" s="1">
        <v>302</v>
      </c>
      <c r="G531" s="1">
        <v>302</v>
      </c>
      <c r="M531" s="1" t="s">
        <v>46</v>
      </c>
      <c r="Q531" s="1" t="s">
        <v>327</v>
      </c>
    </row>
    <row r="532" spans="1:17" ht="15">
      <c r="A532" s="4" t="str">
        <f t="shared" si="8"/>
        <v>531</v>
      </c>
      <c r="B532" s="1" t="s">
        <v>33</v>
      </c>
      <c r="C532" s="1" t="s">
        <v>684</v>
      </c>
      <c r="D532" s="1" t="s">
        <v>687</v>
      </c>
      <c r="E532" s="1">
        <v>201</v>
      </c>
      <c r="G532" s="1">
        <v>201</v>
      </c>
      <c r="M532" s="1" t="s">
        <v>46</v>
      </c>
      <c r="Q532" s="1" t="s">
        <v>669</v>
      </c>
    </row>
    <row r="533" spans="1:17" ht="15">
      <c r="A533" s="4" t="str">
        <f t="shared" si="8"/>
        <v>532</v>
      </c>
      <c r="B533" s="1" t="s">
        <v>33</v>
      </c>
      <c r="C533" s="1" t="s">
        <v>684</v>
      </c>
      <c r="D533" s="1" t="s">
        <v>687</v>
      </c>
      <c r="E533" s="1">
        <v>202</v>
      </c>
      <c r="G533" s="1">
        <v>202</v>
      </c>
      <c r="M533" s="1" t="s">
        <v>46</v>
      </c>
      <c r="Q533" s="1" t="s">
        <v>670</v>
      </c>
    </row>
    <row r="534" spans="1:17" ht="15">
      <c r="A534" s="4" t="str">
        <f t="shared" si="8"/>
        <v>533</v>
      </c>
      <c r="B534" s="1" t="s">
        <v>33</v>
      </c>
      <c r="C534" s="1" t="s">
        <v>684</v>
      </c>
      <c r="D534" s="1" t="s">
        <v>687</v>
      </c>
      <c r="E534" s="1">
        <v>101</v>
      </c>
      <c r="G534" s="1">
        <v>101</v>
      </c>
      <c r="M534" s="1" t="s">
        <v>46</v>
      </c>
      <c r="Q534" s="1" t="s">
        <v>671</v>
      </c>
    </row>
    <row r="535" spans="1:17" ht="15">
      <c r="A535" s="4" t="str">
        <f t="shared" si="8"/>
        <v>534</v>
      </c>
      <c r="B535" s="1" t="s">
        <v>33</v>
      </c>
      <c r="C535" s="1" t="s">
        <v>684</v>
      </c>
      <c r="D535" s="1" t="s">
        <v>687</v>
      </c>
      <c r="E535" s="1">
        <v>102</v>
      </c>
      <c r="G535" s="1">
        <v>102</v>
      </c>
      <c r="M535" s="1" t="s">
        <v>46</v>
      </c>
      <c r="Q535" s="1" t="s">
        <v>672</v>
      </c>
    </row>
    <row r="536" spans="1:17" ht="15">
      <c r="A536" s="4" t="str">
        <f t="shared" si="8"/>
        <v>535</v>
      </c>
      <c r="B536" s="1" t="s">
        <v>33</v>
      </c>
      <c r="C536" s="1" t="s">
        <v>41</v>
      </c>
      <c r="D536" s="1" t="s">
        <v>686</v>
      </c>
      <c r="E536" s="1">
        <v>601</v>
      </c>
      <c r="G536" s="1">
        <v>601</v>
      </c>
      <c r="M536" s="1" t="s">
        <v>46</v>
      </c>
      <c r="Q536" s="1" t="s">
        <v>216</v>
      </c>
    </row>
    <row r="537" spans="1:17" ht="15">
      <c r="A537" s="4" t="str">
        <f t="shared" si="8"/>
        <v>536</v>
      </c>
      <c r="B537" s="1" t="s">
        <v>33</v>
      </c>
      <c r="C537" s="1" t="s">
        <v>41</v>
      </c>
      <c r="D537" s="1" t="s">
        <v>686</v>
      </c>
      <c r="E537" s="1">
        <v>602</v>
      </c>
      <c r="G537" s="1">
        <v>602</v>
      </c>
      <c r="M537" s="1" t="s">
        <v>46</v>
      </c>
      <c r="Q537" s="1" t="s">
        <v>217</v>
      </c>
    </row>
    <row r="538" spans="1:17" ht="15">
      <c r="A538" s="4" t="str">
        <f t="shared" si="8"/>
        <v>537</v>
      </c>
      <c r="B538" s="1" t="s">
        <v>33</v>
      </c>
      <c r="C538" s="1" t="s">
        <v>41</v>
      </c>
      <c r="D538" s="1" t="s">
        <v>686</v>
      </c>
      <c r="E538" s="1">
        <v>603</v>
      </c>
      <c r="G538" s="1">
        <v>603</v>
      </c>
      <c r="M538" s="1" t="s">
        <v>46</v>
      </c>
      <c r="Q538" s="1" t="s">
        <v>218</v>
      </c>
    </row>
    <row r="539" spans="1:17" ht="15">
      <c r="A539" s="4" t="str">
        <f t="shared" si="8"/>
        <v>538</v>
      </c>
      <c r="B539" s="1" t="s">
        <v>33</v>
      </c>
      <c r="C539" s="1" t="s">
        <v>41</v>
      </c>
      <c r="D539" s="1" t="s">
        <v>686</v>
      </c>
      <c r="E539" s="1">
        <v>501</v>
      </c>
      <c r="G539" s="1">
        <v>501</v>
      </c>
      <c r="M539" s="1" t="s">
        <v>46</v>
      </c>
      <c r="Q539" s="1" t="s">
        <v>219</v>
      </c>
    </row>
    <row r="540" spans="1:17" ht="15">
      <c r="A540" s="4" t="str">
        <f t="shared" si="8"/>
        <v>539</v>
      </c>
      <c r="B540" s="1" t="s">
        <v>33</v>
      </c>
      <c r="C540" s="1" t="s">
        <v>41</v>
      </c>
      <c r="D540" s="1" t="s">
        <v>686</v>
      </c>
      <c r="E540" s="1">
        <v>502</v>
      </c>
      <c r="G540" s="1">
        <v>502</v>
      </c>
      <c r="M540" s="1" t="s">
        <v>46</v>
      </c>
      <c r="Q540" s="1" t="s">
        <v>220</v>
      </c>
    </row>
    <row r="541" spans="1:17" ht="15">
      <c r="A541" s="4" t="str">
        <f t="shared" si="8"/>
        <v>540</v>
      </c>
      <c r="B541" s="1" t="s">
        <v>33</v>
      </c>
      <c r="C541" s="1" t="s">
        <v>41</v>
      </c>
      <c r="D541" s="1" t="s">
        <v>686</v>
      </c>
      <c r="E541" s="1">
        <v>503</v>
      </c>
      <c r="G541" s="1">
        <v>503</v>
      </c>
      <c r="M541" s="1" t="s">
        <v>46</v>
      </c>
      <c r="Q541" s="1" t="s">
        <v>221</v>
      </c>
    </row>
    <row r="542" spans="1:17" ht="15">
      <c r="A542" s="4" t="str">
        <f t="shared" si="8"/>
        <v>541</v>
      </c>
      <c r="B542" s="1" t="s">
        <v>33</v>
      </c>
      <c r="C542" s="1" t="s">
        <v>41</v>
      </c>
      <c r="D542" s="1" t="s">
        <v>686</v>
      </c>
      <c r="E542" s="1">
        <v>401</v>
      </c>
      <c r="G542" s="1">
        <v>401</v>
      </c>
      <c r="M542" s="1" t="s">
        <v>46</v>
      </c>
      <c r="Q542" s="1" t="s">
        <v>222</v>
      </c>
    </row>
    <row r="543" spans="1:17" ht="15">
      <c r="A543" s="4" t="str">
        <f t="shared" si="8"/>
        <v>542</v>
      </c>
      <c r="B543" s="1" t="s">
        <v>33</v>
      </c>
      <c r="C543" s="1" t="s">
        <v>41</v>
      </c>
      <c r="D543" s="1" t="s">
        <v>686</v>
      </c>
      <c r="E543" s="1">
        <v>402</v>
      </c>
      <c r="G543" s="1">
        <v>402</v>
      </c>
      <c r="M543" s="1" t="s">
        <v>46</v>
      </c>
      <c r="Q543" s="1" t="s">
        <v>223</v>
      </c>
    </row>
    <row r="544" spans="1:17" ht="15">
      <c r="A544" s="4" t="str">
        <f t="shared" si="8"/>
        <v>543</v>
      </c>
      <c r="B544" s="1" t="s">
        <v>33</v>
      </c>
      <c r="C544" s="1" t="s">
        <v>41</v>
      </c>
      <c r="D544" s="1" t="s">
        <v>686</v>
      </c>
      <c r="E544" s="1">
        <v>403</v>
      </c>
      <c r="G544" s="1">
        <v>403</v>
      </c>
      <c r="M544" s="1" t="s">
        <v>46</v>
      </c>
      <c r="Q544" s="1" t="s">
        <v>224</v>
      </c>
    </row>
    <row r="545" spans="1:17" ht="15">
      <c r="A545" s="4" t="str">
        <f t="shared" si="8"/>
        <v>544</v>
      </c>
      <c r="B545" s="1" t="s">
        <v>33</v>
      </c>
      <c r="C545" s="1" t="s">
        <v>41</v>
      </c>
      <c r="D545" s="1" t="s">
        <v>686</v>
      </c>
      <c r="E545" s="1">
        <v>301</v>
      </c>
      <c r="G545" s="1">
        <v>301</v>
      </c>
      <c r="M545" s="1" t="s">
        <v>46</v>
      </c>
      <c r="Q545" s="1" t="s">
        <v>225</v>
      </c>
    </row>
    <row r="546" spans="1:17" ht="15">
      <c r="A546" s="4" t="str">
        <f t="shared" si="8"/>
        <v>545</v>
      </c>
      <c r="B546" s="1" t="s">
        <v>33</v>
      </c>
      <c r="C546" s="1" t="s">
        <v>41</v>
      </c>
      <c r="D546" s="1" t="s">
        <v>686</v>
      </c>
      <c r="E546" s="1">
        <v>302</v>
      </c>
      <c r="G546" s="1">
        <v>302</v>
      </c>
      <c r="M546" s="1" t="s">
        <v>46</v>
      </c>
      <c r="Q546" s="1" t="s">
        <v>226</v>
      </c>
    </row>
    <row r="547" spans="1:17" ht="15">
      <c r="A547" s="4" t="str">
        <f t="shared" si="8"/>
        <v>546</v>
      </c>
      <c r="B547" s="1" t="s">
        <v>33</v>
      </c>
      <c r="C547" s="1" t="s">
        <v>41</v>
      </c>
      <c r="D547" s="1" t="s">
        <v>686</v>
      </c>
      <c r="E547" s="1">
        <v>303</v>
      </c>
      <c r="G547" s="1">
        <v>303</v>
      </c>
      <c r="M547" s="1" t="s">
        <v>46</v>
      </c>
      <c r="Q547" s="1" t="s">
        <v>227</v>
      </c>
    </row>
    <row r="548" spans="1:17" ht="15">
      <c r="A548" s="4" t="str">
        <f t="shared" si="8"/>
        <v>547</v>
      </c>
      <c r="B548" s="1" t="s">
        <v>33</v>
      </c>
      <c r="C548" s="1" t="s">
        <v>41</v>
      </c>
      <c r="D548" s="1" t="s">
        <v>686</v>
      </c>
      <c r="E548" s="1">
        <v>201</v>
      </c>
      <c r="G548" s="1">
        <v>201</v>
      </c>
      <c r="M548" s="1" t="s">
        <v>46</v>
      </c>
      <c r="Q548" s="1" t="s">
        <v>228</v>
      </c>
    </row>
    <row r="549" spans="1:17" ht="15">
      <c r="A549" s="4" t="str">
        <f t="shared" si="8"/>
        <v>548</v>
      </c>
      <c r="B549" s="1" t="s">
        <v>33</v>
      </c>
      <c r="C549" s="1" t="s">
        <v>41</v>
      </c>
      <c r="D549" s="1" t="s">
        <v>686</v>
      </c>
      <c r="E549" s="1">
        <v>202</v>
      </c>
      <c r="G549" s="1">
        <v>202</v>
      </c>
      <c r="M549" s="1" t="s">
        <v>46</v>
      </c>
      <c r="Q549" s="1" t="s">
        <v>229</v>
      </c>
    </row>
    <row r="550" spans="1:17" ht="15">
      <c r="A550" s="4" t="str">
        <f t="shared" si="8"/>
        <v>549</v>
      </c>
      <c r="B550" s="1" t="s">
        <v>33</v>
      </c>
      <c r="C550" s="1" t="s">
        <v>41</v>
      </c>
      <c r="D550" s="1" t="s">
        <v>686</v>
      </c>
      <c r="E550" s="1">
        <v>203</v>
      </c>
      <c r="G550" s="1">
        <v>203</v>
      </c>
      <c r="M550" s="1" t="s">
        <v>46</v>
      </c>
      <c r="Q550" s="1" t="s">
        <v>230</v>
      </c>
    </row>
    <row r="551" spans="1:17" ht="15">
      <c r="A551" s="4" t="str">
        <f t="shared" si="8"/>
        <v>550</v>
      </c>
      <c r="B551" s="1" t="s">
        <v>33</v>
      </c>
      <c r="C551" s="1" t="s">
        <v>41</v>
      </c>
      <c r="D551" s="1" t="s">
        <v>686</v>
      </c>
      <c r="E551" s="1">
        <v>101</v>
      </c>
      <c r="G551" s="1">
        <v>101</v>
      </c>
      <c r="M551" s="1" t="s">
        <v>46</v>
      </c>
      <c r="Q551" s="1" t="s">
        <v>231</v>
      </c>
    </row>
    <row r="552" spans="1:17" ht="15">
      <c r="A552" s="4" t="str">
        <f t="shared" si="8"/>
        <v>551</v>
      </c>
      <c r="B552" s="1" t="s">
        <v>33</v>
      </c>
      <c r="C552" s="1" t="s">
        <v>41</v>
      </c>
      <c r="D552" s="1" t="s">
        <v>686</v>
      </c>
      <c r="E552" s="1">
        <v>102</v>
      </c>
      <c r="G552" s="1">
        <v>102</v>
      </c>
      <c r="M552" s="1" t="s">
        <v>46</v>
      </c>
      <c r="Q552" s="1" t="s">
        <v>232</v>
      </c>
    </row>
    <row r="553" spans="1:17" ht="15">
      <c r="A553" s="4" t="str">
        <f t="shared" si="8"/>
        <v>552</v>
      </c>
      <c r="B553" s="1" t="s">
        <v>33</v>
      </c>
      <c r="C553" s="1" t="s">
        <v>41</v>
      </c>
      <c r="D553" s="1" t="s">
        <v>686</v>
      </c>
      <c r="E553" s="1">
        <v>103</v>
      </c>
      <c r="G553" s="1">
        <v>103</v>
      </c>
      <c r="M553" s="1" t="s">
        <v>46</v>
      </c>
      <c r="Q553" s="1" t="s">
        <v>233</v>
      </c>
    </row>
    <row r="554" spans="1:17" ht="15">
      <c r="A554" s="4" t="str">
        <f t="shared" si="8"/>
        <v>553</v>
      </c>
      <c r="B554" s="1" t="s">
        <v>33</v>
      </c>
      <c r="C554" s="1" t="s">
        <v>41</v>
      </c>
      <c r="D554" s="1" t="s">
        <v>687</v>
      </c>
      <c r="E554" s="1">
        <v>601</v>
      </c>
      <c r="G554" s="1">
        <v>601</v>
      </c>
      <c r="M554" s="1" t="s">
        <v>46</v>
      </c>
      <c r="Q554" s="1" t="s">
        <v>234</v>
      </c>
    </row>
    <row r="555" spans="1:17" ht="15">
      <c r="A555" s="4" t="str">
        <f t="shared" si="8"/>
        <v>554</v>
      </c>
      <c r="B555" s="1" t="s">
        <v>33</v>
      </c>
      <c r="C555" s="1" t="s">
        <v>41</v>
      </c>
      <c r="D555" s="1" t="s">
        <v>687</v>
      </c>
      <c r="E555" s="1">
        <v>602</v>
      </c>
      <c r="G555" s="1">
        <v>602</v>
      </c>
      <c r="M555" s="1" t="s">
        <v>46</v>
      </c>
      <c r="Q555" s="1" t="s">
        <v>235</v>
      </c>
    </row>
    <row r="556" spans="1:17" ht="15">
      <c r="A556" s="4" t="str">
        <f t="shared" si="8"/>
        <v>555</v>
      </c>
      <c r="B556" s="1" t="s">
        <v>33</v>
      </c>
      <c r="C556" s="1" t="s">
        <v>41</v>
      </c>
      <c r="D556" s="1" t="s">
        <v>687</v>
      </c>
      <c r="E556" s="1">
        <v>603</v>
      </c>
      <c r="G556" s="1">
        <v>603</v>
      </c>
      <c r="M556" s="1" t="s">
        <v>46</v>
      </c>
      <c r="Q556" s="1" t="s">
        <v>236</v>
      </c>
    </row>
    <row r="557" spans="1:17" ht="15">
      <c r="A557" s="4" t="str">
        <f t="shared" si="8"/>
        <v>556</v>
      </c>
      <c r="B557" s="1" t="s">
        <v>33</v>
      </c>
      <c r="C557" s="1" t="s">
        <v>41</v>
      </c>
      <c r="D557" s="1" t="s">
        <v>687</v>
      </c>
      <c r="E557" s="1">
        <v>501</v>
      </c>
      <c r="G557" s="1">
        <v>501</v>
      </c>
      <c r="M557" s="1" t="s">
        <v>46</v>
      </c>
      <c r="Q557" s="1" t="s">
        <v>237</v>
      </c>
    </row>
    <row r="558" spans="1:17" ht="15">
      <c r="A558" s="4" t="str">
        <f t="shared" si="8"/>
        <v>557</v>
      </c>
      <c r="B558" s="1" t="s">
        <v>33</v>
      </c>
      <c r="C558" s="1" t="s">
        <v>41</v>
      </c>
      <c r="D558" s="1" t="s">
        <v>687</v>
      </c>
      <c r="E558" s="1">
        <v>502</v>
      </c>
      <c r="G558" s="1">
        <v>502</v>
      </c>
      <c r="M558" s="1" t="s">
        <v>46</v>
      </c>
      <c r="Q558" s="1" t="s">
        <v>238</v>
      </c>
    </row>
    <row r="559" spans="1:17" ht="15">
      <c r="A559" s="4" t="str">
        <f t="shared" si="8"/>
        <v>558</v>
      </c>
      <c r="B559" s="1" t="s">
        <v>33</v>
      </c>
      <c r="C559" s="1" t="s">
        <v>41</v>
      </c>
      <c r="D559" s="1" t="s">
        <v>687</v>
      </c>
      <c r="E559" s="1">
        <v>503</v>
      </c>
      <c r="G559" s="1">
        <v>503</v>
      </c>
      <c r="M559" s="1" t="s">
        <v>46</v>
      </c>
      <c r="Q559" s="1" t="s">
        <v>239</v>
      </c>
    </row>
    <row r="560" spans="1:17" ht="15">
      <c r="A560" s="4" t="str">
        <f t="shared" si="8"/>
        <v>559</v>
      </c>
      <c r="B560" s="1" t="s">
        <v>33</v>
      </c>
      <c r="C560" s="1" t="s">
        <v>41</v>
      </c>
      <c r="D560" s="1" t="s">
        <v>687</v>
      </c>
      <c r="E560" s="1">
        <v>401</v>
      </c>
      <c r="G560" s="1">
        <v>401</v>
      </c>
      <c r="M560" s="1" t="s">
        <v>46</v>
      </c>
      <c r="Q560" s="1" t="s">
        <v>240</v>
      </c>
    </row>
    <row r="561" spans="1:17" ht="15">
      <c r="A561" s="4" t="str">
        <f t="shared" si="8"/>
        <v>560</v>
      </c>
      <c r="B561" s="1" t="s">
        <v>33</v>
      </c>
      <c r="C561" s="1" t="s">
        <v>41</v>
      </c>
      <c r="D561" s="1" t="s">
        <v>687</v>
      </c>
      <c r="E561" s="1">
        <v>402</v>
      </c>
      <c r="G561" s="1">
        <v>402</v>
      </c>
      <c r="M561" s="1" t="s">
        <v>46</v>
      </c>
      <c r="Q561" s="1" t="s">
        <v>673</v>
      </c>
    </row>
    <row r="562" spans="1:17" ht="15">
      <c r="A562" s="4" t="str">
        <f t="shared" si="8"/>
        <v>561</v>
      </c>
      <c r="B562" s="1" t="s">
        <v>33</v>
      </c>
      <c r="C562" s="1" t="s">
        <v>41</v>
      </c>
      <c r="D562" s="1" t="s">
        <v>687</v>
      </c>
      <c r="E562" s="1">
        <v>403</v>
      </c>
      <c r="G562" s="1">
        <v>403</v>
      </c>
      <c r="M562" s="1" t="s">
        <v>46</v>
      </c>
      <c r="Q562" s="1" t="s">
        <v>242</v>
      </c>
    </row>
    <row r="563" spans="1:17" ht="15">
      <c r="A563" s="4" t="str">
        <f t="shared" si="8"/>
        <v>562</v>
      </c>
      <c r="B563" s="1" t="s">
        <v>33</v>
      </c>
      <c r="C563" s="1" t="s">
        <v>41</v>
      </c>
      <c r="D563" s="1" t="s">
        <v>687</v>
      </c>
      <c r="E563" s="1">
        <v>301</v>
      </c>
      <c r="G563" s="1">
        <v>301</v>
      </c>
      <c r="M563" s="1" t="s">
        <v>46</v>
      </c>
      <c r="Q563" s="1" t="s">
        <v>243</v>
      </c>
    </row>
    <row r="564" spans="1:17" ht="15">
      <c r="A564" s="4" t="str">
        <f t="shared" si="8"/>
        <v>563</v>
      </c>
      <c r="B564" s="1" t="s">
        <v>33</v>
      </c>
      <c r="C564" s="1" t="s">
        <v>41</v>
      </c>
      <c r="D564" s="1" t="s">
        <v>687</v>
      </c>
      <c r="E564" s="1">
        <v>302</v>
      </c>
      <c r="G564" s="1">
        <v>302</v>
      </c>
      <c r="M564" s="1" t="s">
        <v>46</v>
      </c>
      <c r="Q564" s="1" t="s">
        <v>244</v>
      </c>
    </row>
    <row r="565" spans="1:17" ht="15">
      <c r="A565" s="4" t="str">
        <f t="shared" si="8"/>
        <v>564</v>
      </c>
      <c r="B565" s="1" t="s">
        <v>33</v>
      </c>
      <c r="C565" s="1" t="s">
        <v>41</v>
      </c>
      <c r="D565" s="1" t="s">
        <v>687</v>
      </c>
      <c r="E565" s="1">
        <v>303</v>
      </c>
      <c r="G565" s="1">
        <v>303</v>
      </c>
      <c r="M565" s="1" t="s">
        <v>46</v>
      </c>
      <c r="Q565" s="1" t="s">
        <v>245</v>
      </c>
    </row>
    <row r="566" spans="1:17" ht="15">
      <c r="A566" s="4" t="str">
        <f t="shared" si="8"/>
        <v>565</v>
      </c>
      <c r="B566" s="1" t="s">
        <v>33</v>
      </c>
      <c r="C566" s="1" t="s">
        <v>41</v>
      </c>
      <c r="D566" s="1" t="s">
        <v>687</v>
      </c>
      <c r="E566" s="1">
        <v>201</v>
      </c>
      <c r="G566" s="1">
        <v>201</v>
      </c>
      <c r="M566" s="1" t="s">
        <v>46</v>
      </c>
      <c r="Q566" s="1" t="s">
        <v>246</v>
      </c>
    </row>
    <row r="567" spans="1:17" ht="15">
      <c r="A567" s="4" t="str">
        <f t="shared" si="8"/>
        <v>566</v>
      </c>
      <c r="B567" s="1" t="s">
        <v>33</v>
      </c>
      <c r="C567" s="1" t="s">
        <v>41</v>
      </c>
      <c r="D567" s="1" t="s">
        <v>687</v>
      </c>
      <c r="E567" s="1">
        <v>202</v>
      </c>
      <c r="G567" s="1">
        <v>202</v>
      </c>
      <c r="M567" s="1" t="s">
        <v>46</v>
      </c>
      <c r="Q567" s="1" t="s">
        <v>247</v>
      </c>
    </row>
    <row r="568" spans="1:17" ht="15">
      <c r="A568" s="4" t="str">
        <f t="shared" si="8"/>
        <v>567</v>
      </c>
      <c r="B568" s="1" t="s">
        <v>33</v>
      </c>
      <c r="C568" s="1" t="s">
        <v>41</v>
      </c>
      <c r="D568" s="1" t="s">
        <v>687</v>
      </c>
      <c r="E568" s="1">
        <v>203</v>
      </c>
      <c r="G568" s="1">
        <v>203</v>
      </c>
      <c r="M568" s="1" t="s">
        <v>46</v>
      </c>
      <c r="Q568" s="1" t="s">
        <v>248</v>
      </c>
    </row>
    <row r="569" spans="1:17" ht="15">
      <c r="A569" s="4" t="str">
        <f t="shared" si="8"/>
        <v>568</v>
      </c>
      <c r="B569" s="1" t="s">
        <v>33</v>
      </c>
      <c r="C569" s="1" t="s">
        <v>41</v>
      </c>
      <c r="D569" s="1" t="s">
        <v>687</v>
      </c>
      <c r="E569" s="1">
        <v>101</v>
      </c>
      <c r="G569" s="1">
        <v>101</v>
      </c>
      <c r="M569" s="1" t="s">
        <v>46</v>
      </c>
      <c r="Q569" s="1" t="s">
        <v>249</v>
      </c>
    </row>
    <row r="570" spans="1:17" ht="15">
      <c r="A570" s="4" t="str">
        <f t="shared" si="8"/>
        <v>569</v>
      </c>
      <c r="B570" s="1" t="s">
        <v>33</v>
      </c>
      <c r="C570" s="1" t="s">
        <v>41</v>
      </c>
      <c r="D570" s="1" t="s">
        <v>687</v>
      </c>
      <c r="E570" s="1">
        <v>102</v>
      </c>
      <c r="G570" s="1">
        <v>102</v>
      </c>
      <c r="M570" s="1" t="s">
        <v>46</v>
      </c>
      <c r="Q570" s="1" t="s">
        <v>250</v>
      </c>
    </row>
    <row r="571" spans="1:17" ht="15">
      <c r="A571" s="4" t="str">
        <f t="shared" si="8"/>
        <v>570</v>
      </c>
      <c r="B571" s="1" t="s">
        <v>33</v>
      </c>
      <c r="C571" s="1" t="s">
        <v>41</v>
      </c>
      <c r="D571" s="1" t="s">
        <v>687</v>
      </c>
      <c r="E571" s="1">
        <v>103</v>
      </c>
      <c r="G571" s="1">
        <v>103</v>
      </c>
      <c r="M571" s="1" t="s">
        <v>46</v>
      </c>
      <c r="Q571" s="1" t="s">
        <v>251</v>
      </c>
    </row>
    <row r="572" spans="1:17" ht="15">
      <c r="A572" s="4" t="str">
        <f t="shared" si="8"/>
        <v>571</v>
      </c>
      <c r="B572" s="1" t="s">
        <v>33</v>
      </c>
      <c r="C572" s="1" t="s">
        <v>40</v>
      </c>
      <c r="D572" s="1" t="s">
        <v>686</v>
      </c>
      <c r="E572" s="1">
        <v>601</v>
      </c>
      <c r="G572" s="1">
        <v>601</v>
      </c>
      <c r="M572" s="1" t="s">
        <v>46</v>
      </c>
      <c r="Q572" s="1" t="s">
        <v>187</v>
      </c>
    </row>
    <row r="573" spans="1:17" ht="15">
      <c r="A573" s="4" t="str">
        <f t="shared" si="8"/>
        <v>572</v>
      </c>
      <c r="B573" s="1" t="s">
        <v>33</v>
      </c>
      <c r="C573" s="1" t="s">
        <v>40</v>
      </c>
      <c r="D573" s="1" t="s">
        <v>686</v>
      </c>
      <c r="E573" s="1">
        <v>602</v>
      </c>
      <c r="G573" s="1">
        <v>602</v>
      </c>
      <c r="M573" s="1" t="s">
        <v>46</v>
      </c>
      <c r="Q573" s="1" t="s">
        <v>188</v>
      </c>
    </row>
    <row r="574" spans="1:17" ht="15">
      <c r="A574" s="4" t="str">
        <f t="shared" si="8"/>
        <v>573</v>
      </c>
      <c r="B574" s="1" t="s">
        <v>33</v>
      </c>
      <c r="C574" s="1" t="s">
        <v>40</v>
      </c>
      <c r="D574" s="1" t="s">
        <v>686</v>
      </c>
      <c r="E574" s="1">
        <v>603</v>
      </c>
      <c r="G574" s="1">
        <v>603</v>
      </c>
      <c r="M574" s="1" t="s">
        <v>46</v>
      </c>
      <c r="Q574" s="1" t="s">
        <v>189</v>
      </c>
    </row>
    <row r="575" spans="1:17" ht="15">
      <c r="A575" s="4" t="str">
        <f t="shared" si="8"/>
        <v>574</v>
      </c>
      <c r="B575" s="1" t="s">
        <v>33</v>
      </c>
      <c r="C575" s="1" t="s">
        <v>40</v>
      </c>
      <c r="D575" s="1" t="s">
        <v>686</v>
      </c>
      <c r="E575" s="1">
        <v>501</v>
      </c>
      <c r="G575" s="1">
        <v>501</v>
      </c>
      <c r="M575" s="1" t="s">
        <v>46</v>
      </c>
      <c r="Q575" s="1" t="s">
        <v>190</v>
      </c>
    </row>
    <row r="576" spans="1:17" ht="15">
      <c r="A576" s="4" t="str">
        <f t="shared" si="8"/>
        <v>575</v>
      </c>
      <c r="B576" s="1" t="s">
        <v>33</v>
      </c>
      <c r="C576" s="1" t="s">
        <v>40</v>
      </c>
      <c r="D576" s="1" t="s">
        <v>686</v>
      </c>
      <c r="E576" s="1">
        <v>502</v>
      </c>
      <c r="G576" s="1">
        <v>502</v>
      </c>
      <c r="M576" s="1" t="s">
        <v>46</v>
      </c>
      <c r="Q576" s="1" t="s">
        <v>674</v>
      </c>
    </row>
    <row r="577" spans="1:17" ht="15">
      <c r="A577" s="4" t="str">
        <f t="shared" si="8"/>
        <v>576</v>
      </c>
      <c r="B577" s="1" t="s">
        <v>33</v>
      </c>
      <c r="C577" s="1" t="s">
        <v>40</v>
      </c>
      <c r="D577" s="1" t="s">
        <v>686</v>
      </c>
      <c r="E577" s="1">
        <v>503</v>
      </c>
      <c r="G577" s="1">
        <v>503</v>
      </c>
      <c r="M577" s="1" t="s">
        <v>46</v>
      </c>
      <c r="Q577" s="1" t="s">
        <v>675</v>
      </c>
    </row>
    <row r="578" spans="1:17" ht="15">
      <c r="A578" s="4" t="str">
        <f t="shared" si="8"/>
        <v>577</v>
      </c>
      <c r="B578" s="1" t="s">
        <v>33</v>
      </c>
      <c r="C578" s="1" t="s">
        <v>40</v>
      </c>
      <c r="D578" s="1" t="s">
        <v>686</v>
      </c>
      <c r="E578" s="1">
        <v>401</v>
      </c>
      <c r="G578" s="1">
        <v>401</v>
      </c>
      <c r="M578" s="1" t="s">
        <v>46</v>
      </c>
      <c r="Q578" s="1" t="s">
        <v>191</v>
      </c>
    </row>
    <row r="579" spans="1:17" ht="15">
      <c r="A579" s="4" t="str">
        <f t="shared" ref="A579:A642" si="9">TEXT(ROW(A578),"000")</f>
        <v>578</v>
      </c>
      <c r="B579" s="1" t="s">
        <v>33</v>
      </c>
      <c r="C579" s="1" t="s">
        <v>40</v>
      </c>
      <c r="D579" s="1" t="s">
        <v>686</v>
      </c>
      <c r="E579" s="1">
        <v>402</v>
      </c>
      <c r="G579" s="1">
        <v>402</v>
      </c>
      <c r="M579" s="1" t="s">
        <v>46</v>
      </c>
      <c r="Q579" s="1" t="s">
        <v>676</v>
      </c>
    </row>
    <row r="580" spans="1:17" ht="15">
      <c r="A580" s="4" t="str">
        <f t="shared" si="9"/>
        <v>579</v>
      </c>
      <c r="B580" s="1" t="s">
        <v>33</v>
      </c>
      <c r="C580" s="1" t="s">
        <v>40</v>
      </c>
      <c r="D580" s="1" t="s">
        <v>686</v>
      </c>
      <c r="E580" s="1">
        <v>403</v>
      </c>
      <c r="G580" s="1">
        <v>403</v>
      </c>
      <c r="M580" s="1" t="s">
        <v>46</v>
      </c>
      <c r="Q580" s="1" t="s">
        <v>677</v>
      </c>
    </row>
    <row r="581" spans="1:17" ht="15">
      <c r="A581" s="4" t="str">
        <f t="shared" si="9"/>
        <v>580</v>
      </c>
      <c r="B581" s="1" t="s">
        <v>33</v>
      </c>
      <c r="C581" s="1" t="s">
        <v>40</v>
      </c>
      <c r="D581" s="1" t="s">
        <v>686</v>
      </c>
      <c r="E581" s="1">
        <v>301</v>
      </c>
      <c r="G581" s="1">
        <v>301</v>
      </c>
      <c r="M581" s="1" t="s">
        <v>46</v>
      </c>
      <c r="Q581" s="1" t="s">
        <v>192</v>
      </c>
    </row>
    <row r="582" spans="1:17" ht="15">
      <c r="A582" s="4" t="str">
        <f t="shared" si="9"/>
        <v>581</v>
      </c>
      <c r="B582" s="1" t="s">
        <v>33</v>
      </c>
      <c r="C582" s="1" t="s">
        <v>40</v>
      </c>
      <c r="D582" s="1" t="s">
        <v>686</v>
      </c>
      <c r="E582" s="1">
        <v>302</v>
      </c>
      <c r="G582" s="1">
        <v>302</v>
      </c>
      <c r="M582" s="1" t="s">
        <v>46</v>
      </c>
      <c r="Q582" s="1" t="s">
        <v>193</v>
      </c>
    </row>
    <row r="583" spans="1:17" ht="15">
      <c r="A583" s="4" t="str">
        <f t="shared" si="9"/>
        <v>582</v>
      </c>
      <c r="B583" s="1" t="s">
        <v>33</v>
      </c>
      <c r="C583" s="1" t="s">
        <v>40</v>
      </c>
      <c r="D583" s="1" t="s">
        <v>686</v>
      </c>
      <c r="E583" s="1">
        <v>303</v>
      </c>
      <c r="G583" s="1">
        <v>303</v>
      </c>
      <c r="M583" s="1" t="s">
        <v>46</v>
      </c>
      <c r="Q583" s="1" t="s">
        <v>194</v>
      </c>
    </row>
    <row r="584" spans="1:17" ht="15">
      <c r="A584" s="4" t="str">
        <f t="shared" si="9"/>
        <v>583</v>
      </c>
      <c r="B584" s="1" t="s">
        <v>33</v>
      </c>
      <c r="C584" s="1" t="s">
        <v>40</v>
      </c>
      <c r="D584" s="1" t="s">
        <v>686</v>
      </c>
      <c r="E584" s="1">
        <v>201</v>
      </c>
      <c r="G584" s="1">
        <v>201</v>
      </c>
      <c r="M584" s="1" t="s">
        <v>46</v>
      </c>
      <c r="Q584" s="1" t="s">
        <v>195</v>
      </c>
    </row>
    <row r="585" spans="1:17" ht="15">
      <c r="A585" s="4" t="str">
        <f t="shared" si="9"/>
        <v>584</v>
      </c>
      <c r="B585" s="1" t="s">
        <v>33</v>
      </c>
      <c r="C585" s="1" t="s">
        <v>40</v>
      </c>
      <c r="D585" s="1" t="s">
        <v>686</v>
      </c>
      <c r="E585" s="1">
        <v>202</v>
      </c>
      <c r="G585" s="1">
        <v>202</v>
      </c>
      <c r="M585" s="1" t="s">
        <v>46</v>
      </c>
      <c r="Q585" s="1" t="s">
        <v>196</v>
      </c>
    </row>
    <row r="586" spans="1:17" ht="15">
      <c r="A586" s="4" t="str">
        <f t="shared" si="9"/>
        <v>585</v>
      </c>
      <c r="B586" s="1" t="s">
        <v>33</v>
      </c>
      <c r="C586" s="1" t="s">
        <v>40</v>
      </c>
      <c r="D586" s="1" t="s">
        <v>686</v>
      </c>
      <c r="E586" s="1">
        <v>203</v>
      </c>
      <c r="G586" s="1">
        <v>203</v>
      </c>
      <c r="M586" s="1" t="s">
        <v>46</v>
      </c>
      <c r="Q586" s="1" t="s">
        <v>197</v>
      </c>
    </row>
    <row r="587" spans="1:17" ht="15">
      <c r="A587" s="4" t="str">
        <f t="shared" si="9"/>
        <v>586</v>
      </c>
      <c r="B587" s="1" t="s">
        <v>33</v>
      </c>
      <c r="C587" s="1" t="s">
        <v>40</v>
      </c>
      <c r="D587" s="1" t="s">
        <v>686</v>
      </c>
      <c r="E587" s="1">
        <v>101</v>
      </c>
      <c r="G587" s="1">
        <v>101</v>
      </c>
      <c r="M587" s="1" t="s">
        <v>46</v>
      </c>
      <c r="Q587" s="1" t="s">
        <v>198</v>
      </c>
    </row>
    <row r="588" spans="1:17" ht="15">
      <c r="A588" s="4" t="str">
        <f t="shared" si="9"/>
        <v>587</v>
      </c>
      <c r="B588" s="1" t="s">
        <v>33</v>
      </c>
      <c r="C588" s="1" t="s">
        <v>40</v>
      </c>
      <c r="D588" s="1" t="s">
        <v>686</v>
      </c>
      <c r="E588" s="1">
        <v>102</v>
      </c>
      <c r="G588" s="1">
        <v>102</v>
      </c>
      <c r="M588" s="1" t="s">
        <v>46</v>
      </c>
      <c r="Q588" s="1" t="s">
        <v>199</v>
      </c>
    </row>
    <row r="589" spans="1:17" ht="15">
      <c r="A589" s="4" t="str">
        <f t="shared" si="9"/>
        <v>588</v>
      </c>
      <c r="B589" s="1" t="s">
        <v>33</v>
      </c>
      <c r="C589" s="1" t="s">
        <v>40</v>
      </c>
      <c r="D589" s="1" t="s">
        <v>686</v>
      </c>
      <c r="E589" s="1">
        <v>103</v>
      </c>
      <c r="G589" s="1">
        <v>103</v>
      </c>
      <c r="M589" s="1" t="s">
        <v>46</v>
      </c>
      <c r="Q589" s="1" t="s">
        <v>200</v>
      </c>
    </row>
    <row r="590" spans="1:17" ht="15">
      <c r="A590" s="4" t="str">
        <f t="shared" si="9"/>
        <v>589</v>
      </c>
      <c r="B590" s="1" t="s">
        <v>33</v>
      </c>
      <c r="C590" s="1" t="s">
        <v>40</v>
      </c>
      <c r="D590" s="1" t="s">
        <v>687</v>
      </c>
      <c r="E590" s="1">
        <v>601</v>
      </c>
      <c r="G590" s="1">
        <v>601</v>
      </c>
      <c r="M590" s="1" t="s">
        <v>46</v>
      </c>
      <c r="Q590" s="1" t="s">
        <v>201</v>
      </c>
    </row>
    <row r="591" spans="1:17" ht="15">
      <c r="A591" s="4" t="str">
        <f t="shared" si="9"/>
        <v>590</v>
      </c>
      <c r="B591" s="1" t="s">
        <v>33</v>
      </c>
      <c r="C591" s="1" t="s">
        <v>40</v>
      </c>
      <c r="D591" s="1" t="s">
        <v>687</v>
      </c>
      <c r="E591" s="1">
        <v>602</v>
      </c>
      <c r="G591" s="1">
        <v>602</v>
      </c>
      <c r="M591" s="1" t="s">
        <v>46</v>
      </c>
      <c r="Q591" s="1" t="s">
        <v>202</v>
      </c>
    </row>
    <row r="592" spans="1:17" ht="15">
      <c r="A592" s="4" t="str">
        <f t="shared" si="9"/>
        <v>591</v>
      </c>
      <c r="B592" s="1" t="s">
        <v>33</v>
      </c>
      <c r="C592" s="1" t="s">
        <v>40</v>
      </c>
      <c r="D592" s="1" t="s">
        <v>687</v>
      </c>
      <c r="E592" s="1">
        <v>603</v>
      </c>
      <c r="G592" s="1">
        <v>603</v>
      </c>
      <c r="M592" s="1" t="s">
        <v>46</v>
      </c>
      <c r="Q592" s="1" t="s">
        <v>203</v>
      </c>
    </row>
    <row r="593" spans="1:17" ht="15">
      <c r="A593" s="4" t="str">
        <f t="shared" si="9"/>
        <v>592</v>
      </c>
      <c r="B593" s="1" t="s">
        <v>33</v>
      </c>
      <c r="C593" s="1" t="s">
        <v>40</v>
      </c>
      <c r="D593" s="1" t="s">
        <v>687</v>
      </c>
      <c r="E593" s="1">
        <v>501</v>
      </c>
      <c r="G593" s="1">
        <v>501</v>
      </c>
      <c r="M593" s="1" t="s">
        <v>46</v>
      </c>
      <c r="Q593" s="1" t="s">
        <v>204</v>
      </c>
    </row>
    <row r="594" spans="1:17" ht="15">
      <c r="A594" s="4" t="str">
        <f t="shared" si="9"/>
        <v>593</v>
      </c>
      <c r="B594" s="1" t="s">
        <v>33</v>
      </c>
      <c r="C594" s="1" t="s">
        <v>40</v>
      </c>
      <c r="D594" s="1" t="s">
        <v>687</v>
      </c>
      <c r="E594" s="1">
        <v>502</v>
      </c>
      <c r="G594" s="1">
        <v>502</v>
      </c>
      <c r="M594" s="1" t="s">
        <v>46</v>
      </c>
      <c r="Q594" s="1" t="s">
        <v>205</v>
      </c>
    </row>
    <row r="595" spans="1:17" ht="15">
      <c r="A595" s="4" t="str">
        <f t="shared" si="9"/>
        <v>594</v>
      </c>
      <c r="B595" s="1" t="s">
        <v>33</v>
      </c>
      <c r="C595" s="1" t="s">
        <v>40</v>
      </c>
      <c r="D595" s="1" t="s">
        <v>687</v>
      </c>
      <c r="E595" s="1">
        <v>503</v>
      </c>
      <c r="G595" s="1">
        <v>503</v>
      </c>
      <c r="M595" s="1" t="s">
        <v>46</v>
      </c>
      <c r="Q595" s="1" t="s">
        <v>206</v>
      </c>
    </row>
    <row r="596" spans="1:17" ht="15">
      <c r="A596" s="4" t="str">
        <f t="shared" si="9"/>
        <v>595</v>
      </c>
      <c r="B596" s="1" t="s">
        <v>33</v>
      </c>
      <c r="C596" s="1" t="s">
        <v>40</v>
      </c>
      <c r="D596" s="1" t="s">
        <v>687</v>
      </c>
      <c r="E596" s="1">
        <v>401</v>
      </c>
      <c r="G596" s="1">
        <v>401</v>
      </c>
      <c r="M596" s="1" t="s">
        <v>46</v>
      </c>
      <c r="Q596" s="1" t="s">
        <v>207</v>
      </c>
    </row>
    <row r="597" spans="1:17" ht="15">
      <c r="A597" s="4" t="str">
        <f t="shared" si="9"/>
        <v>596</v>
      </c>
      <c r="B597" s="1" t="s">
        <v>33</v>
      </c>
      <c r="C597" s="1" t="s">
        <v>40</v>
      </c>
      <c r="D597" s="1" t="s">
        <v>687</v>
      </c>
      <c r="E597" s="1">
        <v>402</v>
      </c>
      <c r="G597" s="1">
        <v>402</v>
      </c>
      <c r="M597" s="1" t="s">
        <v>46</v>
      </c>
      <c r="Q597" s="1" t="s">
        <v>208</v>
      </c>
    </row>
    <row r="598" spans="1:17" ht="15">
      <c r="A598" s="4" t="str">
        <f t="shared" si="9"/>
        <v>597</v>
      </c>
      <c r="B598" s="1" t="s">
        <v>33</v>
      </c>
      <c r="C598" s="1" t="s">
        <v>40</v>
      </c>
      <c r="D598" s="1" t="s">
        <v>687</v>
      </c>
      <c r="E598" s="1">
        <v>403</v>
      </c>
      <c r="G598" s="1">
        <v>403</v>
      </c>
      <c r="M598" s="1" t="s">
        <v>46</v>
      </c>
      <c r="Q598" s="1" t="s">
        <v>209</v>
      </c>
    </row>
    <row r="599" spans="1:17" ht="15">
      <c r="A599" s="4" t="str">
        <f t="shared" si="9"/>
        <v>598</v>
      </c>
      <c r="B599" s="1" t="s">
        <v>33</v>
      </c>
      <c r="C599" s="1" t="s">
        <v>40</v>
      </c>
      <c r="D599" s="1" t="s">
        <v>687</v>
      </c>
      <c r="E599" s="1">
        <v>301</v>
      </c>
      <c r="G599" s="1">
        <v>301</v>
      </c>
      <c r="M599" s="1" t="s">
        <v>46</v>
      </c>
      <c r="Q599" s="1" t="s">
        <v>210</v>
      </c>
    </row>
    <row r="600" spans="1:17" ht="15">
      <c r="A600" s="4" t="str">
        <f t="shared" si="9"/>
        <v>599</v>
      </c>
      <c r="B600" s="1" t="s">
        <v>33</v>
      </c>
      <c r="C600" s="1" t="s">
        <v>40</v>
      </c>
      <c r="D600" s="1" t="s">
        <v>687</v>
      </c>
      <c r="E600" s="1">
        <v>302</v>
      </c>
      <c r="G600" s="1">
        <v>302</v>
      </c>
      <c r="M600" s="1" t="s">
        <v>46</v>
      </c>
      <c r="Q600" s="1" t="s">
        <v>211</v>
      </c>
    </row>
    <row r="601" spans="1:17" ht="15">
      <c r="A601" s="4" t="str">
        <f t="shared" si="9"/>
        <v>600</v>
      </c>
      <c r="B601" s="1" t="s">
        <v>33</v>
      </c>
      <c r="C601" s="1" t="s">
        <v>40</v>
      </c>
      <c r="D601" s="1" t="s">
        <v>687</v>
      </c>
      <c r="E601" s="1">
        <v>303</v>
      </c>
      <c r="G601" s="1">
        <v>303</v>
      </c>
      <c r="M601" s="1" t="s">
        <v>46</v>
      </c>
      <c r="Q601" s="1" t="s">
        <v>212</v>
      </c>
    </row>
    <row r="602" spans="1:17" ht="15">
      <c r="A602" s="4" t="str">
        <f t="shared" si="9"/>
        <v>601</v>
      </c>
      <c r="B602" s="1" t="s">
        <v>33</v>
      </c>
      <c r="C602" s="1" t="s">
        <v>40</v>
      </c>
      <c r="D602" s="1" t="s">
        <v>687</v>
      </c>
      <c r="E602" s="1">
        <v>201</v>
      </c>
      <c r="G602" s="1">
        <v>201</v>
      </c>
      <c r="M602" s="1" t="s">
        <v>46</v>
      </c>
      <c r="Q602" s="1" t="s">
        <v>213</v>
      </c>
    </row>
    <row r="603" spans="1:17" ht="15">
      <c r="A603" s="4" t="str">
        <f t="shared" si="9"/>
        <v>602</v>
      </c>
      <c r="B603" s="1" t="s">
        <v>33</v>
      </c>
      <c r="C603" s="1" t="s">
        <v>40</v>
      </c>
      <c r="D603" s="1" t="s">
        <v>687</v>
      </c>
      <c r="E603" s="1">
        <v>202</v>
      </c>
      <c r="G603" s="1">
        <v>202</v>
      </c>
      <c r="M603" s="1" t="s">
        <v>46</v>
      </c>
      <c r="Q603" s="1" t="s">
        <v>214</v>
      </c>
    </row>
    <row r="604" spans="1:17" ht="15">
      <c r="A604" s="4" t="str">
        <f t="shared" si="9"/>
        <v>603</v>
      </c>
      <c r="B604" s="1" t="s">
        <v>33</v>
      </c>
      <c r="C604" s="1" t="s">
        <v>40</v>
      </c>
      <c r="D604" s="1" t="s">
        <v>687</v>
      </c>
      <c r="E604" s="1">
        <v>203</v>
      </c>
      <c r="G604" s="1">
        <v>203</v>
      </c>
      <c r="M604" s="1" t="s">
        <v>46</v>
      </c>
      <c r="Q604" s="1" t="s">
        <v>215</v>
      </c>
    </row>
    <row r="605" spans="1:17" ht="15">
      <c r="A605" s="4" t="str">
        <f t="shared" si="9"/>
        <v>604</v>
      </c>
      <c r="B605" s="1" t="s">
        <v>33</v>
      </c>
      <c r="C605" s="1" t="s">
        <v>40</v>
      </c>
      <c r="D605" s="1" t="s">
        <v>687</v>
      </c>
      <c r="E605" s="1">
        <v>101</v>
      </c>
      <c r="G605" s="1">
        <v>101</v>
      </c>
      <c r="M605" s="1" t="s">
        <v>46</v>
      </c>
      <c r="Q605" s="1" t="s">
        <v>393</v>
      </c>
    </row>
    <row r="606" spans="1:17" ht="15">
      <c r="A606" s="4" t="str">
        <f t="shared" si="9"/>
        <v>605</v>
      </c>
      <c r="B606" s="1" t="s">
        <v>33</v>
      </c>
      <c r="C606" s="1" t="s">
        <v>40</v>
      </c>
      <c r="D606" s="1" t="s">
        <v>687</v>
      </c>
      <c r="E606" s="1">
        <v>102</v>
      </c>
      <c r="G606" s="1">
        <v>102</v>
      </c>
      <c r="M606" s="1" t="s">
        <v>46</v>
      </c>
      <c r="Q606" s="1" t="s">
        <v>393</v>
      </c>
    </row>
    <row r="607" spans="1:17" ht="15">
      <c r="A607" s="4" t="str">
        <f t="shared" si="9"/>
        <v>606</v>
      </c>
      <c r="B607" s="1" t="s">
        <v>33</v>
      </c>
      <c r="C607" s="1" t="s">
        <v>40</v>
      </c>
      <c r="D607" s="1" t="s">
        <v>687</v>
      </c>
      <c r="E607" s="1">
        <v>103</v>
      </c>
      <c r="G607" s="1">
        <v>103</v>
      </c>
      <c r="M607" s="1" t="s">
        <v>46</v>
      </c>
      <c r="Q607" s="1" t="s">
        <v>393</v>
      </c>
    </row>
    <row r="608" spans="1:17" ht="15">
      <c r="A608" s="4" t="str">
        <f t="shared" si="9"/>
        <v>607</v>
      </c>
      <c r="B608" s="1" t="s">
        <v>33</v>
      </c>
      <c r="C608" s="1" t="s">
        <v>39</v>
      </c>
      <c r="D608" s="1" t="s">
        <v>686</v>
      </c>
      <c r="E608" s="1">
        <v>601</v>
      </c>
      <c r="G608" s="1">
        <v>601</v>
      </c>
      <c r="M608" s="1" t="s">
        <v>46</v>
      </c>
      <c r="Q608" s="1" t="s">
        <v>153</v>
      </c>
    </row>
    <row r="609" spans="1:17" ht="15">
      <c r="A609" s="4" t="str">
        <f t="shared" si="9"/>
        <v>608</v>
      </c>
      <c r="B609" s="1" t="s">
        <v>33</v>
      </c>
      <c r="C609" s="1" t="s">
        <v>39</v>
      </c>
      <c r="D609" s="1" t="s">
        <v>686</v>
      </c>
      <c r="E609" s="1">
        <v>602</v>
      </c>
      <c r="G609" s="1">
        <v>602</v>
      </c>
      <c r="M609" s="1" t="s">
        <v>46</v>
      </c>
      <c r="Q609" s="1" t="s">
        <v>154</v>
      </c>
    </row>
    <row r="610" spans="1:17" ht="15">
      <c r="A610" s="4" t="str">
        <f t="shared" si="9"/>
        <v>609</v>
      </c>
      <c r="B610" s="1" t="s">
        <v>33</v>
      </c>
      <c r="C610" s="1" t="s">
        <v>39</v>
      </c>
      <c r="D610" s="1" t="s">
        <v>686</v>
      </c>
      <c r="E610" s="1">
        <v>603</v>
      </c>
      <c r="G610" s="1">
        <v>603</v>
      </c>
      <c r="M610" s="1" t="s">
        <v>46</v>
      </c>
      <c r="Q610" s="1" t="s">
        <v>155</v>
      </c>
    </row>
    <row r="611" spans="1:17" ht="15">
      <c r="A611" s="4" t="str">
        <f t="shared" si="9"/>
        <v>610</v>
      </c>
      <c r="B611" s="1" t="s">
        <v>33</v>
      </c>
      <c r="C611" s="1" t="s">
        <v>39</v>
      </c>
      <c r="D611" s="1" t="s">
        <v>686</v>
      </c>
      <c r="E611" s="1">
        <v>501</v>
      </c>
      <c r="G611" s="1">
        <v>501</v>
      </c>
      <c r="M611" s="1" t="s">
        <v>46</v>
      </c>
      <c r="Q611" s="1" t="s">
        <v>156</v>
      </c>
    </row>
    <row r="612" spans="1:17" ht="15">
      <c r="A612" s="4" t="str">
        <f t="shared" si="9"/>
        <v>611</v>
      </c>
      <c r="B612" s="1" t="s">
        <v>33</v>
      </c>
      <c r="C612" s="1" t="s">
        <v>39</v>
      </c>
      <c r="D612" s="1" t="s">
        <v>686</v>
      </c>
      <c r="E612" s="1">
        <v>502</v>
      </c>
      <c r="G612" s="1">
        <v>502</v>
      </c>
      <c r="M612" s="1" t="s">
        <v>46</v>
      </c>
      <c r="Q612" s="1" t="s">
        <v>678</v>
      </c>
    </row>
    <row r="613" spans="1:17" ht="15">
      <c r="A613" s="4" t="str">
        <f t="shared" si="9"/>
        <v>612</v>
      </c>
      <c r="B613" s="1" t="s">
        <v>33</v>
      </c>
      <c r="C613" s="1" t="s">
        <v>39</v>
      </c>
      <c r="D613" s="1" t="s">
        <v>686</v>
      </c>
      <c r="E613" s="1">
        <v>503</v>
      </c>
      <c r="G613" s="1">
        <v>503</v>
      </c>
      <c r="M613" s="1" t="s">
        <v>46</v>
      </c>
      <c r="Q613" s="1" t="s">
        <v>157</v>
      </c>
    </row>
    <row r="614" spans="1:17" ht="15">
      <c r="A614" s="4" t="str">
        <f t="shared" si="9"/>
        <v>613</v>
      </c>
      <c r="B614" s="1" t="s">
        <v>33</v>
      </c>
      <c r="C614" s="1" t="s">
        <v>39</v>
      </c>
      <c r="D614" s="1" t="s">
        <v>686</v>
      </c>
      <c r="E614" s="1">
        <v>401</v>
      </c>
      <c r="G614" s="1">
        <v>401</v>
      </c>
      <c r="M614" s="1" t="s">
        <v>46</v>
      </c>
      <c r="Q614" s="1" t="s">
        <v>158</v>
      </c>
    </row>
    <row r="615" spans="1:17" ht="15">
      <c r="A615" s="4" t="str">
        <f t="shared" si="9"/>
        <v>614</v>
      </c>
      <c r="B615" s="1" t="s">
        <v>33</v>
      </c>
      <c r="C615" s="1" t="s">
        <v>39</v>
      </c>
      <c r="D615" s="1" t="s">
        <v>686</v>
      </c>
      <c r="E615" s="1">
        <v>402</v>
      </c>
      <c r="G615" s="1">
        <v>402</v>
      </c>
      <c r="M615" s="1" t="s">
        <v>46</v>
      </c>
      <c r="Q615" s="1" t="s">
        <v>159</v>
      </c>
    </row>
    <row r="616" spans="1:17" ht="15">
      <c r="A616" s="4" t="str">
        <f t="shared" si="9"/>
        <v>615</v>
      </c>
      <c r="B616" s="1" t="s">
        <v>33</v>
      </c>
      <c r="C616" s="1" t="s">
        <v>39</v>
      </c>
      <c r="D616" s="1" t="s">
        <v>686</v>
      </c>
      <c r="E616" s="1">
        <v>403</v>
      </c>
      <c r="G616" s="1">
        <v>403</v>
      </c>
      <c r="M616" s="1" t="s">
        <v>46</v>
      </c>
      <c r="Q616" s="1" t="s">
        <v>160</v>
      </c>
    </row>
    <row r="617" spans="1:17" ht="15">
      <c r="A617" s="4" t="str">
        <f t="shared" si="9"/>
        <v>616</v>
      </c>
      <c r="B617" s="1" t="s">
        <v>33</v>
      </c>
      <c r="C617" s="1" t="s">
        <v>39</v>
      </c>
      <c r="D617" s="1" t="s">
        <v>686</v>
      </c>
      <c r="E617" s="1">
        <v>301</v>
      </c>
      <c r="G617" s="1">
        <v>301</v>
      </c>
      <c r="M617" s="1" t="s">
        <v>46</v>
      </c>
      <c r="Q617" s="1" t="s">
        <v>161</v>
      </c>
    </row>
    <row r="618" spans="1:17" ht="15">
      <c r="A618" s="4" t="str">
        <f t="shared" si="9"/>
        <v>617</v>
      </c>
      <c r="B618" s="1" t="s">
        <v>33</v>
      </c>
      <c r="C618" s="1" t="s">
        <v>39</v>
      </c>
      <c r="D618" s="1" t="s">
        <v>686</v>
      </c>
      <c r="E618" s="1">
        <v>302</v>
      </c>
      <c r="G618" s="1">
        <v>302</v>
      </c>
      <c r="M618" s="1" t="s">
        <v>46</v>
      </c>
      <c r="Q618" s="1" t="s">
        <v>162</v>
      </c>
    </row>
    <row r="619" spans="1:17" ht="15">
      <c r="A619" s="4" t="str">
        <f t="shared" si="9"/>
        <v>618</v>
      </c>
      <c r="B619" s="1" t="s">
        <v>33</v>
      </c>
      <c r="C619" s="1" t="s">
        <v>39</v>
      </c>
      <c r="D619" s="1" t="s">
        <v>686</v>
      </c>
      <c r="E619" s="1">
        <v>303</v>
      </c>
      <c r="G619" s="1">
        <v>303</v>
      </c>
      <c r="M619" s="1" t="s">
        <v>46</v>
      </c>
      <c r="Q619" s="1" t="s">
        <v>163</v>
      </c>
    </row>
    <row r="620" spans="1:17" ht="15">
      <c r="A620" s="4" t="str">
        <f t="shared" si="9"/>
        <v>619</v>
      </c>
      <c r="B620" s="1" t="s">
        <v>33</v>
      </c>
      <c r="C620" s="1" t="s">
        <v>39</v>
      </c>
      <c r="D620" s="1" t="s">
        <v>686</v>
      </c>
      <c r="E620" s="1">
        <v>201</v>
      </c>
      <c r="G620" s="1">
        <v>201</v>
      </c>
      <c r="M620" s="1" t="s">
        <v>46</v>
      </c>
      <c r="Q620" s="1" t="s">
        <v>164</v>
      </c>
    </row>
    <row r="621" spans="1:17" ht="15">
      <c r="A621" s="4" t="str">
        <f t="shared" si="9"/>
        <v>620</v>
      </c>
      <c r="B621" s="1" t="s">
        <v>33</v>
      </c>
      <c r="C621" s="1" t="s">
        <v>39</v>
      </c>
      <c r="D621" s="1" t="s">
        <v>686</v>
      </c>
      <c r="E621" s="1">
        <v>202</v>
      </c>
      <c r="G621" s="1">
        <v>202</v>
      </c>
      <c r="M621" s="1" t="s">
        <v>46</v>
      </c>
      <c r="Q621" s="1" t="s">
        <v>165</v>
      </c>
    </row>
    <row r="622" spans="1:17" ht="15">
      <c r="A622" s="4" t="str">
        <f t="shared" si="9"/>
        <v>621</v>
      </c>
      <c r="B622" s="1" t="s">
        <v>33</v>
      </c>
      <c r="C622" s="1" t="s">
        <v>39</v>
      </c>
      <c r="D622" s="1" t="s">
        <v>686</v>
      </c>
      <c r="E622" s="1">
        <v>203</v>
      </c>
      <c r="G622" s="1">
        <v>203</v>
      </c>
      <c r="M622" s="1" t="s">
        <v>46</v>
      </c>
      <c r="Q622" s="1" t="s">
        <v>166</v>
      </c>
    </row>
    <row r="623" spans="1:17" ht="15">
      <c r="A623" s="4" t="str">
        <f t="shared" si="9"/>
        <v>622</v>
      </c>
      <c r="B623" s="1" t="s">
        <v>33</v>
      </c>
      <c r="C623" s="1" t="s">
        <v>39</v>
      </c>
      <c r="D623" s="1" t="s">
        <v>686</v>
      </c>
      <c r="E623" s="1">
        <v>101</v>
      </c>
      <c r="G623" s="1">
        <v>101</v>
      </c>
      <c r="M623" s="1" t="s">
        <v>46</v>
      </c>
      <c r="Q623" s="1" t="s">
        <v>167</v>
      </c>
    </row>
    <row r="624" spans="1:17" ht="15">
      <c r="A624" s="4" t="str">
        <f t="shared" si="9"/>
        <v>623</v>
      </c>
      <c r="B624" s="1" t="s">
        <v>33</v>
      </c>
      <c r="C624" s="1" t="s">
        <v>39</v>
      </c>
      <c r="D624" s="1" t="s">
        <v>686</v>
      </c>
      <c r="E624" s="1">
        <v>102</v>
      </c>
      <c r="G624" s="1">
        <v>102</v>
      </c>
      <c r="M624" s="1" t="s">
        <v>46</v>
      </c>
      <c r="Q624" s="1" t="s">
        <v>168</v>
      </c>
    </row>
    <row r="625" spans="1:17" ht="15">
      <c r="A625" s="4" t="str">
        <f t="shared" si="9"/>
        <v>624</v>
      </c>
      <c r="B625" s="1" t="s">
        <v>33</v>
      </c>
      <c r="C625" s="1" t="s">
        <v>39</v>
      </c>
      <c r="D625" s="1" t="s">
        <v>686</v>
      </c>
      <c r="E625" s="1">
        <v>103</v>
      </c>
      <c r="G625" s="1">
        <v>103</v>
      </c>
      <c r="M625" s="1" t="s">
        <v>46</v>
      </c>
      <c r="Q625" s="1" t="s">
        <v>169</v>
      </c>
    </row>
    <row r="626" spans="1:17" ht="15">
      <c r="A626" s="4" t="str">
        <f t="shared" si="9"/>
        <v>625</v>
      </c>
      <c r="B626" s="1" t="s">
        <v>33</v>
      </c>
      <c r="C626" s="1" t="s">
        <v>39</v>
      </c>
      <c r="D626" s="1" t="s">
        <v>687</v>
      </c>
      <c r="E626" s="1">
        <v>601</v>
      </c>
      <c r="G626" s="1">
        <v>601</v>
      </c>
      <c r="M626" s="1" t="s">
        <v>46</v>
      </c>
      <c r="Q626" s="1" t="s">
        <v>170</v>
      </c>
    </row>
    <row r="627" spans="1:17" ht="15">
      <c r="A627" s="4" t="str">
        <f t="shared" si="9"/>
        <v>626</v>
      </c>
      <c r="B627" s="1" t="s">
        <v>33</v>
      </c>
      <c r="C627" s="1" t="s">
        <v>39</v>
      </c>
      <c r="D627" s="1" t="s">
        <v>687</v>
      </c>
      <c r="E627" s="1">
        <v>602</v>
      </c>
      <c r="G627" s="1">
        <v>602</v>
      </c>
      <c r="M627" s="1" t="s">
        <v>46</v>
      </c>
      <c r="Q627" s="1" t="s">
        <v>171</v>
      </c>
    </row>
    <row r="628" spans="1:17" ht="15">
      <c r="A628" s="4" t="str">
        <f t="shared" si="9"/>
        <v>627</v>
      </c>
      <c r="B628" s="1" t="s">
        <v>33</v>
      </c>
      <c r="C628" s="1" t="s">
        <v>39</v>
      </c>
      <c r="D628" s="1" t="s">
        <v>687</v>
      </c>
      <c r="E628" s="1">
        <v>603</v>
      </c>
      <c r="G628" s="1">
        <v>603</v>
      </c>
      <c r="M628" s="1" t="s">
        <v>46</v>
      </c>
      <c r="Q628" s="1" t="s">
        <v>172</v>
      </c>
    </row>
    <row r="629" spans="1:17" ht="15">
      <c r="A629" s="4" t="str">
        <f t="shared" si="9"/>
        <v>628</v>
      </c>
      <c r="B629" s="1" t="s">
        <v>33</v>
      </c>
      <c r="C629" s="1" t="s">
        <v>39</v>
      </c>
      <c r="D629" s="1" t="s">
        <v>687</v>
      </c>
      <c r="E629" s="1">
        <v>501</v>
      </c>
      <c r="G629" s="1">
        <v>501</v>
      </c>
      <c r="M629" s="1" t="s">
        <v>46</v>
      </c>
      <c r="Q629" s="1" t="s">
        <v>173</v>
      </c>
    </row>
    <row r="630" spans="1:17" ht="15">
      <c r="A630" s="4" t="str">
        <f t="shared" si="9"/>
        <v>629</v>
      </c>
      <c r="B630" s="1" t="s">
        <v>33</v>
      </c>
      <c r="C630" s="1" t="s">
        <v>39</v>
      </c>
      <c r="D630" s="1" t="s">
        <v>687</v>
      </c>
      <c r="E630" s="1">
        <v>502</v>
      </c>
      <c r="G630" s="1">
        <v>502</v>
      </c>
      <c r="M630" s="1" t="s">
        <v>46</v>
      </c>
      <c r="Q630" s="1" t="s">
        <v>174</v>
      </c>
    </row>
    <row r="631" spans="1:17" ht="15">
      <c r="A631" s="4" t="str">
        <f t="shared" si="9"/>
        <v>630</v>
      </c>
      <c r="B631" s="1" t="s">
        <v>33</v>
      </c>
      <c r="C631" s="1" t="s">
        <v>39</v>
      </c>
      <c r="D631" s="1" t="s">
        <v>687</v>
      </c>
      <c r="E631" s="1">
        <v>503</v>
      </c>
      <c r="G631" s="1">
        <v>503</v>
      </c>
      <c r="M631" s="1" t="s">
        <v>46</v>
      </c>
      <c r="Q631" s="1" t="s">
        <v>393</v>
      </c>
    </row>
    <row r="632" spans="1:17" ht="15">
      <c r="A632" s="4" t="str">
        <f t="shared" si="9"/>
        <v>631</v>
      </c>
      <c r="B632" s="1" t="s">
        <v>33</v>
      </c>
      <c r="C632" s="1" t="s">
        <v>39</v>
      </c>
      <c r="D632" s="1" t="s">
        <v>687</v>
      </c>
      <c r="E632" s="1">
        <v>401</v>
      </c>
      <c r="G632" s="1">
        <v>401</v>
      </c>
      <c r="M632" s="1" t="s">
        <v>46</v>
      </c>
      <c r="Q632" s="1" t="s">
        <v>175</v>
      </c>
    </row>
    <row r="633" spans="1:17" ht="15">
      <c r="A633" s="4" t="str">
        <f t="shared" si="9"/>
        <v>632</v>
      </c>
      <c r="B633" s="1" t="s">
        <v>33</v>
      </c>
      <c r="C633" s="1" t="s">
        <v>39</v>
      </c>
      <c r="D633" s="1" t="s">
        <v>687</v>
      </c>
      <c r="E633" s="1">
        <v>402</v>
      </c>
      <c r="G633" s="1">
        <v>402</v>
      </c>
      <c r="M633" s="1" t="s">
        <v>46</v>
      </c>
      <c r="Q633" s="1" t="s">
        <v>176</v>
      </c>
    </row>
    <row r="634" spans="1:17" ht="15">
      <c r="A634" s="4" t="str">
        <f t="shared" si="9"/>
        <v>633</v>
      </c>
      <c r="B634" s="1" t="s">
        <v>33</v>
      </c>
      <c r="C634" s="1" t="s">
        <v>39</v>
      </c>
      <c r="D634" s="1" t="s">
        <v>687</v>
      </c>
      <c r="E634" s="1">
        <v>403</v>
      </c>
      <c r="G634" s="1">
        <v>403</v>
      </c>
      <c r="M634" s="1" t="s">
        <v>46</v>
      </c>
      <c r="Q634" s="1" t="s">
        <v>177</v>
      </c>
    </row>
    <row r="635" spans="1:17" ht="15">
      <c r="A635" s="4" t="str">
        <f t="shared" si="9"/>
        <v>634</v>
      </c>
      <c r="B635" s="1" t="s">
        <v>33</v>
      </c>
      <c r="C635" s="1" t="s">
        <v>39</v>
      </c>
      <c r="D635" s="1" t="s">
        <v>687</v>
      </c>
      <c r="E635" s="1">
        <v>301</v>
      </c>
      <c r="G635" s="1">
        <v>301</v>
      </c>
      <c r="M635" s="1" t="s">
        <v>46</v>
      </c>
      <c r="Q635" s="1" t="s">
        <v>178</v>
      </c>
    </row>
    <row r="636" spans="1:17" ht="15">
      <c r="A636" s="4" t="str">
        <f t="shared" si="9"/>
        <v>635</v>
      </c>
      <c r="B636" s="1" t="s">
        <v>33</v>
      </c>
      <c r="C636" s="1" t="s">
        <v>39</v>
      </c>
      <c r="D636" s="1" t="s">
        <v>687</v>
      </c>
      <c r="E636" s="1">
        <v>302</v>
      </c>
      <c r="G636" s="1">
        <v>302</v>
      </c>
      <c r="M636" s="1" t="s">
        <v>46</v>
      </c>
      <c r="Q636" s="1" t="s">
        <v>179</v>
      </c>
    </row>
    <row r="637" spans="1:17" ht="15">
      <c r="A637" s="4" t="str">
        <f t="shared" si="9"/>
        <v>636</v>
      </c>
      <c r="B637" s="1" t="s">
        <v>33</v>
      </c>
      <c r="C637" s="1" t="s">
        <v>39</v>
      </c>
      <c r="D637" s="1" t="s">
        <v>687</v>
      </c>
      <c r="E637" s="1">
        <v>303</v>
      </c>
      <c r="G637" s="1">
        <v>303</v>
      </c>
      <c r="M637" s="1" t="s">
        <v>46</v>
      </c>
      <c r="Q637" s="1" t="s">
        <v>180</v>
      </c>
    </row>
    <row r="638" spans="1:17" ht="15">
      <c r="A638" s="4" t="str">
        <f t="shared" si="9"/>
        <v>637</v>
      </c>
      <c r="B638" s="1" t="s">
        <v>33</v>
      </c>
      <c r="C638" s="1" t="s">
        <v>39</v>
      </c>
      <c r="D638" s="1" t="s">
        <v>687</v>
      </c>
      <c r="E638" s="1">
        <v>201</v>
      </c>
      <c r="G638" s="1">
        <v>201</v>
      </c>
      <c r="M638" s="1" t="s">
        <v>46</v>
      </c>
      <c r="Q638" s="1" t="s">
        <v>181</v>
      </c>
    </row>
    <row r="639" spans="1:17" ht="15">
      <c r="A639" s="4" t="str">
        <f t="shared" si="9"/>
        <v>638</v>
      </c>
      <c r="B639" s="1" t="s">
        <v>33</v>
      </c>
      <c r="C639" s="1" t="s">
        <v>39</v>
      </c>
      <c r="D639" s="1" t="s">
        <v>687</v>
      </c>
      <c r="E639" s="1">
        <v>202</v>
      </c>
      <c r="G639" s="1">
        <v>202</v>
      </c>
      <c r="M639" s="1" t="s">
        <v>46</v>
      </c>
      <c r="Q639" s="1" t="s">
        <v>182</v>
      </c>
    </row>
    <row r="640" spans="1:17" ht="15">
      <c r="A640" s="4" t="str">
        <f t="shared" si="9"/>
        <v>639</v>
      </c>
      <c r="B640" s="1" t="s">
        <v>33</v>
      </c>
      <c r="C640" s="1" t="s">
        <v>39</v>
      </c>
      <c r="D640" s="1" t="s">
        <v>687</v>
      </c>
      <c r="E640" s="1">
        <v>203</v>
      </c>
      <c r="G640" s="1">
        <v>203</v>
      </c>
      <c r="M640" s="1" t="s">
        <v>46</v>
      </c>
      <c r="Q640" s="1" t="s">
        <v>183</v>
      </c>
    </row>
    <row r="641" spans="1:17" ht="15">
      <c r="A641" s="4" t="str">
        <f t="shared" si="9"/>
        <v>640</v>
      </c>
      <c r="B641" s="1" t="s">
        <v>33</v>
      </c>
      <c r="C641" s="1" t="s">
        <v>39</v>
      </c>
      <c r="D641" s="1" t="s">
        <v>687</v>
      </c>
      <c r="E641" s="1">
        <v>101</v>
      </c>
      <c r="G641" s="1">
        <v>101</v>
      </c>
      <c r="M641" s="1" t="s">
        <v>46</v>
      </c>
      <c r="Q641" s="1" t="s">
        <v>184</v>
      </c>
    </row>
    <row r="642" spans="1:17" ht="15">
      <c r="A642" s="4" t="str">
        <f t="shared" si="9"/>
        <v>641</v>
      </c>
      <c r="B642" s="1" t="s">
        <v>33</v>
      </c>
      <c r="C642" s="1" t="s">
        <v>39</v>
      </c>
      <c r="D642" s="1" t="s">
        <v>687</v>
      </c>
      <c r="E642" s="1">
        <v>102</v>
      </c>
      <c r="G642" s="1">
        <v>102</v>
      </c>
      <c r="M642" s="1" t="s">
        <v>46</v>
      </c>
      <c r="Q642" s="1" t="s">
        <v>185</v>
      </c>
    </row>
    <row r="643" spans="1:17" ht="15">
      <c r="A643" s="4" t="str">
        <f t="shared" ref="A643" si="10">TEXT(ROW(A642),"000")</f>
        <v>642</v>
      </c>
      <c r="B643" s="1" t="s">
        <v>33</v>
      </c>
      <c r="C643" s="1" t="s">
        <v>39</v>
      </c>
      <c r="D643" s="1" t="s">
        <v>687</v>
      </c>
      <c r="E643" s="1">
        <v>103</v>
      </c>
      <c r="G643" s="1">
        <v>103</v>
      </c>
      <c r="M643" s="1" t="s">
        <v>46</v>
      </c>
      <c r="Q643" s="1" t="s">
        <v>186</v>
      </c>
    </row>
  </sheetData>
  <sortState xmlns:xlrd2="http://schemas.microsoft.com/office/spreadsheetml/2017/richdata2" ref="A2:AG317">
    <sortCondition ref="C2:C317" customList="1号楼,2号楼,3号楼,4号楼,5号楼,6号楼,7号楼,8号楼,9号楼,10号楼,11号楼,12号楼,13号楼,14号楼"/>
    <sortCondition ref="D2:D317"/>
    <sortCondition ref="E2:E317"/>
  </sortState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D80E5-5FF6-4931-97E0-FB6B283D4254}">
  <dimension ref="A1:V153"/>
  <sheetViews>
    <sheetView zoomScale="70" zoomScaleNormal="70" workbookViewId="0">
      <selection activeCell="L11" sqref="L11"/>
    </sheetView>
  </sheetViews>
  <sheetFormatPr defaultRowHeight="13.5" outlineLevelCol="1"/>
  <cols>
    <col min="1" max="1" width="15.25" style="1" bestFit="1" customWidth="1"/>
    <col min="2" max="2" width="14.125" style="1" bestFit="1" customWidth="1"/>
    <col min="3" max="3" width="10.75" style="1" bestFit="1" customWidth="1"/>
    <col min="4" max="5" width="7.75" style="1" bestFit="1" customWidth="1"/>
    <col min="6" max="6" width="14.125" style="1" customWidth="1" outlineLevel="1"/>
    <col min="7" max="7" width="17.5" style="1" customWidth="1" outlineLevel="1"/>
    <col min="8" max="8" width="14.125" style="1" customWidth="1" outlineLevel="1"/>
    <col min="9" max="9" width="20.75" style="1" customWidth="1" outlineLevel="1"/>
    <col min="10" max="10" width="14.125" style="1" customWidth="1" outlineLevel="1"/>
    <col min="11" max="11" width="10.75" style="1" customWidth="1" outlineLevel="1"/>
    <col min="12" max="12" width="7.75" style="1" customWidth="1" outlineLevel="1"/>
    <col min="13" max="13" width="14.125" style="1" bestFit="1" customWidth="1"/>
    <col min="14" max="14" width="7.75" style="1" customWidth="1" outlineLevel="1"/>
    <col min="15" max="15" width="50.75" style="1" customWidth="1" outlineLevel="1"/>
    <col min="16" max="16" width="24.125" style="1" customWidth="1" outlineLevel="1"/>
    <col min="17" max="17" width="7.75" style="1" customWidth="1" outlineLevel="1"/>
    <col min="18" max="18" width="20.75" style="1" customWidth="1" outlineLevel="1"/>
    <col min="19" max="19" width="24.125" style="1" customWidth="1" outlineLevel="1"/>
    <col min="20" max="20" width="14.125" style="1" customWidth="1" outlineLevel="1"/>
    <col min="21" max="21" width="19.125" style="1" bestFit="1" customWidth="1"/>
    <col min="22" max="22" width="10.75" style="1" bestFit="1" customWidth="1"/>
    <col min="23" max="16384" width="9" style="1"/>
  </cols>
  <sheetData>
    <row r="1" spans="1:22" s="23" customFormat="1" ht="20.25">
      <c r="A1" s="23" t="s">
        <v>710</v>
      </c>
      <c r="D1" s="25"/>
      <c r="E1" s="25"/>
      <c r="H1" s="24"/>
      <c r="U1" s="24"/>
    </row>
    <row r="2" spans="1:22" s="23" customFormat="1" ht="20.25">
      <c r="D2" s="25"/>
      <c r="E2" s="25"/>
      <c r="H2" s="24"/>
      <c r="U2" s="24"/>
    </row>
    <row r="3" spans="1:22" s="29" customFormat="1" ht="22.5">
      <c r="A3" s="30" t="s">
        <v>1</v>
      </c>
      <c r="B3" s="30" t="s">
        <v>2</v>
      </c>
      <c r="C3" s="30" t="s">
        <v>3</v>
      </c>
      <c r="D3" s="32" t="s">
        <v>4</v>
      </c>
      <c r="E3" s="32" t="s">
        <v>709</v>
      </c>
      <c r="F3" s="30" t="s">
        <v>708</v>
      </c>
      <c r="G3" s="30" t="s">
        <v>707</v>
      </c>
      <c r="H3" s="31" t="s">
        <v>10</v>
      </c>
      <c r="I3" s="30" t="s">
        <v>706</v>
      </c>
      <c r="J3" s="30" t="s">
        <v>705</v>
      </c>
      <c r="K3" s="30" t="s">
        <v>704</v>
      </c>
      <c r="L3" s="30" t="s">
        <v>15</v>
      </c>
      <c r="M3" s="31" t="s">
        <v>703</v>
      </c>
      <c r="N3" s="30" t="s">
        <v>702</v>
      </c>
      <c r="O3" s="30" t="s">
        <v>17</v>
      </c>
      <c r="P3" s="30" t="s">
        <v>19</v>
      </c>
      <c r="Q3" s="30" t="s">
        <v>15</v>
      </c>
      <c r="R3" s="30" t="s">
        <v>701</v>
      </c>
      <c r="S3" s="30" t="s">
        <v>700</v>
      </c>
      <c r="T3" s="30" t="s">
        <v>699</v>
      </c>
      <c r="U3" s="31" t="s">
        <v>698</v>
      </c>
      <c r="V3" s="30" t="s">
        <v>690</v>
      </c>
    </row>
    <row r="4" spans="1:22" s="26" customFormat="1" ht="22.5">
      <c r="A4" s="30" t="s">
        <v>697</v>
      </c>
      <c r="B4" s="30" t="e">
        <f>数据库!#REF!&amp;"号楼"</f>
        <v>#REF!</v>
      </c>
      <c r="C4" s="30" t="e">
        <f>NUMBERSTRING(数据库!#REF!,3)&amp;"单元"</f>
        <v>#REF!</v>
      </c>
      <c r="D4" s="30" t="e">
        <f>数据库!#REF!</f>
        <v>#REF!</v>
      </c>
      <c r="E4" s="30" t="e">
        <f>D4</f>
        <v>#REF!</v>
      </c>
      <c r="F4" s="30"/>
      <c r="G4" s="30"/>
      <c r="H4" s="31" t="s">
        <v>696</v>
      </c>
      <c r="I4" s="27"/>
      <c r="J4" s="27"/>
      <c r="K4" s="27"/>
      <c r="L4" s="27"/>
      <c r="M4" s="18" t="e">
        <f>数据库!#REF!</f>
        <v>#REF!</v>
      </c>
      <c r="N4" s="27" t="s">
        <v>695</v>
      </c>
      <c r="O4" s="30" t="s">
        <v>694</v>
      </c>
      <c r="P4" s="27" t="s">
        <v>693</v>
      </c>
      <c r="Q4" s="27"/>
      <c r="R4" s="27" t="s">
        <v>692</v>
      </c>
      <c r="S4" s="27" t="s">
        <v>691</v>
      </c>
      <c r="T4" s="27"/>
      <c r="U4" s="18" t="e">
        <f>数据库!#REF!</f>
        <v>#REF!</v>
      </c>
      <c r="V4" s="33" t="s">
        <v>711</v>
      </c>
    </row>
    <row r="5" spans="1:22" ht="22.5">
      <c r="A5" s="30" t="s">
        <v>697</v>
      </c>
      <c r="B5" s="30" t="e">
        <f>数据库!#REF!&amp;"号楼"</f>
        <v>#REF!</v>
      </c>
      <c r="C5" s="30" t="e">
        <f>NUMBERSTRING(数据库!#REF!,3)&amp;"单元"</f>
        <v>#REF!</v>
      </c>
      <c r="D5" s="30" t="e">
        <f>数据库!#REF!</f>
        <v>#REF!</v>
      </c>
      <c r="E5" s="30" t="e">
        <f t="shared" ref="E5:E68" si="0">D5</f>
        <v>#REF!</v>
      </c>
      <c r="F5" s="30"/>
      <c r="G5" s="30"/>
      <c r="H5" s="31" t="s">
        <v>696</v>
      </c>
      <c r="I5" s="27"/>
      <c r="J5" s="27"/>
      <c r="K5" s="27"/>
      <c r="L5" s="27"/>
      <c r="M5" s="18" t="e">
        <f>数据库!#REF!</f>
        <v>#REF!</v>
      </c>
      <c r="N5" s="27" t="s">
        <v>695</v>
      </c>
      <c r="O5" s="30" t="s">
        <v>694</v>
      </c>
      <c r="P5" s="27" t="s">
        <v>693</v>
      </c>
      <c r="Q5" s="27"/>
      <c r="R5" s="27" t="s">
        <v>692</v>
      </c>
      <c r="S5" s="27" t="s">
        <v>691</v>
      </c>
      <c r="T5" s="27"/>
      <c r="U5" s="18" t="e">
        <f>数据库!#REF!</f>
        <v>#REF!</v>
      </c>
      <c r="V5" s="33" t="s">
        <v>711</v>
      </c>
    </row>
    <row r="6" spans="1:22" ht="22.5">
      <c r="A6" s="30" t="s">
        <v>697</v>
      </c>
      <c r="B6" s="30" t="e">
        <f>数据库!#REF!&amp;"号楼"</f>
        <v>#REF!</v>
      </c>
      <c r="C6" s="30" t="e">
        <f>NUMBERSTRING(数据库!#REF!,3)&amp;"单元"</f>
        <v>#REF!</v>
      </c>
      <c r="D6" s="30" t="e">
        <f>数据库!#REF!</f>
        <v>#REF!</v>
      </c>
      <c r="E6" s="30" t="e">
        <f t="shared" si="0"/>
        <v>#REF!</v>
      </c>
      <c r="F6" s="30"/>
      <c r="G6" s="30"/>
      <c r="H6" s="31" t="s">
        <v>696</v>
      </c>
      <c r="I6" s="27"/>
      <c r="J6" s="27"/>
      <c r="K6" s="27"/>
      <c r="L6" s="27"/>
      <c r="M6" s="18" t="e">
        <f>数据库!#REF!</f>
        <v>#REF!</v>
      </c>
      <c r="N6" s="27" t="s">
        <v>695</v>
      </c>
      <c r="O6" s="30" t="s">
        <v>694</v>
      </c>
      <c r="P6" s="27" t="s">
        <v>693</v>
      </c>
      <c r="Q6" s="27"/>
      <c r="R6" s="27" t="s">
        <v>692</v>
      </c>
      <c r="S6" s="27" t="s">
        <v>691</v>
      </c>
      <c r="T6" s="27"/>
      <c r="U6" s="18" t="e">
        <f>数据库!#REF!</f>
        <v>#REF!</v>
      </c>
      <c r="V6" s="33" t="s">
        <v>711</v>
      </c>
    </row>
    <row r="7" spans="1:22" ht="22.5">
      <c r="A7" s="30" t="s">
        <v>697</v>
      </c>
      <c r="B7" s="30" t="e">
        <f>数据库!#REF!&amp;"号楼"</f>
        <v>#REF!</v>
      </c>
      <c r="C7" s="30" t="e">
        <f>NUMBERSTRING(数据库!#REF!,3)&amp;"单元"</f>
        <v>#REF!</v>
      </c>
      <c r="D7" s="30" t="e">
        <f>数据库!#REF!</f>
        <v>#REF!</v>
      </c>
      <c r="E7" s="30" t="e">
        <f t="shared" si="0"/>
        <v>#REF!</v>
      </c>
      <c r="F7" s="30"/>
      <c r="G7" s="30"/>
      <c r="H7" s="31" t="s">
        <v>696</v>
      </c>
      <c r="I7" s="27"/>
      <c r="J7" s="27"/>
      <c r="K7" s="27"/>
      <c r="L7" s="27"/>
      <c r="M7" s="18" t="e">
        <f>数据库!#REF!</f>
        <v>#REF!</v>
      </c>
      <c r="N7" s="27" t="s">
        <v>695</v>
      </c>
      <c r="O7" s="30" t="s">
        <v>694</v>
      </c>
      <c r="P7" s="27" t="s">
        <v>693</v>
      </c>
      <c r="Q7" s="27"/>
      <c r="R7" s="27" t="s">
        <v>692</v>
      </c>
      <c r="S7" s="27" t="s">
        <v>691</v>
      </c>
      <c r="T7" s="27"/>
      <c r="U7" s="18" t="e">
        <f>数据库!#REF!</f>
        <v>#REF!</v>
      </c>
      <c r="V7" s="33" t="s">
        <v>711</v>
      </c>
    </row>
    <row r="8" spans="1:22" ht="22.5">
      <c r="A8" s="30" t="s">
        <v>697</v>
      </c>
      <c r="B8" s="30" t="e">
        <f>数据库!#REF!&amp;"号楼"</f>
        <v>#REF!</v>
      </c>
      <c r="C8" s="30" t="e">
        <f>NUMBERSTRING(数据库!#REF!,3)&amp;"单元"</f>
        <v>#REF!</v>
      </c>
      <c r="D8" s="30" t="e">
        <f>数据库!#REF!</f>
        <v>#REF!</v>
      </c>
      <c r="E8" s="30" t="e">
        <f t="shared" si="0"/>
        <v>#REF!</v>
      </c>
      <c r="F8" s="30"/>
      <c r="G8" s="30"/>
      <c r="H8" s="31" t="s">
        <v>696</v>
      </c>
      <c r="I8" s="27"/>
      <c r="J8" s="27"/>
      <c r="K8" s="27"/>
      <c r="L8" s="27"/>
      <c r="M8" s="18" t="e">
        <f>数据库!#REF!</f>
        <v>#REF!</v>
      </c>
      <c r="N8" s="27" t="s">
        <v>695</v>
      </c>
      <c r="O8" s="30" t="s">
        <v>694</v>
      </c>
      <c r="P8" s="27" t="s">
        <v>693</v>
      </c>
      <c r="Q8" s="27"/>
      <c r="R8" s="27" t="s">
        <v>692</v>
      </c>
      <c r="S8" s="27" t="s">
        <v>691</v>
      </c>
      <c r="T8" s="27"/>
      <c r="U8" s="18" t="e">
        <f>数据库!#REF!</f>
        <v>#REF!</v>
      </c>
      <c r="V8" s="33" t="s">
        <v>711</v>
      </c>
    </row>
    <row r="9" spans="1:22" ht="22.5">
      <c r="A9" s="30" t="s">
        <v>697</v>
      </c>
      <c r="B9" s="30" t="e">
        <f>数据库!#REF!&amp;"号楼"</f>
        <v>#REF!</v>
      </c>
      <c r="C9" s="30" t="e">
        <f>NUMBERSTRING(数据库!#REF!,3)&amp;"单元"</f>
        <v>#REF!</v>
      </c>
      <c r="D9" s="30" t="e">
        <f>数据库!#REF!</f>
        <v>#REF!</v>
      </c>
      <c r="E9" s="30" t="e">
        <f t="shared" si="0"/>
        <v>#REF!</v>
      </c>
      <c r="F9" s="30"/>
      <c r="G9" s="30"/>
      <c r="H9" s="31" t="s">
        <v>696</v>
      </c>
      <c r="I9" s="27"/>
      <c r="J9" s="27"/>
      <c r="K9" s="27"/>
      <c r="L9" s="27"/>
      <c r="M9" s="18" t="e">
        <f>数据库!#REF!</f>
        <v>#REF!</v>
      </c>
      <c r="N9" s="27" t="s">
        <v>695</v>
      </c>
      <c r="O9" s="30" t="s">
        <v>694</v>
      </c>
      <c r="P9" s="27" t="s">
        <v>693</v>
      </c>
      <c r="Q9" s="27"/>
      <c r="R9" s="27" t="s">
        <v>692</v>
      </c>
      <c r="S9" s="27" t="s">
        <v>691</v>
      </c>
      <c r="T9" s="27"/>
      <c r="U9" s="18" t="e">
        <f>数据库!#REF!</f>
        <v>#REF!</v>
      </c>
      <c r="V9" s="33" t="s">
        <v>711</v>
      </c>
    </row>
    <row r="10" spans="1:22" ht="22.5">
      <c r="A10" s="30" t="s">
        <v>697</v>
      </c>
      <c r="B10" s="30" t="e">
        <f>数据库!#REF!&amp;"号楼"</f>
        <v>#REF!</v>
      </c>
      <c r="C10" s="30" t="e">
        <f>NUMBERSTRING(数据库!#REF!,3)&amp;"单元"</f>
        <v>#REF!</v>
      </c>
      <c r="D10" s="30" t="e">
        <f>数据库!#REF!</f>
        <v>#REF!</v>
      </c>
      <c r="E10" s="30" t="e">
        <f t="shared" si="0"/>
        <v>#REF!</v>
      </c>
      <c r="F10" s="30"/>
      <c r="G10" s="30"/>
      <c r="H10" s="31" t="s">
        <v>696</v>
      </c>
      <c r="I10" s="27"/>
      <c r="J10" s="27"/>
      <c r="K10" s="27"/>
      <c r="L10" s="27"/>
      <c r="M10" s="18" t="e">
        <f>数据库!#REF!</f>
        <v>#REF!</v>
      </c>
      <c r="N10" s="27" t="s">
        <v>695</v>
      </c>
      <c r="O10" s="30" t="s">
        <v>694</v>
      </c>
      <c r="P10" s="27" t="s">
        <v>693</v>
      </c>
      <c r="Q10" s="27"/>
      <c r="R10" s="27" t="s">
        <v>692</v>
      </c>
      <c r="S10" s="27" t="s">
        <v>691</v>
      </c>
      <c r="T10" s="27"/>
      <c r="U10" s="18" t="e">
        <f>数据库!#REF!</f>
        <v>#REF!</v>
      </c>
      <c r="V10" s="33" t="s">
        <v>711</v>
      </c>
    </row>
    <row r="11" spans="1:22" ht="22.5">
      <c r="A11" s="30" t="s">
        <v>697</v>
      </c>
      <c r="B11" s="30" t="e">
        <f>数据库!#REF!&amp;"号楼"</f>
        <v>#REF!</v>
      </c>
      <c r="C11" s="30" t="e">
        <f>NUMBERSTRING(数据库!#REF!,3)&amp;"单元"</f>
        <v>#REF!</v>
      </c>
      <c r="D11" s="30" t="e">
        <f>数据库!#REF!</f>
        <v>#REF!</v>
      </c>
      <c r="E11" s="30" t="e">
        <f t="shared" si="0"/>
        <v>#REF!</v>
      </c>
      <c r="F11" s="30"/>
      <c r="G11" s="30"/>
      <c r="H11" s="31" t="s">
        <v>696</v>
      </c>
      <c r="I11" s="27"/>
      <c r="J11" s="27"/>
      <c r="K11" s="27"/>
      <c r="L11" s="27"/>
      <c r="M11" s="18" t="e">
        <f>数据库!#REF!</f>
        <v>#REF!</v>
      </c>
      <c r="N11" s="27" t="s">
        <v>695</v>
      </c>
      <c r="O11" s="30" t="s">
        <v>694</v>
      </c>
      <c r="P11" s="27" t="s">
        <v>693</v>
      </c>
      <c r="Q11" s="27"/>
      <c r="R11" s="27" t="s">
        <v>692</v>
      </c>
      <c r="S11" s="27" t="s">
        <v>691</v>
      </c>
      <c r="T11" s="27"/>
      <c r="U11" s="18" t="e">
        <f>数据库!#REF!</f>
        <v>#REF!</v>
      </c>
      <c r="V11" s="33" t="s">
        <v>711</v>
      </c>
    </row>
    <row r="12" spans="1:22" ht="22.5">
      <c r="A12" s="30" t="s">
        <v>697</v>
      </c>
      <c r="B12" s="30" t="e">
        <f>数据库!#REF!&amp;"号楼"</f>
        <v>#REF!</v>
      </c>
      <c r="C12" s="30" t="e">
        <f>NUMBERSTRING(数据库!#REF!,3)&amp;"单元"</f>
        <v>#REF!</v>
      </c>
      <c r="D12" s="30" t="e">
        <f>数据库!#REF!</f>
        <v>#REF!</v>
      </c>
      <c r="E12" s="30" t="e">
        <f t="shared" si="0"/>
        <v>#REF!</v>
      </c>
      <c r="F12" s="30"/>
      <c r="G12" s="30"/>
      <c r="H12" s="31" t="s">
        <v>696</v>
      </c>
      <c r="I12" s="27"/>
      <c r="J12" s="27"/>
      <c r="K12" s="27"/>
      <c r="L12" s="27"/>
      <c r="M12" s="18" t="e">
        <f>数据库!#REF!</f>
        <v>#REF!</v>
      </c>
      <c r="N12" s="27" t="s">
        <v>695</v>
      </c>
      <c r="O12" s="30" t="s">
        <v>694</v>
      </c>
      <c r="P12" s="27" t="s">
        <v>693</v>
      </c>
      <c r="Q12" s="27"/>
      <c r="R12" s="27" t="s">
        <v>692</v>
      </c>
      <c r="S12" s="27" t="s">
        <v>691</v>
      </c>
      <c r="T12" s="27"/>
      <c r="U12" s="18" t="e">
        <f>数据库!#REF!</f>
        <v>#REF!</v>
      </c>
      <c r="V12" s="33" t="s">
        <v>711</v>
      </c>
    </row>
    <row r="13" spans="1:22" ht="22.5">
      <c r="A13" s="30" t="s">
        <v>697</v>
      </c>
      <c r="B13" s="30" t="e">
        <f>数据库!#REF!&amp;"号楼"</f>
        <v>#REF!</v>
      </c>
      <c r="C13" s="30" t="e">
        <f>NUMBERSTRING(数据库!#REF!,3)&amp;"单元"</f>
        <v>#REF!</v>
      </c>
      <c r="D13" s="30" t="e">
        <f>数据库!#REF!</f>
        <v>#REF!</v>
      </c>
      <c r="E13" s="30" t="e">
        <f t="shared" si="0"/>
        <v>#REF!</v>
      </c>
      <c r="F13" s="30"/>
      <c r="G13" s="30"/>
      <c r="H13" s="31" t="s">
        <v>696</v>
      </c>
      <c r="I13" s="27"/>
      <c r="J13" s="27"/>
      <c r="K13" s="27"/>
      <c r="L13" s="27"/>
      <c r="M13" s="18" t="e">
        <f>数据库!#REF!</f>
        <v>#REF!</v>
      </c>
      <c r="N13" s="27" t="s">
        <v>695</v>
      </c>
      <c r="O13" s="30" t="s">
        <v>694</v>
      </c>
      <c r="P13" s="27" t="s">
        <v>693</v>
      </c>
      <c r="Q13" s="27"/>
      <c r="R13" s="27" t="s">
        <v>692</v>
      </c>
      <c r="S13" s="27" t="s">
        <v>691</v>
      </c>
      <c r="T13" s="27"/>
      <c r="U13" s="18" t="e">
        <f>数据库!#REF!</f>
        <v>#REF!</v>
      </c>
      <c r="V13" s="33" t="s">
        <v>711</v>
      </c>
    </row>
    <row r="14" spans="1:22" ht="22.5">
      <c r="A14" s="30" t="s">
        <v>697</v>
      </c>
      <c r="B14" s="30" t="e">
        <f>数据库!#REF!&amp;"号楼"</f>
        <v>#REF!</v>
      </c>
      <c r="C14" s="30" t="e">
        <f>NUMBERSTRING(数据库!#REF!,3)&amp;"单元"</f>
        <v>#REF!</v>
      </c>
      <c r="D14" s="30" t="e">
        <f>数据库!#REF!</f>
        <v>#REF!</v>
      </c>
      <c r="E14" s="30" t="e">
        <f t="shared" si="0"/>
        <v>#REF!</v>
      </c>
      <c r="F14" s="30"/>
      <c r="G14" s="30"/>
      <c r="H14" s="31" t="s">
        <v>696</v>
      </c>
      <c r="I14" s="27"/>
      <c r="J14" s="27"/>
      <c r="K14" s="27"/>
      <c r="L14" s="27"/>
      <c r="M14" s="18" t="e">
        <f>数据库!#REF!</f>
        <v>#REF!</v>
      </c>
      <c r="N14" s="27" t="s">
        <v>695</v>
      </c>
      <c r="O14" s="30" t="s">
        <v>694</v>
      </c>
      <c r="P14" s="27" t="s">
        <v>693</v>
      </c>
      <c r="Q14" s="27"/>
      <c r="R14" s="27" t="s">
        <v>692</v>
      </c>
      <c r="S14" s="27" t="s">
        <v>691</v>
      </c>
      <c r="T14" s="27"/>
      <c r="U14" s="18" t="e">
        <f>数据库!#REF!</f>
        <v>#REF!</v>
      </c>
      <c r="V14" s="33" t="s">
        <v>711</v>
      </c>
    </row>
    <row r="15" spans="1:22" ht="22.5">
      <c r="A15" s="30" t="s">
        <v>697</v>
      </c>
      <c r="B15" s="30" t="e">
        <f>数据库!#REF!&amp;"号楼"</f>
        <v>#REF!</v>
      </c>
      <c r="C15" s="30" t="e">
        <f>NUMBERSTRING(数据库!#REF!,3)&amp;"单元"</f>
        <v>#REF!</v>
      </c>
      <c r="D15" s="30" t="e">
        <f>数据库!#REF!</f>
        <v>#REF!</v>
      </c>
      <c r="E15" s="30" t="e">
        <f t="shared" si="0"/>
        <v>#REF!</v>
      </c>
      <c r="F15" s="30"/>
      <c r="G15" s="30"/>
      <c r="H15" s="31" t="s">
        <v>696</v>
      </c>
      <c r="I15" s="27"/>
      <c r="J15" s="27"/>
      <c r="K15" s="27"/>
      <c r="L15" s="27"/>
      <c r="M15" s="18" t="e">
        <f>数据库!#REF!</f>
        <v>#REF!</v>
      </c>
      <c r="N15" s="27" t="s">
        <v>695</v>
      </c>
      <c r="O15" s="30" t="s">
        <v>694</v>
      </c>
      <c r="P15" s="27" t="s">
        <v>693</v>
      </c>
      <c r="Q15" s="27"/>
      <c r="R15" s="27" t="s">
        <v>692</v>
      </c>
      <c r="S15" s="27" t="s">
        <v>691</v>
      </c>
      <c r="T15" s="27"/>
      <c r="U15" s="18" t="e">
        <f>数据库!#REF!</f>
        <v>#REF!</v>
      </c>
      <c r="V15" s="33" t="s">
        <v>711</v>
      </c>
    </row>
    <row r="16" spans="1:22" ht="22.5">
      <c r="A16" s="30" t="s">
        <v>697</v>
      </c>
      <c r="B16" s="30" t="e">
        <f>数据库!#REF!&amp;"号楼"</f>
        <v>#REF!</v>
      </c>
      <c r="C16" s="30" t="e">
        <f>NUMBERSTRING(数据库!#REF!,3)&amp;"单元"</f>
        <v>#REF!</v>
      </c>
      <c r="D16" s="30" t="e">
        <f>数据库!#REF!</f>
        <v>#REF!</v>
      </c>
      <c r="E16" s="30" t="e">
        <f t="shared" si="0"/>
        <v>#REF!</v>
      </c>
      <c r="F16" s="30"/>
      <c r="G16" s="30"/>
      <c r="H16" s="31" t="s">
        <v>696</v>
      </c>
      <c r="I16" s="27"/>
      <c r="J16" s="27"/>
      <c r="K16" s="27"/>
      <c r="L16" s="27"/>
      <c r="M16" s="18" t="e">
        <f>数据库!#REF!</f>
        <v>#REF!</v>
      </c>
      <c r="N16" s="27" t="s">
        <v>695</v>
      </c>
      <c r="O16" s="30" t="s">
        <v>694</v>
      </c>
      <c r="P16" s="27" t="s">
        <v>693</v>
      </c>
      <c r="Q16" s="27"/>
      <c r="R16" s="27" t="s">
        <v>692</v>
      </c>
      <c r="S16" s="27" t="s">
        <v>691</v>
      </c>
      <c r="T16" s="27"/>
      <c r="U16" s="18" t="e">
        <f>数据库!#REF!</f>
        <v>#REF!</v>
      </c>
      <c r="V16" s="33" t="s">
        <v>711</v>
      </c>
    </row>
    <row r="17" spans="1:22" ht="22.5">
      <c r="A17" s="30" t="s">
        <v>697</v>
      </c>
      <c r="B17" s="30" t="e">
        <f>数据库!#REF!&amp;"号楼"</f>
        <v>#REF!</v>
      </c>
      <c r="C17" s="30" t="e">
        <f>NUMBERSTRING(数据库!#REF!,3)&amp;"单元"</f>
        <v>#REF!</v>
      </c>
      <c r="D17" s="30" t="e">
        <f>数据库!#REF!</f>
        <v>#REF!</v>
      </c>
      <c r="E17" s="30" t="e">
        <f t="shared" si="0"/>
        <v>#REF!</v>
      </c>
      <c r="F17" s="30"/>
      <c r="G17" s="30"/>
      <c r="H17" s="31" t="s">
        <v>696</v>
      </c>
      <c r="I17" s="27"/>
      <c r="J17" s="27"/>
      <c r="K17" s="27"/>
      <c r="L17" s="27"/>
      <c r="M17" s="18" t="e">
        <f>数据库!#REF!</f>
        <v>#REF!</v>
      </c>
      <c r="N17" s="27" t="s">
        <v>695</v>
      </c>
      <c r="O17" s="30" t="s">
        <v>694</v>
      </c>
      <c r="P17" s="27" t="s">
        <v>693</v>
      </c>
      <c r="Q17" s="27"/>
      <c r="R17" s="27" t="s">
        <v>692</v>
      </c>
      <c r="S17" s="27" t="s">
        <v>691</v>
      </c>
      <c r="T17" s="27"/>
      <c r="U17" s="18" t="e">
        <f>数据库!#REF!</f>
        <v>#REF!</v>
      </c>
      <c r="V17" s="33" t="s">
        <v>711</v>
      </c>
    </row>
    <row r="18" spans="1:22" ht="22.5">
      <c r="A18" s="30" t="s">
        <v>697</v>
      </c>
      <c r="B18" s="30" t="e">
        <f>数据库!#REF!&amp;"号楼"</f>
        <v>#REF!</v>
      </c>
      <c r="C18" s="30" t="e">
        <f>NUMBERSTRING(数据库!#REF!,3)&amp;"单元"</f>
        <v>#REF!</v>
      </c>
      <c r="D18" s="30" t="e">
        <f>数据库!#REF!</f>
        <v>#REF!</v>
      </c>
      <c r="E18" s="30" t="e">
        <f t="shared" si="0"/>
        <v>#REF!</v>
      </c>
      <c r="F18" s="30"/>
      <c r="G18" s="30"/>
      <c r="H18" s="31" t="s">
        <v>696</v>
      </c>
      <c r="I18" s="27"/>
      <c r="J18" s="27"/>
      <c r="K18" s="27"/>
      <c r="L18" s="27"/>
      <c r="M18" s="18" t="e">
        <f>数据库!#REF!</f>
        <v>#REF!</v>
      </c>
      <c r="N18" s="27" t="s">
        <v>695</v>
      </c>
      <c r="O18" s="30" t="s">
        <v>694</v>
      </c>
      <c r="P18" s="27" t="s">
        <v>693</v>
      </c>
      <c r="Q18" s="27"/>
      <c r="R18" s="27" t="s">
        <v>692</v>
      </c>
      <c r="S18" s="27" t="s">
        <v>691</v>
      </c>
      <c r="T18" s="27"/>
      <c r="U18" s="18" t="e">
        <f>数据库!#REF!</f>
        <v>#REF!</v>
      </c>
      <c r="V18" s="33" t="s">
        <v>711</v>
      </c>
    </row>
    <row r="19" spans="1:22" ht="22.5">
      <c r="A19" s="30" t="s">
        <v>697</v>
      </c>
      <c r="B19" s="30" t="e">
        <f>数据库!#REF!&amp;"号楼"</f>
        <v>#REF!</v>
      </c>
      <c r="C19" s="30" t="e">
        <f>NUMBERSTRING(数据库!#REF!,3)&amp;"单元"</f>
        <v>#REF!</v>
      </c>
      <c r="D19" s="30" t="e">
        <f>数据库!#REF!</f>
        <v>#REF!</v>
      </c>
      <c r="E19" s="30" t="e">
        <f t="shared" si="0"/>
        <v>#REF!</v>
      </c>
      <c r="F19" s="30"/>
      <c r="G19" s="30"/>
      <c r="H19" s="31" t="s">
        <v>696</v>
      </c>
      <c r="I19" s="27"/>
      <c r="J19" s="27"/>
      <c r="K19" s="27"/>
      <c r="L19" s="27"/>
      <c r="M19" s="18" t="e">
        <f>数据库!#REF!</f>
        <v>#REF!</v>
      </c>
      <c r="N19" s="27" t="s">
        <v>695</v>
      </c>
      <c r="O19" s="30" t="s">
        <v>694</v>
      </c>
      <c r="P19" s="27" t="s">
        <v>693</v>
      </c>
      <c r="Q19" s="27"/>
      <c r="R19" s="27" t="s">
        <v>692</v>
      </c>
      <c r="S19" s="27" t="s">
        <v>691</v>
      </c>
      <c r="T19" s="27"/>
      <c r="U19" s="18" t="e">
        <f>数据库!#REF!</f>
        <v>#REF!</v>
      </c>
      <c r="V19" s="33" t="s">
        <v>711</v>
      </c>
    </row>
    <row r="20" spans="1:22" ht="22.5">
      <c r="A20" s="30" t="s">
        <v>697</v>
      </c>
      <c r="B20" s="30" t="e">
        <f>数据库!#REF!&amp;"号楼"</f>
        <v>#REF!</v>
      </c>
      <c r="C20" s="30" t="e">
        <f>NUMBERSTRING(数据库!#REF!,3)&amp;"单元"</f>
        <v>#REF!</v>
      </c>
      <c r="D20" s="30" t="e">
        <f>数据库!#REF!</f>
        <v>#REF!</v>
      </c>
      <c r="E20" s="30" t="e">
        <f t="shared" si="0"/>
        <v>#REF!</v>
      </c>
      <c r="F20" s="30"/>
      <c r="G20" s="30"/>
      <c r="H20" s="31" t="s">
        <v>696</v>
      </c>
      <c r="I20" s="27"/>
      <c r="J20" s="27"/>
      <c r="K20" s="27"/>
      <c r="L20" s="27"/>
      <c r="M20" s="18" t="e">
        <f>数据库!#REF!</f>
        <v>#REF!</v>
      </c>
      <c r="N20" s="27" t="s">
        <v>695</v>
      </c>
      <c r="O20" s="30" t="s">
        <v>694</v>
      </c>
      <c r="P20" s="27" t="s">
        <v>693</v>
      </c>
      <c r="Q20" s="27"/>
      <c r="R20" s="27" t="s">
        <v>692</v>
      </c>
      <c r="S20" s="27" t="s">
        <v>691</v>
      </c>
      <c r="T20" s="27"/>
      <c r="U20" s="18" t="e">
        <f>数据库!#REF!</f>
        <v>#REF!</v>
      </c>
      <c r="V20" s="33" t="s">
        <v>711</v>
      </c>
    </row>
    <row r="21" spans="1:22" ht="22.5">
      <c r="A21" s="30" t="s">
        <v>697</v>
      </c>
      <c r="B21" s="30" t="e">
        <f>数据库!#REF!&amp;"号楼"</f>
        <v>#REF!</v>
      </c>
      <c r="C21" s="30" t="e">
        <f>NUMBERSTRING(数据库!#REF!,3)&amp;"单元"</f>
        <v>#REF!</v>
      </c>
      <c r="D21" s="30" t="e">
        <f>数据库!#REF!</f>
        <v>#REF!</v>
      </c>
      <c r="E21" s="30" t="e">
        <f t="shared" si="0"/>
        <v>#REF!</v>
      </c>
      <c r="F21" s="30"/>
      <c r="G21" s="30"/>
      <c r="H21" s="31" t="s">
        <v>696</v>
      </c>
      <c r="I21" s="27"/>
      <c r="J21" s="27"/>
      <c r="K21" s="27"/>
      <c r="L21" s="27"/>
      <c r="M21" s="18" t="e">
        <f>数据库!#REF!</f>
        <v>#REF!</v>
      </c>
      <c r="N21" s="27" t="s">
        <v>695</v>
      </c>
      <c r="O21" s="30" t="s">
        <v>694</v>
      </c>
      <c r="P21" s="27" t="s">
        <v>693</v>
      </c>
      <c r="Q21" s="27"/>
      <c r="R21" s="27" t="s">
        <v>692</v>
      </c>
      <c r="S21" s="27" t="s">
        <v>691</v>
      </c>
      <c r="T21" s="27"/>
      <c r="U21" s="18" t="e">
        <f>数据库!#REF!</f>
        <v>#REF!</v>
      </c>
      <c r="V21" s="33" t="s">
        <v>711</v>
      </c>
    </row>
    <row r="22" spans="1:22" ht="22.5">
      <c r="A22" s="30" t="s">
        <v>697</v>
      </c>
      <c r="B22" s="30" t="e">
        <f>数据库!#REF!&amp;"号楼"</f>
        <v>#REF!</v>
      </c>
      <c r="C22" s="30" t="e">
        <f>NUMBERSTRING(数据库!#REF!,3)&amp;"单元"</f>
        <v>#REF!</v>
      </c>
      <c r="D22" s="30" t="e">
        <f>数据库!#REF!</f>
        <v>#REF!</v>
      </c>
      <c r="E22" s="30" t="e">
        <f t="shared" si="0"/>
        <v>#REF!</v>
      </c>
      <c r="F22" s="30"/>
      <c r="G22" s="30"/>
      <c r="H22" s="31" t="s">
        <v>696</v>
      </c>
      <c r="I22" s="27"/>
      <c r="J22" s="27"/>
      <c r="K22" s="27"/>
      <c r="L22" s="27"/>
      <c r="M22" s="18" t="e">
        <f>数据库!#REF!</f>
        <v>#REF!</v>
      </c>
      <c r="N22" s="27" t="s">
        <v>695</v>
      </c>
      <c r="O22" s="30" t="s">
        <v>694</v>
      </c>
      <c r="P22" s="27" t="s">
        <v>693</v>
      </c>
      <c r="Q22" s="27"/>
      <c r="R22" s="27" t="s">
        <v>692</v>
      </c>
      <c r="S22" s="27" t="s">
        <v>691</v>
      </c>
      <c r="T22" s="27"/>
      <c r="U22" s="18" t="e">
        <f>数据库!#REF!</f>
        <v>#REF!</v>
      </c>
      <c r="V22" s="33" t="s">
        <v>711</v>
      </c>
    </row>
    <row r="23" spans="1:22" ht="22.5">
      <c r="A23" s="30" t="s">
        <v>697</v>
      </c>
      <c r="B23" s="30" t="e">
        <f>数据库!#REF!&amp;"号楼"</f>
        <v>#REF!</v>
      </c>
      <c r="C23" s="30" t="e">
        <f>NUMBERSTRING(数据库!#REF!,3)&amp;"单元"</f>
        <v>#REF!</v>
      </c>
      <c r="D23" s="30" t="e">
        <f>数据库!#REF!</f>
        <v>#REF!</v>
      </c>
      <c r="E23" s="30" t="e">
        <f t="shared" si="0"/>
        <v>#REF!</v>
      </c>
      <c r="F23" s="30"/>
      <c r="G23" s="30"/>
      <c r="H23" s="31" t="s">
        <v>696</v>
      </c>
      <c r="I23" s="27"/>
      <c r="J23" s="27"/>
      <c r="K23" s="27"/>
      <c r="L23" s="27"/>
      <c r="M23" s="18" t="e">
        <f>数据库!#REF!</f>
        <v>#REF!</v>
      </c>
      <c r="N23" s="27" t="s">
        <v>695</v>
      </c>
      <c r="O23" s="30" t="s">
        <v>694</v>
      </c>
      <c r="P23" s="27" t="s">
        <v>693</v>
      </c>
      <c r="Q23" s="27"/>
      <c r="R23" s="27" t="s">
        <v>692</v>
      </c>
      <c r="S23" s="27" t="s">
        <v>691</v>
      </c>
      <c r="T23" s="27"/>
      <c r="U23" s="18" t="e">
        <f>数据库!#REF!</f>
        <v>#REF!</v>
      </c>
      <c r="V23" s="33" t="s">
        <v>711</v>
      </c>
    </row>
    <row r="24" spans="1:22" ht="22.5">
      <c r="A24" s="30" t="s">
        <v>697</v>
      </c>
      <c r="B24" s="30" t="e">
        <f>数据库!#REF!&amp;"号楼"</f>
        <v>#REF!</v>
      </c>
      <c r="C24" s="30" t="e">
        <f>NUMBERSTRING(数据库!#REF!,3)&amp;"单元"</f>
        <v>#REF!</v>
      </c>
      <c r="D24" s="30" t="e">
        <f>数据库!#REF!</f>
        <v>#REF!</v>
      </c>
      <c r="E24" s="30" t="e">
        <f t="shared" si="0"/>
        <v>#REF!</v>
      </c>
      <c r="F24" s="30"/>
      <c r="G24" s="30"/>
      <c r="H24" s="31" t="s">
        <v>696</v>
      </c>
      <c r="I24" s="27"/>
      <c r="J24" s="27"/>
      <c r="K24" s="27"/>
      <c r="L24" s="27"/>
      <c r="M24" s="18" t="e">
        <f>数据库!#REF!</f>
        <v>#REF!</v>
      </c>
      <c r="N24" s="27" t="s">
        <v>695</v>
      </c>
      <c r="O24" s="30" t="s">
        <v>694</v>
      </c>
      <c r="P24" s="27" t="s">
        <v>693</v>
      </c>
      <c r="Q24" s="27"/>
      <c r="R24" s="27" t="s">
        <v>692</v>
      </c>
      <c r="S24" s="27" t="s">
        <v>691</v>
      </c>
      <c r="T24" s="27"/>
      <c r="U24" s="18" t="e">
        <f>数据库!#REF!</f>
        <v>#REF!</v>
      </c>
      <c r="V24" s="33" t="s">
        <v>711</v>
      </c>
    </row>
    <row r="25" spans="1:22" ht="22.5">
      <c r="A25" s="30" t="s">
        <v>697</v>
      </c>
      <c r="B25" s="30" t="e">
        <f>数据库!#REF!&amp;"号楼"</f>
        <v>#REF!</v>
      </c>
      <c r="C25" s="30" t="e">
        <f>NUMBERSTRING(数据库!#REF!,3)&amp;"单元"</f>
        <v>#REF!</v>
      </c>
      <c r="D25" s="30" t="e">
        <f>数据库!#REF!</f>
        <v>#REF!</v>
      </c>
      <c r="E25" s="30" t="e">
        <f t="shared" si="0"/>
        <v>#REF!</v>
      </c>
      <c r="F25" s="30"/>
      <c r="G25" s="30"/>
      <c r="H25" s="31" t="s">
        <v>696</v>
      </c>
      <c r="I25" s="27"/>
      <c r="J25" s="27"/>
      <c r="K25" s="27"/>
      <c r="L25" s="27"/>
      <c r="M25" s="18" t="e">
        <f>数据库!#REF!</f>
        <v>#REF!</v>
      </c>
      <c r="N25" s="27" t="s">
        <v>695</v>
      </c>
      <c r="O25" s="30" t="s">
        <v>694</v>
      </c>
      <c r="P25" s="27" t="s">
        <v>693</v>
      </c>
      <c r="Q25" s="27"/>
      <c r="R25" s="27" t="s">
        <v>692</v>
      </c>
      <c r="S25" s="27" t="s">
        <v>691</v>
      </c>
      <c r="T25" s="27"/>
      <c r="U25" s="18" t="e">
        <f>数据库!#REF!</f>
        <v>#REF!</v>
      </c>
      <c r="V25" s="33" t="s">
        <v>711</v>
      </c>
    </row>
    <row r="26" spans="1:22" ht="22.5">
      <c r="A26" s="30" t="s">
        <v>697</v>
      </c>
      <c r="B26" s="30" t="e">
        <f>数据库!#REF!&amp;"号楼"</f>
        <v>#REF!</v>
      </c>
      <c r="C26" s="30" t="e">
        <f>NUMBERSTRING(数据库!#REF!,3)&amp;"单元"</f>
        <v>#REF!</v>
      </c>
      <c r="D26" s="30" t="e">
        <f>数据库!#REF!</f>
        <v>#REF!</v>
      </c>
      <c r="E26" s="30" t="e">
        <f t="shared" si="0"/>
        <v>#REF!</v>
      </c>
      <c r="F26" s="30"/>
      <c r="G26" s="30"/>
      <c r="H26" s="31" t="s">
        <v>696</v>
      </c>
      <c r="I26" s="27"/>
      <c r="J26" s="27"/>
      <c r="K26" s="27"/>
      <c r="L26" s="27"/>
      <c r="M26" s="18" t="e">
        <f>数据库!#REF!</f>
        <v>#REF!</v>
      </c>
      <c r="N26" s="27" t="s">
        <v>695</v>
      </c>
      <c r="O26" s="30" t="s">
        <v>694</v>
      </c>
      <c r="P26" s="27" t="s">
        <v>693</v>
      </c>
      <c r="Q26" s="27"/>
      <c r="R26" s="27" t="s">
        <v>692</v>
      </c>
      <c r="S26" s="27" t="s">
        <v>691</v>
      </c>
      <c r="T26" s="27"/>
      <c r="U26" s="18" t="e">
        <f>数据库!#REF!</f>
        <v>#REF!</v>
      </c>
      <c r="V26" s="33" t="s">
        <v>711</v>
      </c>
    </row>
    <row r="27" spans="1:22" ht="22.5">
      <c r="A27" s="30" t="s">
        <v>697</v>
      </c>
      <c r="B27" s="30" t="e">
        <f>数据库!#REF!&amp;"号楼"</f>
        <v>#REF!</v>
      </c>
      <c r="C27" s="30" t="e">
        <f>NUMBERSTRING(数据库!#REF!,3)&amp;"单元"</f>
        <v>#REF!</v>
      </c>
      <c r="D27" s="30" t="e">
        <f>数据库!#REF!</f>
        <v>#REF!</v>
      </c>
      <c r="E27" s="30" t="e">
        <f t="shared" si="0"/>
        <v>#REF!</v>
      </c>
      <c r="F27" s="30"/>
      <c r="G27" s="30"/>
      <c r="H27" s="31" t="s">
        <v>696</v>
      </c>
      <c r="I27" s="27"/>
      <c r="J27" s="27"/>
      <c r="K27" s="27"/>
      <c r="L27" s="27"/>
      <c r="M27" s="18" t="e">
        <f>数据库!#REF!</f>
        <v>#REF!</v>
      </c>
      <c r="N27" s="27" t="s">
        <v>695</v>
      </c>
      <c r="O27" s="30" t="s">
        <v>694</v>
      </c>
      <c r="P27" s="27" t="s">
        <v>693</v>
      </c>
      <c r="Q27" s="27"/>
      <c r="R27" s="27" t="s">
        <v>692</v>
      </c>
      <c r="S27" s="27" t="s">
        <v>691</v>
      </c>
      <c r="T27" s="27"/>
      <c r="U27" s="18" t="e">
        <f>数据库!#REF!</f>
        <v>#REF!</v>
      </c>
      <c r="V27" s="33" t="s">
        <v>711</v>
      </c>
    </row>
    <row r="28" spans="1:22" ht="22.5">
      <c r="A28" s="30" t="s">
        <v>697</v>
      </c>
      <c r="B28" s="30" t="e">
        <f>数据库!#REF!&amp;"号楼"</f>
        <v>#REF!</v>
      </c>
      <c r="C28" s="30" t="e">
        <f>NUMBERSTRING(数据库!#REF!,3)&amp;"单元"</f>
        <v>#REF!</v>
      </c>
      <c r="D28" s="30" t="e">
        <f>数据库!#REF!</f>
        <v>#REF!</v>
      </c>
      <c r="E28" s="30" t="e">
        <f t="shared" si="0"/>
        <v>#REF!</v>
      </c>
      <c r="F28" s="30"/>
      <c r="G28" s="30"/>
      <c r="H28" s="31" t="s">
        <v>696</v>
      </c>
      <c r="I28" s="27"/>
      <c r="J28" s="27"/>
      <c r="K28" s="27"/>
      <c r="L28" s="27"/>
      <c r="M28" s="18" t="e">
        <f>数据库!#REF!</f>
        <v>#REF!</v>
      </c>
      <c r="N28" s="27" t="s">
        <v>695</v>
      </c>
      <c r="O28" s="30" t="s">
        <v>694</v>
      </c>
      <c r="P28" s="27" t="s">
        <v>693</v>
      </c>
      <c r="Q28" s="27"/>
      <c r="R28" s="27" t="s">
        <v>692</v>
      </c>
      <c r="S28" s="27" t="s">
        <v>691</v>
      </c>
      <c r="T28" s="27"/>
      <c r="U28" s="18" t="e">
        <f>数据库!#REF!</f>
        <v>#REF!</v>
      </c>
      <c r="V28" s="33" t="s">
        <v>711</v>
      </c>
    </row>
    <row r="29" spans="1:22" ht="22.5">
      <c r="A29" s="30" t="s">
        <v>697</v>
      </c>
      <c r="B29" s="30" t="e">
        <f>数据库!#REF!&amp;"号楼"</f>
        <v>#REF!</v>
      </c>
      <c r="C29" s="30" t="e">
        <f>NUMBERSTRING(数据库!#REF!,3)&amp;"单元"</f>
        <v>#REF!</v>
      </c>
      <c r="D29" s="30" t="e">
        <f>数据库!#REF!</f>
        <v>#REF!</v>
      </c>
      <c r="E29" s="30" t="e">
        <f t="shared" si="0"/>
        <v>#REF!</v>
      </c>
      <c r="F29" s="30"/>
      <c r="G29" s="30"/>
      <c r="H29" s="31" t="s">
        <v>696</v>
      </c>
      <c r="I29" s="27"/>
      <c r="J29" s="27"/>
      <c r="K29" s="27"/>
      <c r="L29" s="27"/>
      <c r="M29" s="18" t="e">
        <f>数据库!#REF!</f>
        <v>#REF!</v>
      </c>
      <c r="N29" s="27" t="s">
        <v>695</v>
      </c>
      <c r="O29" s="30" t="s">
        <v>694</v>
      </c>
      <c r="P29" s="27" t="s">
        <v>693</v>
      </c>
      <c r="Q29" s="27"/>
      <c r="R29" s="27" t="s">
        <v>692</v>
      </c>
      <c r="S29" s="27" t="s">
        <v>691</v>
      </c>
      <c r="T29" s="27"/>
      <c r="U29" s="18" t="e">
        <f>数据库!#REF!</f>
        <v>#REF!</v>
      </c>
      <c r="V29" s="33" t="s">
        <v>711</v>
      </c>
    </row>
    <row r="30" spans="1:22" ht="22.5">
      <c r="A30" s="30" t="s">
        <v>697</v>
      </c>
      <c r="B30" s="30" t="e">
        <f>数据库!#REF!&amp;"号楼"</f>
        <v>#REF!</v>
      </c>
      <c r="C30" s="30" t="e">
        <f>NUMBERSTRING(数据库!#REF!,3)&amp;"单元"</f>
        <v>#REF!</v>
      </c>
      <c r="D30" s="30" t="e">
        <f>数据库!#REF!</f>
        <v>#REF!</v>
      </c>
      <c r="E30" s="30" t="e">
        <f t="shared" si="0"/>
        <v>#REF!</v>
      </c>
      <c r="F30" s="30"/>
      <c r="G30" s="30"/>
      <c r="H30" s="31" t="s">
        <v>696</v>
      </c>
      <c r="I30" s="27"/>
      <c r="J30" s="27"/>
      <c r="K30" s="27"/>
      <c r="L30" s="27"/>
      <c r="M30" s="18" t="e">
        <f>数据库!#REF!</f>
        <v>#REF!</v>
      </c>
      <c r="N30" s="27" t="s">
        <v>695</v>
      </c>
      <c r="O30" s="30" t="s">
        <v>694</v>
      </c>
      <c r="P30" s="27" t="s">
        <v>693</v>
      </c>
      <c r="Q30" s="27"/>
      <c r="R30" s="27" t="s">
        <v>692</v>
      </c>
      <c r="S30" s="27" t="s">
        <v>691</v>
      </c>
      <c r="T30" s="27"/>
      <c r="U30" s="18" t="e">
        <f>数据库!#REF!</f>
        <v>#REF!</v>
      </c>
      <c r="V30" s="33" t="s">
        <v>711</v>
      </c>
    </row>
    <row r="31" spans="1:22" ht="22.5">
      <c r="A31" s="30" t="s">
        <v>697</v>
      </c>
      <c r="B31" s="30" t="e">
        <f>数据库!#REF!&amp;"号楼"</f>
        <v>#REF!</v>
      </c>
      <c r="C31" s="30" t="e">
        <f>NUMBERSTRING(数据库!#REF!,3)&amp;"单元"</f>
        <v>#REF!</v>
      </c>
      <c r="D31" s="30" t="e">
        <f>数据库!#REF!</f>
        <v>#REF!</v>
      </c>
      <c r="E31" s="30" t="e">
        <f t="shared" si="0"/>
        <v>#REF!</v>
      </c>
      <c r="F31" s="30"/>
      <c r="G31" s="30"/>
      <c r="H31" s="31" t="s">
        <v>696</v>
      </c>
      <c r="I31" s="27"/>
      <c r="J31" s="27"/>
      <c r="K31" s="27"/>
      <c r="L31" s="27"/>
      <c r="M31" s="18" t="e">
        <f>数据库!#REF!</f>
        <v>#REF!</v>
      </c>
      <c r="N31" s="27" t="s">
        <v>695</v>
      </c>
      <c r="O31" s="30" t="s">
        <v>694</v>
      </c>
      <c r="P31" s="27" t="s">
        <v>693</v>
      </c>
      <c r="Q31" s="27"/>
      <c r="R31" s="27" t="s">
        <v>692</v>
      </c>
      <c r="S31" s="27" t="s">
        <v>691</v>
      </c>
      <c r="T31" s="27"/>
      <c r="U31" s="18" t="e">
        <f>数据库!#REF!</f>
        <v>#REF!</v>
      </c>
      <c r="V31" s="33" t="s">
        <v>711</v>
      </c>
    </row>
    <row r="32" spans="1:22" ht="22.5">
      <c r="A32" s="30" t="s">
        <v>697</v>
      </c>
      <c r="B32" s="30" t="e">
        <f>数据库!#REF!&amp;"号楼"</f>
        <v>#REF!</v>
      </c>
      <c r="C32" s="30" t="e">
        <f>NUMBERSTRING(数据库!#REF!,3)&amp;"单元"</f>
        <v>#REF!</v>
      </c>
      <c r="D32" s="30" t="e">
        <f>数据库!#REF!</f>
        <v>#REF!</v>
      </c>
      <c r="E32" s="30" t="e">
        <f t="shared" si="0"/>
        <v>#REF!</v>
      </c>
      <c r="F32" s="30"/>
      <c r="G32" s="30"/>
      <c r="H32" s="31" t="s">
        <v>696</v>
      </c>
      <c r="I32" s="27"/>
      <c r="J32" s="27"/>
      <c r="K32" s="27"/>
      <c r="L32" s="27"/>
      <c r="M32" s="18" t="e">
        <f>数据库!#REF!</f>
        <v>#REF!</v>
      </c>
      <c r="N32" s="27" t="s">
        <v>695</v>
      </c>
      <c r="O32" s="30" t="s">
        <v>694</v>
      </c>
      <c r="P32" s="27" t="s">
        <v>693</v>
      </c>
      <c r="Q32" s="27"/>
      <c r="R32" s="27" t="s">
        <v>692</v>
      </c>
      <c r="S32" s="27" t="s">
        <v>691</v>
      </c>
      <c r="T32" s="27"/>
      <c r="U32" s="18" t="e">
        <f>数据库!#REF!</f>
        <v>#REF!</v>
      </c>
      <c r="V32" s="33" t="s">
        <v>711</v>
      </c>
    </row>
    <row r="33" spans="1:22" ht="22.5">
      <c r="A33" s="30" t="s">
        <v>697</v>
      </c>
      <c r="B33" s="30" t="e">
        <f>数据库!#REF!&amp;"号楼"</f>
        <v>#REF!</v>
      </c>
      <c r="C33" s="30" t="e">
        <f>NUMBERSTRING(数据库!#REF!,3)&amp;"单元"</f>
        <v>#REF!</v>
      </c>
      <c r="D33" s="30" t="e">
        <f>数据库!#REF!</f>
        <v>#REF!</v>
      </c>
      <c r="E33" s="30" t="e">
        <f t="shared" si="0"/>
        <v>#REF!</v>
      </c>
      <c r="F33" s="30"/>
      <c r="G33" s="30"/>
      <c r="H33" s="31" t="s">
        <v>696</v>
      </c>
      <c r="I33" s="27"/>
      <c r="J33" s="27"/>
      <c r="K33" s="27"/>
      <c r="L33" s="27"/>
      <c r="M33" s="18" t="e">
        <f>数据库!#REF!</f>
        <v>#REF!</v>
      </c>
      <c r="N33" s="27" t="s">
        <v>695</v>
      </c>
      <c r="O33" s="30" t="s">
        <v>694</v>
      </c>
      <c r="P33" s="27" t="s">
        <v>693</v>
      </c>
      <c r="Q33" s="27"/>
      <c r="R33" s="27" t="s">
        <v>692</v>
      </c>
      <c r="S33" s="27" t="s">
        <v>691</v>
      </c>
      <c r="T33" s="27"/>
      <c r="U33" s="18" t="e">
        <f>数据库!#REF!</f>
        <v>#REF!</v>
      </c>
      <c r="V33" s="33" t="s">
        <v>711</v>
      </c>
    </row>
    <row r="34" spans="1:22" ht="22.5">
      <c r="A34" s="30" t="s">
        <v>697</v>
      </c>
      <c r="B34" s="30" t="e">
        <f>数据库!#REF!&amp;"号楼"</f>
        <v>#REF!</v>
      </c>
      <c r="C34" s="30" t="e">
        <f>NUMBERSTRING(数据库!#REF!,3)&amp;"单元"</f>
        <v>#REF!</v>
      </c>
      <c r="D34" s="30" t="e">
        <f>数据库!#REF!</f>
        <v>#REF!</v>
      </c>
      <c r="E34" s="30" t="e">
        <f t="shared" si="0"/>
        <v>#REF!</v>
      </c>
      <c r="F34" s="30"/>
      <c r="G34" s="30"/>
      <c r="H34" s="31" t="s">
        <v>696</v>
      </c>
      <c r="I34" s="27"/>
      <c r="J34" s="27"/>
      <c r="K34" s="27"/>
      <c r="L34" s="27"/>
      <c r="M34" s="18" t="e">
        <f>数据库!#REF!</f>
        <v>#REF!</v>
      </c>
      <c r="N34" s="27" t="s">
        <v>695</v>
      </c>
      <c r="O34" s="30" t="s">
        <v>694</v>
      </c>
      <c r="P34" s="27" t="s">
        <v>693</v>
      </c>
      <c r="Q34" s="27"/>
      <c r="R34" s="27" t="s">
        <v>692</v>
      </c>
      <c r="S34" s="27" t="s">
        <v>691</v>
      </c>
      <c r="T34" s="27"/>
      <c r="U34" s="18" t="e">
        <f>数据库!#REF!</f>
        <v>#REF!</v>
      </c>
      <c r="V34" s="33" t="s">
        <v>711</v>
      </c>
    </row>
    <row r="35" spans="1:22" ht="22.5">
      <c r="A35" s="30" t="s">
        <v>697</v>
      </c>
      <c r="B35" s="30" t="e">
        <f>数据库!#REF!&amp;"号楼"</f>
        <v>#REF!</v>
      </c>
      <c r="C35" s="30" t="e">
        <f>NUMBERSTRING(数据库!#REF!,3)&amp;"单元"</f>
        <v>#REF!</v>
      </c>
      <c r="D35" s="30" t="e">
        <f>数据库!#REF!</f>
        <v>#REF!</v>
      </c>
      <c r="E35" s="30" t="e">
        <f t="shared" si="0"/>
        <v>#REF!</v>
      </c>
      <c r="F35" s="30"/>
      <c r="G35" s="30"/>
      <c r="H35" s="31" t="s">
        <v>696</v>
      </c>
      <c r="I35" s="27"/>
      <c r="J35" s="27"/>
      <c r="K35" s="27"/>
      <c r="L35" s="27"/>
      <c r="M35" s="18" t="e">
        <f>数据库!#REF!</f>
        <v>#REF!</v>
      </c>
      <c r="N35" s="27" t="s">
        <v>695</v>
      </c>
      <c r="O35" s="30" t="s">
        <v>694</v>
      </c>
      <c r="P35" s="27" t="s">
        <v>693</v>
      </c>
      <c r="Q35" s="27"/>
      <c r="R35" s="27" t="s">
        <v>692</v>
      </c>
      <c r="S35" s="27" t="s">
        <v>691</v>
      </c>
      <c r="T35" s="27"/>
      <c r="U35" s="18" t="e">
        <f>数据库!#REF!</f>
        <v>#REF!</v>
      </c>
      <c r="V35" s="33" t="s">
        <v>711</v>
      </c>
    </row>
    <row r="36" spans="1:22" ht="22.5">
      <c r="A36" s="30" t="s">
        <v>697</v>
      </c>
      <c r="B36" s="30" t="e">
        <f>数据库!#REF!&amp;"号楼"</f>
        <v>#REF!</v>
      </c>
      <c r="C36" s="30" t="e">
        <f>NUMBERSTRING(数据库!#REF!,3)&amp;"单元"</f>
        <v>#REF!</v>
      </c>
      <c r="D36" s="30" t="e">
        <f>数据库!#REF!</f>
        <v>#REF!</v>
      </c>
      <c r="E36" s="30" t="e">
        <f t="shared" si="0"/>
        <v>#REF!</v>
      </c>
      <c r="F36" s="30"/>
      <c r="G36" s="30"/>
      <c r="H36" s="31" t="s">
        <v>696</v>
      </c>
      <c r="I36" s="27"/>
      <c r="J36" s="27"/>
      <c r="K36" s="27"/>
      <c r="L36" s="27"/>
      <c r="M36" s="18" t="e">
        <f>数据库!#REF!</f>
        <v>#REF!</v>
      </c>
      <c r="N36" s="27" t="s">
        <v>695</v>
      </c>
      <c r="O36" s="30" t="s">
        <v>694</v>
      </c>
      <c r="P36" s="27" t="s">
        <v>693</v>
      </c>
      <c r="Q36" s="27"/>
      <c r="R36" s="27" t="s">
        <v>692</v>
      </c>
      <c r="S36" s="27" t="s">
        <v>691</v>
      </c>
      <c r="T36" s="27"/>
      <c r="U36" s="18" t="e">
        <f>数据库!#REF!</f>
        <v>#REF!</v>
      </c>
      <c r="V36" s="33" t="s">
        <v>711</v>
      </c>
    </row>
    <row r="37" spans="1:22" ht="22.5">
      <c r="A37" s="30" t="s">
        <v>697</v>
      </c>
      <c r="B37" s="30" t="e">
        <f>数据库!#REF!&amp;"号楼"</f>
        <v>#REF!</v>
      </c>
      <c r="C37" s="30" t="e">
        <f>NUMBERSTRING(数据库!#REF!,3)&amp;"单元"</f>
        <v>#REF!</v>
      </c>
      <c r="D37" s="30" t="e">
        <f>数据库!#REF!</f>
        <v>#REF!</v>
      </c>
      <c r="E37" s="30" t="e">
        <f t="shared" si="0"/>
        <v>#REF!</v>
      </c>
      <c r="F37" s="30"/>
      <c r="G37" s="30"/>
      <c r="H37" s="31" t="s">
        <v>696</v>
      </c>
      <c r="I37" s="27"/>
      <c r="J37" s="27"/>
      <c r="K37" s="27"/>
      <c r="L37" s="27"/>
      <c r="M37" s="18" t="e">
        <f>数据库!#REF!</f>
        <v>#REF!</v>
      </c>
      <c r="N37" s="27" t="s">
        <v>695</v>
      </c>
      <c r="O37" s="30" t="s">
        <v>694</v>
      </c>
      <c r="P37" s="27" t="s">
        <v>693</v>
      </c>
      <c r="Q37" s="27"/>
      <c r="R37" s="27" t="s">
        <v>692</v>
      </c>
      <c r="S37" s="27" t="s">
        <v>691</v>
      </c>
      <c r="T37" s="27"/>
      <c r="U37" s="18" t="e">
        <f>数据库!#REF!</f>
        <v>#REF!</v>
      </c>
      <c r="V37" s="33" t="s">
        <v>711</v>
      </c>
    </row>
    <row r="38" spans="1:22" ht="22.5">
      <c r="A38" s="30" t="s">
        <v>697</v>
      </c>
      <c r="B38" s="30" t="e">
        <f>数据库!#REF!&amp;"号楼"</f>
        <v>#REF!</v>
      </c>
      <c r="C38" s="30" t="e">
        <f>NUMBERSTRING(数据库!#REF!,3)&amp;"单元"</f>
        <v>#REF!</v>
      </c>
      <c r="D38" s="30" t="e">
        <f>数据库!#REF!</f>
        <v>#REF!</v>
      </c>
      <c r="E38" s="30" t="e">
        <f t="shared" si="0"/>
        <v>#REF!</v>
      </c>
      <c r="F38" s="30"/>
      <c r="G38" s="30"/>
      <c r="H38" s="31" t="s">
        <v>696</v>
      </c>
      <c r="I38" s="27"/>
      <c r="J38" s="27"/>
      <c r="K38" s="27"/>
      <c r="L38" s="27"/>
      <c r="M38" s="18" t="e">
        <f>数据库!#REF!</f>
        <v>#REF!</v>
      </c>
      <c r="N38" s="27" t="s">
        <v>695</v>
      </c>
      <c r="O38" s="30" t="s">
        <v>694</v>
      </c>
      <c r="P38" s="27" t="s">
        <v>693</v>
      </c>
      <c r="Q38" s="27"/>
      <c r="R38" s="27" t="s">
        <v>692</v>
      </c>
      <c r="S38" s="27" t="s">
        <v>691</v>
      </c>
      <c r="T38" s="27"/>
      <c r="U38" s="18" t="e">
        <f>数据库!#REF!</f>
        <v>#REF!</v>
      </c>
      <c r="V38" s="33" t="s">
        <v>711</v>
      </c>
    </row>
    <row r="39" spans="1:22" ht="22.5">
      <c r="A39" s="30" t="s">
        <v>697</v>
      </c>
      <c r="B39" s="30" t="e">
        <f>数据库!#REF!&amp;"号楼"</f>
        <v>#REF!</v>
      </c>
      <c r="C39" s="30" t="e">
        <f>NUMBERSTRING(数据库!#REF!,3)&amp;"单元"</f>
        <v>#REF!</v>
      </c>
      <c r="D39" s="30" t="e">
        <f>数据库!#REF!</f>
        <v>#REF!</v>
      </c>
      <c r="E39" s="30" t="e">
        <f t="shared" si="0"/>
        <v>#REF!</v>
      </c>
      <c r="F39" s="30"/>
      <c r="G39" s="30"/>
      <c r="H39" s="31" t="s">
        <v>696</v>
      </c>
      <c r="I39" s="27"/>
      <c r="J39" s="27"/>
      <c r="K39" s="27"/>
      <c r="L39" s="27"/>
      <c r="M39" s="18" t="e">
        <f>数据库!#REF!</f>
        <v>#REF!</v>
      </c>
      <c r="N39" s="27" t="s">
        <v>695</v>
      </c>
      <c r="O39" s="30" t="s">
        <v>694</v>
      </c>
      <c r="P39" s="27" t="s">
        <v>693</v>
      </c>
      <c r="Q39" s="27"/>
      <c r="R39" s="27" t="s">
        <v>692</v>
      </c>
      <c r="S39" s="27" t="s">
        <v>691</v>
      </c>
      <c r="T39" s="27"/>
      <c r="U39" s="18" t="e">
        <f>数据库!#REF!</f>
        <v>#REF!</v>
      </c>
      <c r="V39" s="33" t="s">
        <v>711</v>
      </c>
    </row>
    <row r="40" spans="1:22" ht="22.5">
      <c r="A40" s="30" t="s">
        <v>697</v>
      </c>
      <c r="B40" s="30" t="e">
        <f>数据库!#REF!&amp;"号楼"</f>
        <v>#REF!</v>
      </c>
      <c r="C40" s="30" t="e">
        <f>NUMBERSTRING(数据库!#REF!,3)&amp;"单元"</f>
        <v>#REF!</v>
      </c>
      <c r="D40" s="30" t="e">
        <f>数据库!#REF!</f>
        <v>#REF!</v>
      </c>
      <c r="E40" s="30" t="e">
        <f t="shared" si="0"/>
        <v>#REF!</v>
      </c>
      <c r="F40" s="30"/>
      <c r="G40" s="30"/>
      <c r="H40" s="31" t="s">
        <v>696</v>
      </c>
      <c r="I40" s="27"/>
      <c r="J40" s="27"/>
      <c r="K40" s="27"/>
      <c r="L40" s="27"/>
      <c r="M40" s="18" t="e">
        <f>数据库!#REF!</f>
        <v>#REF!</v>
      </c>
      <c r="N40" s="27" t="s">
        <v>695</v>
      </c>
      <c r="O40" s="30" t="s">
        <v>694</v>
      </c>
      <c r="P40" s="27" t="s">
        <v>693</v>
      </c>
      <c r="Q40" s="27"/>
      <c r="R40" s="27" t="s">
        <v>692</v>
      </c>
      <c r="S40" s="27" t="s">
        <v>691</v>
      </c>
      <c r="T40" s="27"/>
      <c r="U40" s="18" t="e">
        <f>数据库!#REF!</f>
        <v>#REF!</v>
      </c>
      <c r="V40" s="33" t="s">
        <v>711</v>
      </c>
    </row>
    <row r="41" spans="1:22" ht="22.5">
      <c r="A41" s="30" t="s">
        <v>697</v>
      </c>
      <c r="B41" s="30" t="e">
        <f>数据库!#REF!&amp;"号楼"</f>
        <v>#REF!</v>
      </c>
      <c r="C41" s="30" t="e">
        <f>NUMBERSTRING(数据库!#REF!,3)&amp;"单元"</f>
        <v>#REF!</v>
      </c>
      <c r="D41" s="30" t="e">
        <f>数据库!#REF!</f>
        <v>#REF!</v>
      </c>
      <c r="E41" s="30" t="e">
        <f t="shared" si="0"/>
        <v>#REF!</v>
      </c>
      <c r="F41" s="30"/>
      <c r="G41" s="30"/>
      <c r="H41" s="31" t="s">
        <v>696</v>
      </c>
      <c r="I41" s="27"/>
      <c r="J41" s="27"/>
      <c r="K41" s="27"/>
      <c r="L41" s="27"/>
      <c r="M41" s="18" t="e">
        <f>数据库!#REF!</f>
        <v>#REF!</v>
      </c>
      <c r="N41" s="27" t="s">
        <v>695</v>
      </c>
      <c r="O41" s="30" t="s">
        <v>694</v>
      </c>
      <c r="P41" s="27" t="s">
        <v>693</v>
      </c>
      <c r="Q41" s="27"/>
      <c r="R41" s="27" t="s">
        <v>692</v>
      </c>
      <c r="S41" s="27" t="s">
        <v>691</v>
      </c>
      <c r="T41" s="27"/>
      <c r="U41" s="18" t="e">
        <f>数据库!#REF!</f>
        <v>#REF!</v>
      </c>
      <c r="V41" s="33" t="s">
        <v>711</v>
      </c>
    </row>
    <row r="42" spans="1:22" ht="22.5">
      <c r="A42" s="30" t="s">
        <v>697</v>
      </c>
      <c r="B42" s="30" t="e">
        <f>数据库!#REF!&amp;"号楼"</f>
        <v>#REF!</v>
      </c>
      <c r="C42" s="30" t="e">
        <f>NUMBERSTRING(数据库!#REF!,3)&amp;"单元"</f>
        <v>#REF!</v>
      </c>
      <c r="D42" s="30" t="e">
        <f>数据库!#REF!</f>
        <v>#REF!</v>
      </c>
      <c r="E42" s="30" t="e">
        <f t="shared" si="0"/>
        <v>#REF!</v>
      </c>
      <c r="F42" s="30"/>
      <c r="G42" s="30"/>
      <c r="H42" s="31" t="s">
        <v>696</v>
      </c>
      <c r="I42" s="27"/>
      <c r="J42" s="27"/>
      <c r="K42" s="27"/>
      <c r="L42" s="27"/>
      <c r="M42" s="18" t="e">
        <f>数据库!#REF!</f>
        <v>#REF!</v>
      </c>
      <c r="N42" s="27" t="s">
        <v>695</v>
      </c>
      <c r="O42" s="30" t="s">
        <v>694</v>
      </c>
      <c r="P42" s="27" t="s">
        <v>693</v>
      </c>
      <c r="Q42" s="27"/>
      <c r="R42" s="27" t="s">
        <v>692</v>
      </c>
      <c r="S42" s="27" t="s">
        <v>691</v>
      </c>
      <c r="T42" s="27"/>
      <c r="U42" s="18" t="e">
        <f>数据库!#REF!</f>
        <v>#REF!</v>
      </c>
      <c r="V42" s="33" t="s">
        <v>711</v>
      </c>
    </row>
    <row r="43" spans="1:22" ht="22.5">
      <c r="A43" s="30" t="s">
        <v>697</v>
      </c>
      <c r="B43" s="30" t="e">
        <f>数据库!#REF!&amp;"号楼"</f>
        <v>#REF!</v>
      </c>
      <c r="C43" s="30" t="e">
        <f>NUMBERSTRING(数据库!#REF!,3)&amp;"单元"</f>
        <v>#REF!</v>
      </c>
      <c r="D43" s="30" t="e">
        <f>数据库!#REF!</f>
        <v>#REF!</v>
      </c>
      <c r="E43" s="30" t="e">
        <f t="shared" si="0"/>
        <v>#REF!</v>
      </c>
      <c r="F43" s="30"/>
      <c r="G43" s="30"/>
      <c r="H43" s="31" t="s">
        <v>696</v>
      </c>
      <c r="I43" s="27"/>
      <c r="J43" s="27"/>
      <c r="K43" s="27"/>
      <c r="L43" s="27"/>
      <c r="M43" s="18" t="e">
        <f>数据库!#REF!</f>
        <v>#REF!</v>
      </c>
      <c r="N43" s="27" t="s">
        <v>695</v>
      </c>
      <c r="O43" s="30" t="s">
        <v>694</v>
      </c>
      <c r="P43" s="27" t="s">
        <v>693</v>
      </c>
      <c r="Q43" s="27"/>
      <c r="R43" s="27" t="s">
        <v>692</v>
      </c>
      <c r="S43" s="27" t="s">
        <v>691</v>
      </c>
      <c r="T43" s="27"/>
      <c r="U43" s="18" t="e">
        <f>数据库!#REF!</f>
        <v>#REF!</v>
      </c>
      <c r="V43" s="33" t="s">
        <v>711</v>
      </c>
    </row>
    <row r="44" spans="1:22" ht="22.5">
      <c r="A44" s="30" t="s">
        <v>697</v>
      </c>
      <c r="B44" s="30" t="e">
        <f>数据库!#REF!&amp;"号楼"</f>
        <v>#REF!</v>
      </c>
      <c r="C44" s="30" t="e">
        <f>NUMBERSTRING(数据库!#REF!,3)&amp;"单元"</f>
        <v>#REF!</v>
      </c>
      <c r="D44" s="30" t="e">
        <f>数据库!#REF!</f>
        <v>#REF!</v>
      </c>
      <c r="E44" s="30" t="e">
        <f t="shared" si="0"/>
        <v>#REF!</v>
      </c>
      <c r="F44" s="30"/>
      <c r="G44" s="30"/>
      <c r="H44" s="31" t="s">
        <v>696</v>
      </c>
      <c r="I44" s="27"/>
      <c r="J44" s="27"/>
      <c r="K44" s="27"/>
      <c r="L44" s="27"/>
      <c r="M44" s="18" t="e">
        <f>数据库!#REF!</f>
        <v>#REF!</v>
      </c>
      <c r="N44" s="27" t="s">
        <v>695</v>
      </c>
      <c r="O44" s="30" t="s">
        <v>694</v>
      </c>
      <c r="P44" s="27" t="s">
        <v>693</v>
      </c>
      <c r="Q44" s="27"/>
      <c r="R44" s="27" t="s">
        <v>692</v>
      </c>
      <c r="S44" s="27" t="s">
        <v>691</v>
      </c>
      <c r="T44" s="27"/>
      <c r="U44" s="18" t="e">
        <f>数据库!#REF!</f>
        <v>#REF!</v>
      </c>
      <c r="V44" s="33" t="s">
        <v>711</v>
      </c>
    </row>
    <row r="45" spans="1:22" ht="22.5">
      <c r="A45" s="30" t="s">
        <v>697</v>
      </c>
      <c r="B45" s="30" t="e">
        <f>数据库!#REF!&amp;"号楼"</f>
        <v>#REF!</v>
      </c>
      <c r="C45" s="30" t="e">
        <f>NUMBERSTRING(数据库!#REF!,3)&amp;"单元"</f>
        <v>#REF!</v>
      </c>
      <c r="D45" s="30" t="e">
        <f>数据库!#REF!</f>
        <v>#REF!</v>
      </c>
      <c r="E45" s="30" t="e">
        <f t="shared" si="0"/>
        <v>#REF!</v>
      </c>
      <c r="F45" s="30"/>
      <c r="G45" s="30"/>
      <c r="H45" s="31" t="s">
        <v>696</v>
      </c>
      <c r="I45" s="27"/>
      <c r="J45" s="27"/>
      <c r="K45" s="27"/>
      <c r="L45" s="27"/>
      <c r="M45" s="18" t="e">
        <f>数据库!#REF!</f>
        <v>#REF!</v>
      </c>
      <c r="N45" s="27" t="s">
        <v>695</v>
      </c>
      <c r="O45" s="30" t="s">
        <v>694</v>
      </c>
      <c r="P45" s="27" t="s">
        <v>693</v>
      </c>
      <c r="Q45" s="27"/>
      <c r="R45" s="27" t="s">
        <v>692</v>
      </c>
      <c r="S45" s="27" t="s">
        <v>691</v>
      </c>
      <c r="T45" s="27"/>
      <c r="U45" s="18" t="e">
        <f>数据库!#REF!</f>
        <v>#REF!</v>
      </c>
      <c r="V45" s="33" t="s">
        <v>711</v>
      </c>
    </row>
    <row r="46" spans="1:22" ht="22.5">
      <c r="A46" s="30" t="s">
        <v>697</v>
      </c>
      <c r="B46" s="30" t="e">
        <f>数据库!#REF!&amp;"号楼"</f>
        <v>#REF!</v>
      </c>
      <c r="C46" s="30" t="e">
        <f>NUMBERSTRING(数据库!#REF!,3)&amp;"单元"</f>
        <v>#REF!</v>
      </c>
      <c r="D46" s="30" t="e">
        <f>数据库!#REF!</f>
        <v>#REF!</v>
      </c>
      <c r="E46" s="30" t="e">
        <f t="shared" si="0"/>
        <v>#REF!</v>
      </c>
      <c r="F46" s="30"/>
      <c r="G46" s="30"/>
      <c r="H46" s="31" t="s">
        <v>696</v>
      </c>
      <c r="I46" s="27"/>
      <c r="J46" s="27"/>
      <c r="K46" s="27"/>
      <c r="L46" s="27"/>
      <c r="M46" s="18" t="e">
        <f>数据库!#REF!</f>
        <v>#REF!</v>
      </c>
      <c r="N46" s="27" t="s">
        <v>695</v>
      </c>
      <c r="O46" s="30" t="s">
        <v>694</v>
      </c>
      <c r="P46" s="27" t="s">
        <v>693</v>
      </c>
      <c r="Q46" s="27"/>
      <c r="R46" s="27" t="s">
        <v>692</v>
      </c>
      <c r="S46" s="27" t="s">
        <v>691</v>
      </c>
      <c r="T46" s="27"/>
      <c r="U46" s="18" t="e">
        <f>数据库!#REF!</f>
        <v>#REF!</v>
      </c>
      <c r="V46" s="33" t="s">
        <v>711</v>
      </c>
    </row>
    <row r="47" spans="1:22" ht="22.5">
      <c r="A47" s="30" t="s">
        <v>697</v>
      </c>
      <c r="B47" s="30" t="e">
        <f>数据库!#REF!&amp;"号楼"</f>
        <v>#REF!</v>
      </c>
      <c r="C47" s="30" t="e">
        <f>NUMBERSTRING(数据库!#REF!,3)&amp;"单元"</f>
        <v>#REF!</v>
      </c>
      <c r="D47" s="30" t="e">
        <f>数据库!#REF!</f>
        <v>#REF!</v>
      </c>
      <c r="E47" s="30" t="e">
        <f t="shared" si="0"/>
        <v>#REF!</v>
      </c>
      <c r="F47" s="30"/>
      <c r="G47" s="30"/>
      <c r="H47" s="31" t="s">
        <v>696</v>
      </c>
      <c r="I47" s="27"/>
      <c r="J47" s="27"/>
      <c r="K47" s="27"/>
      <c r="L47" s="27"/>
      <c r="M47" s="18" t="e">
        <f>数据库!#REF!</f>
        <v>#REF!</v>
      </c>
      <c r="N47" s="27" t="s">
        <v>695</v>
      </c>
      <c r="O47" s="30" t="s">
        <v>694</v>
      </c>
      <c r="P47" s="27" t="s">
        <v>693</v>
      </c>
      <c r="Q47" s="27"/>
      <c r="R47" s="27" t="s">
        <v>692</v>
      </c>
      <c r="S47" s="27" t="s">
        <v>691</v>
      </c>
      <c r="T47" s="27"/>
      <c r="U47" s="18" t="e">
        <f>数据库!#REF!</f>
        <v>#REF!</v>
      </c>
      <c r="V47" s="33" t="s">
        <v>711</v>
      </c>
    </row>
    <row r="48" spans="1:22" ht="22.5">
      <c r="A48" s="30" t="s">
        <v>697</v>
      </c>
      <c r="B48" s="30" t="e">
        <f>数据库!#REF!&amp;"号楼"</f>
        <v>#REF!</v>
      </c>
      <c r="C48" s="30" t="e">
        <f>NUMBERSTRING(数据库!#REF!,3)&amp;"单元"</f>
        <v>#REF!</v>
      </c>
      <c r="D48" s="30" t="e">
        <f>数据库!#REF!</f>
        <v>#REF!</v>
      </c>
      <c r="E48" s="30" t="e">
        <f t="shared" si="0"/>
        <v>#REF!</v>
      </c>
      <c r="F48" s="30"/>
      <c r="G48" s="30"/>
      <c r="H48" s="31" t="s">
        <v>696</v>
      </c>
      <c r="I48" s="27"/>
      <c r="J48" s="27"/>
      <c r="K48" s="27"/>
      <c r="L48" s="27"/>
      <c r="M48" s="18" t="e">
        <f>数据库!#REF!</f>
        <v>#REF!</v>
      </c>
      <c r="N48" s="27" t="s">
        <v>695</v>
      </c>
      <c r="O48" s="30" t="s">
        <v>694</v>
      </c>
      <c r="P48" s="27" t="s">
        <v>693</v>
      </c>
      <c r="Q48" s="27"/>
      <c r="R48" s="27" t="s">
        <v>692</v>
      </c>
      <c r="S48" s="27" t="s">
        <v>691</v>
      </c>
      <c r="T48" s="27"/>
      <c r="U48" s="18" t="e">
        <f>数据库!#REF!</f>
        <v>#REF!</v>
      </c>
      <c r="V48" s="33" t="s">
        <v>711</v>
      </c>
    </row>
    <row r="49" spans="1:22" ht="22.5">
      <c r="A49" s="30" t="s">
        <v>697</v>
      </c>
      <c r="B49" s="30" t="e">
        <f>数据库!#REF!&amp;"号楼"</f>
        <v>#REF!</v>
      </c>
      <c r="C49" s="30" t="e">
        <f>NUMBERSTRING(数据库!#REF!,3)&amp;"单元"</f>
        <v>#REF!</v>
      </c>
      <c r="D49" s="30" t="e">
        <f>数据库!#REF!</f>
        <v>#REF!</v>
      </c>
      <c r="E49" s="30" t="e">
        <f t="shared" si="0"/>
        <v>#REF!</v>
      </c>
      <c r="F49" s="30"/>
      <c r="G49" s="30"/>
      <c r="H49" s="31" t="s">
        <v>696</v>
      </c>
      <c r="I49" s="27"/>
      <c r="J49" s="27"/>
      <c r="K49" s="27"/>
      <c r="L49" s="27"/>
      <c r="M49" s="18" t="e">
        <f>数据库!#REF!</f>
        <v>#REF!</v>
      </c>
      <c r="N49" s="27" t="s">
        <v>695</v>
      </c>
      <c r="O49" s="30" t="s">
        <v>694</v>
      </c>
      <c r="P49" s="27" t="s">
        <v>693</v>
      </c>
      <c r="Q49" s="27"/>
      <c r="R49" s="27" t="s">
        <v>692</v>
      </c>
      <c r="S49" s="27" t="s">
        <v>691</v>
      </c>
      <c r="T49" s="27"/>
      <c r="U49" s="18" t="e">
        <f>数据库!#REF!</f>
        <v>#REF!</v>
      </c>
      <c r="V49" s="33" t="s">
        <v>711</v>
      </c>
    </row>
    <row r="50" spans="1:22" ht="22.5">
      <c r="A50" s="30" t="s">
        <v>697</v>
      </c>
      <c r="B50" s="30" t="e">
        <f>数据库!#REF!&amp;"号楼"</f>
        <v>#REF!</v>
      </c>
      <c r="C50" s="30" t="e">
        <f>NUMBERSTRING(数据库!#REF!,3)&amp;"单元"</f>
        <v>#REF!</v>
      </c>
      <c r="D50" s="30" t="e">
        <f>数据库!#REF!</f>
        <v>#REF!</v>
      </c>
      <c r="E50" s="30" t="e">
        <f t="shared" si="0"/>
        <v>#REF!</v>
      </c>
      <c r="F50" s="30"/>
      <c r="G50" s="30"/>
      <c r="H50" s="31" t="s">
        <v>696</v>
      </c>
      <c r="I50" s="27"/>
      <c r="J50" s="27"/>
      <c r="K50" s="27"/>
      <c r="L50" s="27"/>
      <c r="M50" s="18" t="e">
        <f>数据库!#REF!</f>
        <v>#REF!</v>
      </c>
      <c r="N50" s="27" t="s">
        <v>695</v>
      </c>
      <c r="O50" s="30" t="s">
        <v>694</v>
      </c>
      <c r="P50" s="27" t="s">
        <v>693</v>
      </c>
      <c r="Q50" s="27"/>
      <c r="R50" s="27" t="s">
        <v>692</v>
      </c>
      <c r="S50" s="27" t="s">
        <v>691</v>
      </c>
      <c r="T50" s="27"/>
      <c r="U50" s="18" t="e">
        <f>数据库!#REF!</f>
        <v>#REF!</v>
      </c>
      <c r="V50" s="33" t="s">
        <v>711</v>
      </c>
    </row>
    <row r="51" spans="1:22" ht="22.5">
      <c r="A51" s="30" t="s">
        <v>697</v>
      </c>
      <c r="B51" s="30" t="e">
        <f>数据库!#REF!&amp;"号楼"</f>
        <v>#REF!</v>
      </c>
      <c r="C51" s="30" t="e">
        <f>NUMBERSTRING(数据库!#REF!,3)&amp;"单元"</f>
        <v>#REF!</v>
      </c>
      <c r="D51" s="30" t="e">
        <f>数据库!#REF!</f>
        <v>#REF!</v>
      </c>
      <c r="E51" s="30" t="e">
        <f t="shared" si="0"/>
        <v>#REF!</v>
      </c>
      <c r="F51" s="30"/>
      <c r="G51" s="30"/>
      <c r="H51" s="31" t="s">
        <v>696</v>
      </c>
      <c r="I51" s="27"/>
      <c r="J51" s="27"/>
      <c r="K51" s="27"/>
      <c r="L51" s="27"/>
      <c r="M51" s="18" t="e">
        <f>数据库!#REF!</f>
        <v>#REF!</v>
      </c>
      <c r="N51" s="27" t="s">
        <v>695</v>
      </c>
      <c r="O51" s="30" t="s">
        <v>694</v>
      </c>
      <c r="P51" s="27" t="s">
        <v>693</v>
      </c>
      <c r="Q51" s="27"/>
      <c r="R51" s="27" t="s">
        <v>692</v>
      </c>
      <c r="S51" s="27" t="s">
        <v>691</v>
      </c>
      <c r="T51" s="27"/>
      <c r="U51" s="18" t="e">
        <f>数据库!#REF!</f>
        <v>#REF!</v>
      </c>
      <c r="V51" s="33" t="s">
        <v>711</v>
      </c>
    </row>
    <row r="52" spans="1:22" ht="22.5">
      <c r="A52" s="30" t="s">
        <v>697</v>
      </c>
      <c r="B52" s="30" t="e">
        <f>数据库!#REF!&amp;"号楼"</f>
        <v>#REF!</v>
      </c>
      <c r="C52" s="30" t="e">
        <f>NUMBERSTRING(数据库!#REF!,3)&amp;"单元"</f>
        <v>#REF!</v>
      </c>
      <c r="D52" s="30" t="e">
        <f>数据库!#REF!</f>
        <v>#REF!</v>
      </c>
      <c r="E52" s="30" t="e">
        <f t="shared" si="0"/>
        <v>#REF!</v>
      </c>
      <c r="F52" s="30"/>
      <c r="G52" s="30"/>
      <c r="H52" s="31" t="s">
        <v>696</v>
      </c>
      <c r="I52" s="27"/>
      <c r="J52" s="27"/>
      <c r="K52" s="27"/>
      <c r="L52" s="27"/>
      <c r="M52" s="18" t="e">
        <f>数据库!#REF!</f>
        <v>#REF!</v>
      </c>
      <c r="N52" s="27" t="s">
        <v>695</v>
      </c>
      <c r="O52" s="30" t="s">
        <v>694</v>
      </c>
      <c r="P52" s="27" t="s">
        <v>693</v>
      </c>
      <c r="Q52" s="27"/>
      <c r="R52" s="27" t="s">
        <v>692</v>
      </c>
      <c r="S52" s="27" t="s">
        <v>691</v>
      </c>
      <c r="T52" s="27"/>
      <c r="U52" s="18" t="e">
        <f>数据库!#REF!</f>
        <v>#REF!</v>
      </c>
      <c r="V52" s="33" t="s">
        <v>711</v>
      </c>
    </row>
    <row r="53" spans="1:22" ht="22.5">
      <c r="A53" s="30" t="s">
        <v>697</v>
      </c>
      <c r="B53" s="30" t="e">
        <f>数据库!#REF!&amp;"号楼"</f>
        <v>#REF!</v>
      </c>
      <c r="C53" s="30" t="e">
        <f>NUMBERSTRING(数据库!#REF!,3)&amp;"单元"</f>
        <v>#REF!</v>
      </c>
      <c r="D53" s="30" t="e">
        <f>数据库!#REF!</f>
        <v>#REF!</v>
      </c>
      <c r="E53" s="30" t="e">
        <f t="shared" si="0"/>
        <v>#REF!</v>
      </c>
      <c r="F53" s="30"/>
      <c r="G53" s="30"/>
      <c r="H53" s="31" t="s">
        <v>696</v>
      </c>
      <c r="I53" s="27"/>
      <c r="J53" s="27"/>
      <c r="K53" s="27"/>
      <c r="L53" s="27"/>
      <c r="M53" s="18" t="e">
        <f>数据库!#REF!</f>
        <v>#REF!</v>
      </c>
      <c r="N53" s="27" t="s">
        <v>695</v>
      </c>
      <c r="O53" s="30" t="s">
        <v>694</v>
      </c>
      <c r="P53" s="27" t="s">
        <v>693</v>
      </c>
      <c r="Q53" s="27"/>
      <c r="R53" s="27" t="s">
        <v>692</v>
      </c>
      <c r="S53" s="27" t="s">
        <v>691</v>
      </c>
      <c r="T53" s="27"/>
      <c r="U53" s="18" t="e">
        <f>数据库!#REF!</f>
        <v>#REF!</v>
      </c>
      <c r="V53" s="33" t="s">
        <v>711</v>
      </c>
    </row>
    <row r="54" spans="1:22" ht="22.5">
      <c r="A54" s="30" t="s">
        <v>697</v>
      </c>
      <c r="B54" s="30" t="e">
        <f>数据库!#REF!&amp;"号楼"</f>
        <v>#REF!</v>
      </c>
      <c r="C54" s="30" t="e">
        <f>NUMBERSTRING(数据库!#REF!,3)&amp;"单元"</f>
        <v>#REF!</v>
      </c>
      <c r="D54" s="30" t="e">
        <f>数据库!#REF!</f>
        <v>#REF!</v>
      </c>
      <c r="E54" s="30" t="e">
        <f t="shared" si="0"/>
        <v>#REF!</v>
      </c>
      <c r="F54" s="30"/>
      <c r="G54" s="30"/>
      <c r="H54" s="31" t="s">
        <v>696</v>
      </c>
      <c r="I54" s="27"/>
      <c r="J54" s="27"/>
      <c r="K54" s="27"/>
      <c r="L54" s="27"/>
      <c r="M54" s="18" t="e">
        <f>数据库!#REF!</f>
        <v>#REF!</v>
      </c>
      <c r="N54" s="27" t="s">
        <v>695</v>
      </c>
      <c r="O54" s="30" t="s">
        <v>694</v>
      </c>
      <c r="P54" s="27" t="s">
        <v>693</v>
      </c>
      <c r="Q54" s="27"/>
      <c r="R54" s="27" t="s">
        <v>692</v>
      </c>
      <c r="S54" s="27" t="s">
        <v>691</v>
      </c>
      <c r="T54" s="27"/>
      <c r="U54" s="18" t="e">
        <f>数据库!#REF!</f>
        <v>#REF!</v>
      </c>
      <c r="V54" s="33" t="s">
        <v>711</v>
      </c>
    </row>
    <row r="55" spans="1:22" ht="22.5">
      <c r="A55" s="30" t="s">
        <v>697</v>
      </c>
      <c r="B55" s="30" t="e">
        <f>数据库!#REF!&amp;"号楼"</f>
        <v>#REF!</v>
      </c>
      <c r="C55" s="30" t="e">
        <f>NUMBERSTRING(数据库!#REF!,3)&amp;"单元"</f>
        <v>#REF!</v>
      </c>
      <c r="D55" s="30" t="e">
        <f>数据库!#REF!</f>
        <v>#REF!</v>
      </c>
      <c r="E55" s="30" t="e">
        <f t="shared" si="0"/>
        <v>#REF!</v>
      </c>
      <c r="F55" s="30"/>
      <c r="G55" s="30"/>
      <c r="H55" s="31" t="s">
        <v>696</v>
      </c>
      <c r="I55" s="27"/>
      <c r="J55" s="27"/>
      <c r="K55" s="27"/>
      <c r="L55" s="27"/>
      <c r="M55" s="18" t="e">
        <f>数据库!#REF!</f>
        <v>#REF!</v>
      </c>
      <c r="N55" s="27" t="s">
        <v>695</v>
      </c>
      <c r="O55" s="30" t="s">
        <v>694</v>
      </c>
      <c r="P55" s="27" t="s">
        <v>693</v>
      </c>
      <c r="Q55" s="27"/>
      <c r="R55" s="27" t="s">
        <v>692</v>
      </c>
      <c r="S55" s="27" t="s">
        <v>691</v>
      </c>
      <c r="T55" s="27"/>
      <c r="U55" s="18" t="e">
        <f>数据库!#REF!</f>
        <v>#REF!</v>
      </c>
      <c r="V55" s="33" t="s">
        <v>711</v>
      </c>
    </row>
    <row r="56" spans="1:22" ht="22.5">
      <c r="A56" s="30" t="s">
        <v>697</v>
      </c>
      <c r="B56" s="30" t="e">
        <f>数据库!#REF!&amp;"号楼"</f>
        <v>#REF!</v>
      </c>
      <c r="C56" s="30" t="e">
        <f>NUMBERSTRING(数据库!#REF!,3)&amp;"单元"</f>
        <v>#REF!</v>
      </c>
      <c r="D56" s="30" t="e">
        <f>数据库!#REF!</f>
        <v>#REF!</v>
      </c>
      <c r="E56" s="30" t="e">
        <f t="shared" si="0"/>
        <v>#REF!</v>
      </c>
      <c r="F56" s="30"/>
      <c r="G56" s="30"/>
      <c r="H56" s="31" t="s">
        <v>696</v>
      </c>
      <c r="I56" s="27"/>
      <c r="J56" s="27"/>
      <c r="K56" s="27"/>
      <c r="L56" s="27"/>
      <c r="M56" s="18" t="e">
        <f>数据库!#REF!</f>
        <v>#REF!</v>
      </c>
      <c r="N56" s="27" t="s">
        <v>695</v>
      </c>
      <c r="O56" s="30" t="s">
        <v>694</v>
      </c>
      <c r="P56" s="27" t="s">
        <v>693</v>
      </c>
      <c r="Q56" s="27"/>
      <c r="R56" s="27" t="s">
        <v>692</v>
      </c>
      <c r="S56" s="27" t="s">
        <v>691</v>
      </c>
      <c r="T56" s="27"/>
      <c r="U56" s="18" t="e">
        <f>数据库!#REF!</f>
        <v>#REF!</v>
      </c>
      <c r="V56" s="33" t="s">
        <v>711</v>
      </c>
    </row>
    <row r="57" spans="1:22" ht="22.5">
      <c r="A57" s="30" t="s">
        <v>697</v>
      </c>
      <c r="B57" s="30" t="e">
        <f>数据库!#REF!&amp;"号楼"</f>
        <v>#REF!</v>
      </c>
      <c r="C57" s="30" t="e">
        <f>NUMBERSTRING(数据库!#REF!,3)&amp;"单元"</f>
        <v>#REF!</v>
      </c>
      <c r="D57" s="30" t="e">
        <f>数据库!#REF!</f>
        <v>#REF!</v>
      </c>
      <c r="E57" s="30" t="e">
        <f t="shared" si="0"/>
        <v>#REF!</v>
      </c>
      <c r="F57" s="30"/>
      <c r="G57" s="30"/>
      <c r="H57" s="31" t="s">
        <v>696</v>
      </c>
      <c r="I57" s="27"/>
      <c r="J57" s="27"/>
      <c r="K57" s="27"/>
      <c r="L57" s="27"/>
      <c r="M57" s="18" t="e">
        <f>数据库!#REF!</f>
        <v>#REF!</v>
      </c>
      <c r="N57" s="27" t="s">
        <v>695</v>
      </c>
      <c r="O57" s="30" t="s">
        <v>694</v>
      </c>
      <c r="P57" s="27" t="s">
        <v>693</v>
      </c>
      <c r="Q57" s="27"/>
      <c r="R57" s="27" t="s">
        <v>692</v>
      </c>
      <c r="S57" s="27" t="s">
        <v>691</v>
      </c>
      <c r="T57" s="27"/>
      <c r="U57" s="18" t="e">
        <f>数据库!#REF!</f>
        <v>#REF!</v>
      </c>
      <c r="V57" s="33" t="s">
        <v>711</v>
      </c>
    </row>
    <row r="58" spans="1:22" ht="22.5">
      <c r="A58" s="30" t="s">
        <v>697</v>
      </c>
      <c r="B58" s="30" t="e">
        <f>数据库!#REF!&amp;"号楼"</f>
        <v>#REF!</v>
      </c>
      <c r="C58" s="30" t="e">
        <f>NUMBERSTRING(数据库!#REF!,3)&amp;"单元"</f>
        <v>#REF!</v>
      </c>
      <c r="D58" s="30" t="e">
        <f>数据库!#REF!</f>
        <v>#REF!</v>
      </c>
      <c r="E58" s="30" t="e">
        <f t="shared" si="0"/>
        <v>#REF!</v>
      </c>
      <c r="F58" s="30"/>
      <c r="G58" s="30"/>
      <c r="H58" s="31" t="s">
        <v>696</v>
      </c>
      <c r="I58" s="27"/>
      <c r="J58" s="27"/>
      <c r="K58" s="27"/>
      <c r="L58" s="27"/>
      <c r="M58" s="18" t="e">
        <f>数据库!#REF!</f>
        <v>#REF!</v>
      </c>
      <c r="N58" s="27" t="s">
        <v>695</v>
      </c>
      <c r="O58" s="30" t="s">
        <v>694</v>
      </c>
      <c r="P58" s="27" t="s">
        <v>693</v>
      </c>
      <c r="Q58" s="27"/>
      <c r="R58" s="27" t="s">
        <v>692</v>
      </c>
      <c r="S58" s="27" t="s">
        <v>691</v>
      </c>
      <c r="T58" s="27"/>
      <c r="U58" s="18" t="e">
        <f>数据库!#REF!</f>
        <v>#REF!</v>
      </c>
      <c r="V58" s="33" t="s">
        <v>711</v>
      </c>
    </row>
    <row r="59" spans="1:22" ht="22.5">
      <c r="A59" s="30" t="s">
        <v>697</v>
      </c>
      <c r="B59" s="30" t="e">
        <f>数据库!#REF!&amp;"号楼"</f>
        <v>#REF!</v>
      </c>
      <c r="C59" s="30" t="e">
        <f>NUMBERSTRING(数据库!#REF!,3)&amp;"单元"</f>
        <v>#REF!</v>
      </c>
      <c r="D59" s="30" t="e">
        <f>数据库!#REF!</f>
        <v>#REF!</v>
      </c>
      <c r="E59" s="30" t="e">
        <f t="shared" si="0"/>
        <v>#REF!</v>
      </c>
      <c r="F59" s="30"/>
      <c r="G59" s="30"/>
      <c r="H59" s="31" t="s">
        <v>696</v>
      </c>
      <c r="I59" s="27"/>
      <c r="J59" s="27"/>
      <c r="K59" s="27"/>
      <c r="L59" s="27"/>
      <c r="M59" s="18" t="e">
        <f>数据库!#REF!</f>
        <v>#REF!</v>
      </c>
      <c r="N59" s="27" t="s">
        <v>695</v>
      </c>
      <c r="O59" s="30" t="s">
        <v>694</v>
      </c>
      <c r="P59" s="27" t="s">
        <v>693</v>
      </c>
      <c r="Q59" s="27"/>
      <c r="R59" s="27" t="s">
        <v>692</v>
      </c>
      <c r="S59" s="27" t="s">
        <v>691</v>
      </c>
      <c r="T59" s="27"/>
      <c r="U59" s="18" t="e">
        <f>数据库!#REF!</f>
        <v>#REF!</v>
      </c>
      <c r="V59" s="33" t="s">
        <v>711</v>
      </c>
    </row>
    <row r="60" spans="1:22" ht="22.5">
      <c r="A60" s="30" t="s">
        <v>697</v>
      </c>
      <c r="B60" s="30" t="e">
        <f>数据库!#REF!&amp;"号楼"</f>
        <v>#REF!</v>
      </c>
      <c r="C60" s="30" t="e">
        <f>NUMBERSTRING(数据库!#REF!,3)&amp;"单元"</f>
        <v>#REF!</v>
      </c>
      <c r="D60" s="30" t="e">
        <f>数据库!#REF!</f>
        <v>#REF!</v>
      </c>
      <c r="E60" s="30" t="e">
        <f t="shared" si="0"/>
        <v>#REF!</v>
      </c>
      <c r="F60" s="30"/>
      <c r="G60" s="30"/>
      <c r="H60" s="31" t="s">
        <v>696</v>
      </c>
      <c r="I60" s="27"/>
      <c r="J60" s="27"/>
      <c r="K60" s="27"/>
      <c r="L60" s="27"/>
      <c r="M60" s="18" t="e">
        <f>数据库!#REF!</f>
        <v>#REF!</v>
      </c>
      <c r="N60" s="27" t="s">
        <v>695</v>
      </c>
      <c r="O60" s="30" t="s">
        <v>694</v>
      </c>
      <c r="P60" s="27" t="s">
        <v>693</v>
      </c>
      <c r="Q60" s="27"/>
      <c r="R60" s="27" t="s">
        <v>692</v>
      </c>
      <c r="S60" s="27" t="s">
        <v>691</v>
      </c>
      <c r="T60" s="27"/>
      <c r="U60" s="18" t="e">
        <f>数据库!#REF!</f>
        <v>#REF!</v>
      </c>
      <c r="V60" s="33" t="s">
        <v>711</v>
      </c>
    </row>
    <row r="61" spans="1:22" ht="22.5">
      <c r="A61" s="30" t="s">
        <v>697</v>
      </c>
      <c r="B61" s="30" t="e">
        <f>数据库!#REF!&amp;"号楼"</f>
        <v>#REF!</v>
      </c>
      <c r="C61" s="30" t="e">
        <f>NUMBERSTRING(数据库!#REF!,3)&amp;"单元"</f>
        <v>#REF!</v>
      </c>
      <c r="D61" s="30" t="e">
        <f>数据库!#REF!</f>
        <v>#REF!</v>
      </c>
      <c r="E61" s="30" t="e">
        <f t="shared" si="0"/>
        <v>#REF!</v>
      </c>
      <c r="F61" s="30"/>
      <c r="G61" s="30"/>
      <c r="H61" s="31" t="s">
        <v>696</v>
      </c>
      <c r="I61" s="27"/>
      <c r="J61" s="27"/>
      <c r="K61" s="27"/>
      <c r="L61" s="27"/>
      <c r="M61" s="18" t="e">
        <f>数据库!#REF!</f>
        <v>#REF!</v>
      </c>
      <c r="N61" s="27" t="s">
        <v>695</v>
      </c>
      <c r="O61" s="30" t="s">
        <v>694</v>
      </c>
      <c r="P61" s="27" t="s">
        <v>693</v>
      </c>
      <c r="Q61" s="27"/>
      <c r="R61" s="27" t="s">
        <v>692</v>
      </c>
      <c r="S61" s="27" t="s">
        <v>691</v>
      </c>
      <c r="T61" s="27"/>
      <c r="U61" s="18" t="e">
        <f>数据库!#REF!</f>
        <v>#REF!</v>
      </c>
      <c r="V61" s="33" t="s">
        <v>711</v>
      </c>
    </row>
    <row r="62" spans="1:22" ht="22.5">
      <c r="A62" s="30" t="s">
        <v>697</v>
      </c>
      <c r="B62" s="30" t="e">
        <f>数据库!#REF!&amp;"号楼"</f>
        <v>#REF!</v>
      </c>
      <c r="C62" s="30" t="e">
        <f>NUMBERSTRING(数据库!#REF!,3)&amp;"单元"</f>
        <v>#REF!</v>
      </c>
      <c r="D62" s="30" t="e">
        <f>数据库!#REF!</f>
        <v>#REF!</v>
      </c>
      <c r="E62" s="30" t="e">
        <f t="shared" si="0"/>
        <v>#REF!</v>
      </c>
      <c r="F62" s="30"/>
      <c r="G62" s="30"/>
      <c r="H62" s="31" t="s">
        <v>696</v>
      </c>
      <c r="I62" s="27"/>
      <c r="J62" s="27"/>
      <c r="K62" s="27"/>
      <c r="L62" s="27"/>
      <c r="M62" s="18" t="e">
        <f>数据库!#REF!</f>
        <v>#REF!</v>
      </c>
      <c r="N62" s="27" t="s">
        <v>695</v>
      </c>
      <c r="O62" s="30" t="s">
        <v>694</v>
      </c>
      <c r="P62" s="27" t="s">
        <v>693</v>
      </c>
      <c r="Q62" s="27"/>
      <c r="R62" s="27" t="s">
        <v>692</v>
      </c>
      <c r="S62" s="27" t="s">
        <v>691</v>
      </c>
      <c r="T62" s="27"/>
      <c r="U62" s="18" t="e">
        <f>数据库!#REF!</f>
        <v>#REF!</v>
      </c>
      <c r="V62" s="33" t="s">
        <v>711</v>
      </c>
    </row>
    <row r="63" spans="1:22" ht="22.5">
      <c r="A63" s="30" t="s">
        <v>697</v>
      </c>
      <c r="B63" s="30" t="e">
        <f>数据库!#REF!&amp;"号楼"</f>
        <v>#REF!</v>
      </c>
      <c r="C63" s="30" t="e">
        <f>NUMBERSTRING(数据库!#REF!,3)&amp;"单元"</f>
        <v>#REF!</v>
      </c>
      <c r="D63" s="30" t="e">
        <f>数据库!#REF!</f>
        <v>#REF!</v>
      </c>
      <c r="E63" s="30" t="e">
        <f t="shared" si="0"/>
        <v>#REF!</v>
      </c>
      <c r="F63" s="30"/>
      <c r="G63" s="30"/>
      <c r="H63" s="31" t="s">
        <v>696</v>
      </c>
      <c r="I63" s="27"/>
      <c r="J63" s="27"/>
      <c r="K63" s="27"/>
      <c r="L63" s="27"/>
      <c r="M63" s="18" t="e">
        <f>数据库!#REF!</f>
        <v>#REF!</v>
      </c>
      <c r="N63" s="27" t="s">
        <v>695</v>
      </c>
      <c r="O63" s="30" t="s">
        <v>694</v>
      </c>
      <c r="P63" s="27" t="s">
        <v>693</v>
      </c>
      <c r="Q63" s="27"/>
      <c r="R63" s="27" t="s">
        <v>692</v>
      </c>
      <c r="S63" s="27" t="s">
        <v>691</v>
      </c>
      <c r="T63" s="27"/>
      <c r="U63" s="18" t="e">
        <f>数据库!#REF!</f>
        <v>#REF!</v>
      </c>
      <c r="V63" s="33" t="s">
        <v>711</v>
      </c>
    </row>
    <row r="64" spans="1:22" ht="22.5">
      <c r="A64" s="30" t="s">
        <v>697</v>
      </c>
      <c r="B64" s="30" t="e">
        <f>数据库!#REF!&amp;"号楼"</f>
        <v>#REF!</v>
      </c>
      <c r="C64" s="30" t="e">
        <f>NUMBERSTRING(数据库!#REF!,3)&amp;"单元"</f>
        <v>#REF!</v>
      </c>
      <c r="D64" s="30" t="e">
        <f>数据库!#REF!</f>
        <v>#REF!</v>
      </c>
      <c r="E64" s="30" t="e">
        <f t="shared" si="0"/>
        <v>#REF!</v>
      </c>
      <c r="F64" s="30"/>
      <c r="G64" s="30"/>
      <c r="H64" s="31" t="s">
        <v>696</v>
      </c>
      <c r="I64" s="27"/>
      <c r="J64" s="27"/>
      <c r="K64" s="27"/>
      <c r="L64" s="27"/>
      <c r="M64" s="18" t="e">
        <f>数据库!#REF!</f>
        <v>#REF!</v>
      </c>
      <c r="N64" s="27" t="s">
        <v>695</v>
      </c>
      <c r="O64" s="30" t="s">
        <v>694</v>
      </c>
      <c r="P64" s="27" t="s">
        <v>693</v>
      </c>
      <c r="Q64" s="27"/>
      <c r="R64" s="27" t="s">
        <v>692</v>
      </c>
      <c r="S64" s="27" t="s">
        <v>691</v>
      </c>
      <c r="T64" s="27"/>
      <c r="U64" s="18" t="e">
        <f>数据库!#REF!</f>
        <v>#REF!</v>
      </c>
      <c r="V64" s="33" t="s">
        <v>711</v>
      </c>
    </row>
    <row r="65" spans="1:22" ht="22.5">
      <c r="A65" s="30" t="s">
        <v>697</v>
      </c>
      <c r="B65" s="30" t="e">
        <f>数据库!#REF!&amp;"号楼"</f>
        <v>#REF!</v>
      </c>
      <c r="C65" s="30" t="e">
        <f>NUMBERSTRING(数据库!#REF!,3)&amp;"单元"</f>
        <v>#REF!</v>
      </c>
      <c r="D65" s="30" t="e">
        <f>数据库!#REF!</f>
        <v>#REF!</v>
      </c>
      <c r="E65" s="30" t="e">
        <f t="shared" si="0"/>
        <v>#REF!</v>
      </c>
      <c r="F65" s="30"/>
      <c r="G65" s="30"/>
      <c r="H65" s="31" t="s">
        <v>696</v>
      </c>
      <c r="I65" s="27"/>
      <c r="J65" s="27"/>
      <c r="K65" s="27"/>
      <c r="L65" s="27"/>
      <c r="M65" s="18" t="e">
        <f>数据库!#REF!</f>
        <v>#REF!</v>
      </c>
      <c r="N65" s="27" t="s">
        <v>695</v>
      </c>
      <c r="O65" s="30" t="s">
        <v>694</v>
      </c>
      <c r="P65" s="27" t="s">
        <v>693</v>
      </c>
      <c r="Q65" s="27"/>
      <c r="R65" s="27" t="s">
        <v>692</v>
      </c>
      <c r="S65" s="27" t="s">
        <v>691</v>
      </c>
      <c r="T65" s="27"/>
      <c r="U65" s="18" t="e">
        <f>数据库!#REF!</f>
        <v>#REF!</v>
      </c>
      <c r="V65" s="33" t="s">
        <v>711</v>
      </c>
    </row>
    <row r="66" spans="1:22" ht="22.5">
      <c r="A66" s="30" t="s">
        <v>697</v>
      </c>
      <c r="B66" s="30" t="e">
        <f>数据库!#REF!&amp;"号楼"</f>
        <v>#REF!</v>
      </c>
      <c r="C66" s="30" t="e">
        <f>NUMBERSTRING(数据库!#REF!,3)&amp;"单元"</f>
        <v>#REF!</v>
      </c>
      <c r="D66" s="30" t="e">
        <f>数据库!#REF!</f>
        <v>#REF!</v>
      </c>
      <c r="E66" s="30" t="e">
        <f t="shared" si="0"/>
        <v>#REF!</v>
      </c>
      <c r="F66" s="30"/>
      <c r="G66" s="30"/>
      <c r="H66" s="31" t="s">
        <v>696</v>
      </c>
      <c r="I66" s="27"/>
      <c r="J66" s="27"/>
      <c r="K66" s="27"/>
      <c r="L66" s="27"/>
      <c r="M66" s="18" t="e">
        <f>数据库!#REF!</f>
        <v>#REF!</v>
      </c>
      <c r="N66" s="27" t="s">
        <v>695</v>
      </c>
      <c r="O66" s="30" t="s">
        <v>694</v>
      </c>
      <c r="P66" s="27" t="s">
        <v>693</v>
      </c>
      <c r="Q66" s="27"/>
      <c r="R66" s="27" t="s">
        <v>692</v>
      </c>
      <c r="S66" s="27" t="s">
        <v>691</v>
      </c>
      <c r="T66" s="27"/>
      <c r="U66" s="18" t="e">
        <f>数据库!#REF!</f>
        <v>#REF!</v>
      </c>
      <c r="V66" s="33" t="s">
        <v>711</v>
      </c>
    </row>
    <row r="67" spans="1:22" ht="22.5">
      <c r="A67" s="30" t="s">
        <v>697</v>
      </c>
      <c r="B67" s="30" t="e">
        <f>数据库!#REF!&amp;"号楼"</f>
        <v>#REF!</v>
      </c>
      <c r="C67" s="30" t="e">
        <f>NUMBERSTRING(数据库!#REF!,3)&amp;"单元"</f>
        <v>#REF!</v>
      </c>
      <c r="D67" s="30" t="e">
        <f>数据库!#REF!</f>
        <v>#REF!</v>
      </c>
      <c r="E67" s="30" t="e">
        <f t="shared" si="0"/>
        <v>#REF!</v>
      </c>
      <c r="F67" s="30"/>
      <c r="G67" s="30"/>
      <c r="H67" s="31" t="s">
        <v>696</v>
      </c>
      <c r="I67" s="27"/>
      <c r="J67" s="27"/>
      <c r="K67" s="27"/>
      <c r="L67" s="27"/>
      <c r="M67" s="18" t="e">
        <f>数据库!#REF!</f>
        <v>#REF!</v>
      </c>
      <c r="N67" s="27" t="s">
        <v>695</v>
      </c>
      <c r="O67" s="30" t="s">
        <v>694</v>
      </c>
      <c r="P67" s="27" t="s">
        <v>693</v>
      </c>
      <c r="Q67" s="27"/>
      <c r="R67" s="27" t="s">
        <v>692</v>
      </c>
      <c r="S67" s="27" t="s">
        <v>691</v>
      </c>
      <c r="T67" s="27"/>
      <c r="U67" s="18" t="e">
        <f>数据库!#REF!</f>
        <v>#REF!</v>
      </c>
      <c r="V67" s="33" t="s">
        <v>711</v>
      </c>
    </row>
    <row r="68" spans="1:22" ht="22.5">
      <c r="A68" s="30" t="s">
        <v>697</v>
      </c>
      <c r="B68" s="30" t="e">
        <f>数据库!#REF!&amp;"号楼"</f>
        <v>#REF!</v>
      </c>
      <c r="C68" s="30" t="e">
        <f>NUMBERSTRING(数据库!#REF!,3)&amp;"单元"</f>
        <v>#REF!</v>
      </c>
      <c r="D68" s="30" t="e">
        <f>数据库!#REF!</f>
        <v>#REF!</v>
      </c>
      <c r="E68" s="30" t="e">
        <f t="shared" si="0"/>
        <v>#REF!</v>
      </c>
      <c r="F68" s="30"/>
      <c r="G68" s="30"/>
      <c r="H68" s="31" t="s">
        <v>696</v>
      </c>
      <c r="I68" s="27"/>
      <c r="J68" s="27"/>
      <c r="K68" s="27"/>
      <c r="L68" s="27"/>
      <c r="M68" s="18" t="e">
        <f>数据库!#REF!</f>
        <v>#REF!</v>
      </c>
      <c r="N68" s="27" t="s">
        <v>695</v>
      </c>
      <c r="O68" s="30" t="s">
        <v>694</v>
      </c>
      <c r="P68" s="27" t="s">
        <v>693</v>
      </c>
      <c r="Q68" s="27"/>
      <c r="R68" s="27" t="s">
        <v>692</v>
      </c>
      <c r="S68" s="27" t="s">
        <v>691</v>
      </c>
      <c r="T68" s="27"/>
      <c r="U68" s="18" t="e">
        <f>数据库!#REF!</f>
        <v>#REF!</v>
      </c>
      <c r="V68" s="33" t="s">
        <v>711</v>
      </c>
    </row>
    <row r="69" spans="1:22" ht="22.5">
      <c r="A69" s="30" t="s">
        <v>697</v>
      </c>
      <c r="B69" s="30" t="e">
        <f>数据库!#REF!&amp;"号楼"</f>
        <v>#REF!</v>
      </c>
      <c r="C69" s="30" t="e">
        <f>NUMBERSTRING(数据库!#REF!,3)&amp;"单元"</f>
        <v>#REF!</v>
      </c>
      <c r="D69" s="30" t="e">
        <f>数据库!#REF!</f>
        <v>#REF!</v>
      </c>
      <c r="E69" s="30" t="e">
        <f t="shared" ref="E69:E132" si="1">D69</f>
        <v>#REF!</v>
      </c>
      <c r="F69" s="30"/>
      <c r="G69" s="30"/>
      <c r="H69" s="31" t="s">
        <v>696</v>
      </c>
      <c r="I69" s="27"/>
      <c r="J69" s="27"/>
      <c r="K69" s="27"/>
      <c r="L69" s="27"/>
      <c r="M69" s="18" t="e">
        <f>数据库!#REF!</f>
        <v>#REF!</v>
      </c>
      <c r="N69" s="27" t="s">
        <v>695</v>
      </c>
      <c r="O69" s="30" t="s">
        <v>694</v>
      </c>
      <c r="P69" s="27" t="s">
        <v>693</v>
      </c>
      <c r="Q69" s="27"/>
      <c r="R69" s="27" t="s">
        <v>692</v>
      </c>
      <c r="S69" s="27" t="s">
        <v>691</v>
      </c>
      <c r="T69" s="27"/>
      <c r="U69" s="18" t="e">
        <f>数据库!#REF!</f>
        <v>#REF!</v>
      </c>
      <c r="V69" s="33" t="s">
        <v>711</v>
      </c>
    </row>
    <row r="70" spans="1:22" ht="22.5">
      <c r="A70" s="30" t="s">
        <v>697</v>
      </c>
      <c r="B70" s="30" t="e">
        <f>数据库!#REF!&amp;"号楼"</f>
        <v>#REF!</v>
      </c>
      <c r="C70" s="30" t="e">
        <f>NUMBERSTRING(数据库!#REF!,3)&amp;"单元"</f>
        <v>#REF!</v>
      </c>
      <c r="D70" s="30" t="e">
        <f>数据库!#REF!</f>
        <v>#REF!</v>
      </c>
      <c r="E70" s="30" t="e">
        <f t="shared" si="1"/>
        <v>#REF!</v>
      </c>
      <c r="F70" s="30"/>
      <c r="G70" s="30"/>
      <c r="H70" s="31" t="s">
        <v>696</v>
      </c>
      <c r="I70" s="27"/>
      <c r="J70" s="27"/>
      <c r="K70" s="27"/>
      <c r="L70" s="27"/>
      <c r="M70" s="18" t="e">
        <f>数据库!#REF!</f>
        <v>#REF!</v>
      </c>
      <c r="N70" s="27" t="s">
        <v>695</v>
      </c>
      <c r="O70" s="30" t="s">
        <v>694</v>
      </c>
      <c r="P70" s="27" t="s">
        <v>693</v>
      </c>
      <c r="Q70" s="27"/>
      <c r="R70" s="27" t="s">
        <v>692</v>
      </c>
      <c r="S70" s="27" t="s">
        <v>691</v>
      </c>
      <c r="T70" s="27"/>
      <c r="U70" s="18" t="e">
        <f>数据库!#REF!</f>
        <v>#REF!</v>
      </c>
      <c r="V70" s="33" t="s">
        <v>711</v>
      </c>
    </row>
    <row r="71" spans="1:22" ht="22.5">
      <c r="A71" s="30" t="s">
        <v>697</v>
      </c>
      <c r="B71" s="30" t="e">
        <f>数据库!#REF!&amp;"号楼"</f>
        <v>#REF!</v>
      </c>
      <c r="C71" s="30" t="e">
        <f>NUMBERSTRING(数据库!#REF!,3)&amp;"单元"</f>
        <v>#REF!</v>
      </c>
      <c r="D71" s="30" t="e">
        <f>数据库!#REF!</f>
        <v>#REF!</v>
      </c>
      <c r="E71" s="30" t="e">
        <f t="shared" si="1"/>
        <v>#REF!</v>
      </c>
      <c r="F71" s="30"/>
      <c r="G71" s="30"/>
      <c r="H71" s="31" t="s">
        <v>696</v>
      </c>
      <c r="I71" s="27"/>
      <c r="J71" s="27"/>
      <c r="K71" s="27"/>
      <c r="L71" s="27"/>
      <c r="M71" s="18" t="e">
        <f>数据库!#REF!</f>
        <v>#REF!</v>
      </c>
      <c r="N71" s="27" t="s">
        <v>695</v>
      </c>
      <c r="O71" s="30" t="s">
        <v>694</v>
      </c>
      <c r="P71" s="27" t="s">
        <v>693</v>
      </c>
      <c r="Q71" s="27"/>
      <c r="R71" s="27" t="s">
        <v>692</v>
      </c>
      <c r="S71" s="27" t="s">
        <v>691</v>
      </c>
      <c r="T71" s="27"/>
      <c r="U71" s="18" t="e">
        <f>数据库!#REF!</f>
        <v>#REF!</v>
      </c>
      <c r="V71" s="33" t="s">
        <v>711</v>
      </c>
    </row>
    <row r="72" spans="1:22" ht="22.5">
      <c r="A72" s="30" t="s">
        <v>697</v>
      </c>
      <c r="B72" s="30" t="e">
        <f>数据库!#REF!&amp;"号楼"</f>
        <v>#REF!</v>
      </c>
      <c r="C72" s="30" t="e">
        <f>NUMBERSTRING(数据库!#REF!,3)&amp;"单元"</f>
        <v>#REF!</v>
      </c>
      <c r="D72" s="30" t="e">
        <f>数据库!#REF!</f>
        <v>#REF!</v>
      </c>
      <c r="E72" s="30" t="e">
        <f t="shared" si="1"/>
        <v>#REF!</v>
      </c>
      <c r="F72" s="30"/>
      <c r="G72" s="30"/>
      <c r="H72" s="31" t="s">
        <v>696</v>
      </c>
      <c r="I72" s="27"/>
      <c r="J72" s="27"/>
      <c r="K72" s="27"/>
      <c r="L72" s="27"/>
      <c r="M72" s="18" t="e">
        <f>数据库!#REF!</f>
        <v>#REF!</v>
      </c>
      <c r="N72" s="27" t="s">
        <v>695</v>
      </c>
      <c r="O72" s="30" t="s">
        <v>694</v>
      </c>
      <c r="P72" s="27" t="s">
        <v>693</v>
      </c>
      <c r="Q72" s="27"/>
      <c r="R72" s="27" t="s">
        <v>692</v>
      </c>
      <c r="S72" s="27" t="s">
        <v>691</v>
      </c>
      <c r="T72" s="27"/>
      <c r="U72" s="18" t="e">
        <f>数据库!#REF!</f>
        <v>#REF!</v>
      </c>
      <c r="V72" s="33" t="s">
        <v>711</v>
      </c>
    </row>
    <row r="73" spans="1:22" ht="22.5">
      <c r="A73" s="30" t="s">
        <v>697</v>
      </c>
      <c r="B73" s="30" t="e">
        <f>数据库!#REF!&amp;"号楼"</f>
        <v>#REF!</v>
      </c>
      <c r="C73" s="30" t="e">
        <f>NUMBERSTRING(数据库!#REF!,3)&amp;"单元"</f>
        <v>#REF!</v>
      </c>
      <c r="D73" s="30" t="e">
        <f>数据库!#REF!</f>
        <v>#REF!</v>
      </c>
      <c r="E73" s="30" t="e">
        <f t="shared" si="1"/>
        <v>#REF!</v>
      </c>
      <c r="F73" s="30"/>
      <c r="G73" s="30"/>
      <c r="H73" s="31" t="s">
        <v>696</v>
      </c>
      <c r="I73" s="27"/>
      <c r="J73" s="27"/>
      <c r="K73" s="27"/>
      <c r="L73" s="27"/>
      <c r="M73" s="18" t="e">
        <f>数据库!#REF!</f>
        <v>#REF!</v>
      </c>
      <c r="N73" s="27" t="s">
        <v>695</v>
      </c>
      <c r="O73" s="30" t="s">
        <v>694</v>
      </c>
      <c r="P73" s="27" t="s">
        <v>693</v>
      </c>
      <c r="Q73" s="27"/>
      <c r="R73" s="27" t="s">
        <v>692</v>
      </c>
      <c r="S73" s="27" t="s">
        <v>691</v>
      </c>
      <c r="T73" s="27"/>
      <c r="U73" s="18" t="e">
        <f>数据库!#REF!</f>
        <v>#REF!</v>
      </c>
      <c r="V73" s="33" t="s">
        <v>711</v>
      </c>
    </row>
    <row r="74" spans="1:22" ht="22.5">
      <c r="A74" s="30" t="s">
        <v>697</v>
      </c>
      <c r="B74" s="30" t="e">
        <f>数据库!#REF!&amp;"号楼"</f>
        <v>#REF!</v>
      </c>
      <c r="C74" s="30" t="e">
        <f>NUMBERSTRING(数据库!#REF!,3)&amp;"单元"</f>
        <v>#REF!</v>
      </c>
      <c r="D74" s="30" t="e">
        <f>数据库!#REF!</f>
        <v>#REF!</v>
      </c>
      <c r="E74" s="30" t="e">
        <f t="shared" si="1"/>
        <v>#REF!</v>
      </c>
      <c r="F74" s="30"/>
      <c r="G74" s="30"/>
      <c r="H74" s="31" t="s">
        <v>696</v>
      </c>
      <c r="I74" s="27"/>
      <c r="J74" s="27"/>
      <c r="K74" s="27"/>
      <c r="L74" s="27"/>
      <c r="M74" s="18" t="e">
        <f>数据库!#REF!</f>
        <v>#REF!</v>
      </c>
      <c r="N74" s="27" t="s">
        <v>695</v>
      </c>
      <c r="O74" s="30" t="s">
        <v>694</v>
      </c>
      <c r="P74" s="27" t="s">
        <v>693</v>
      </c>
      <c r="Q74" s="27"/>
      <c r="R74" s="27" t="s">
        <v>692</v>
      </c>
      <c r="S74" s="27" t="s">
        <v>691</v>
      </c>
      <c r="T74" s="27"/>
      <c r="U74" s="18" t="e">
        <f>数据库!#REF!</f>
        <v>#REF!</v>
      </c>
      <c r="V74" s="33" t="s">
        <v>711</v>
      </c>
    </row>
    <row r="75" spans="1:22" ht="22.5">
      <c r="A75" s="30" t="s">
        <v>697</v>
      </c>
      <c r="B75" s="30" t="e">
        <f>数据库!#REF!&amp;"号楼"</f>
        <v>#REF!</v>
      </c>
      <c r="C75" s="30" t="e">
        <f>NUMBERSTRING(数据库!#REF!,3)&amp;"单元"</f>
        <v>#REF!</v>
      </c>
      <c r="D75" s="30" t="e">
        <f>数据库!#REF!</f>
        <v>#REF!</v>
      </c>
      <c r="E75" s="30" t="e">
        <f t="shared" si="1"/>
        <v>#REF!</v>
      </c>
      <c r="F75" s="30"/>
      <c r="G75" s="30"/>
      <c r="H75" s="31" t="s">
        <v>696</v>
      </c>
      <c r="I75" s="27"/>
      <c r="J75" s="27"/>
      <c r="K75" s="27"/>
      <c r="L75" s="27"/>
      <c r="M75" s="18" t="e">
        <f>数据库!#REF!</f>
        <v>#REF!</v>
      </c>
      <c r="N75" s="27" t="s">
        <v>695</v>
      </c>
      <c r="O75" s="30" t="s">
        <v>694</v>
      </c>
      <c r="P75" s="27" t="s">
        <v>693</v>
      </c>
      <c r="Q75" s="27"/>
      <c r="R75" s="27" t="s">
        <v>692</v>
      </c>
      <c r="S75" s="27" t="s">
        <v>691</v>
      </c>
      <c r="T75" s="27"/>
      <c r="U75" s="18" t="e">
        <f>数据库!#REF!</f>
        <v>#REF!</v>
      </c>
      <c r="V75" s="33" t="s">
        <v>711</v>
      </c>
    </row>
    <row r="76" spans="1:22" ht="22.5">
      <c r="A76" s="30" t="s">
        <v>697</v>
      </c>
      <c r="B76" s="30" t="e">
        <f>数据库!#REF!&amp;"号楼"</f>
        <v>#REF!</v>
      </c>
      <c r="C76" s="30" t="e">
        <f>NUMBERSTRING(数据库!#REF!,3)&amp;"单元"</f>
        <v>#REF!</v>
      </c>
      <c r="D76" s="30" t="e">
        <f>数据库!#REF!</f>
        <v>#REF!</v>
      </c>
      <c r="E76" s="30" t="e">
        <f t="shared" si="1"/>
        <v>#REF!</v>
      </c>
      <c r="F76" s="30"/>
      <c r="G76" s="30"/>
      <c r="H76" s="31" t="s">
        <v>696</v>
      </c>
      <c r="I76" s="27"/>
      <c r="J76" s="27"/>
      <c r="K76" s="27"/>
      <c r="L76" s="27"/>
      <c r="M76" s="18" t="e">
        <f>数据库!#REF!</f>
        <v>#REF!</v>
      </c>
      <c r="N76" s="27" t="s">
        <v>695</v>
      </c>
      <c r="O76" s="30" t="s">
        <v>694</v>
      </c>
      <c r="P76" s="27" t="s">
        <v>693</v>
      </c>
      <c r="Q76" s="27"/>
      <c r="R76" s="27" t="s">
        <v>692</v>
      </c>
      <c r="S76" s="27" t="s">
        <v>691</v>
      </c>
      <c r="T76" s="27"/>
      <c r="U76" s="18" t="e">
        <f>数据库!#REF!</f>
        <v>#REF!</v>
      </c>
      <c r="V76" s="33" t="s">
        <v>711</v>
      </c>
    </row>
    <row r="77" spans="1:22" ht="22.5">
      <c r="A77" s="30" t="s">
        <v>697</v>
      </c>
      <c r="B77" s="30" t="e">
        <f>数据库!#REF!&amp;"号楼"</f>
        <v>#REF!</v>
      </c>
      <c r="C77" s="30" t="e">
        <f>NUMBERSTRING(数据库!#REF!,3)&amp;"单元"</f>
        <v>#REF!</v>
      </c>
      <c r="D77" s="30" t="e">
        <f>数据库!#REF!</f>
        <v>#REF!</v>
      </c>
      <c r="E77" s="30" t="e">
        <f t="shared" si="1"/>
        <v>#REF!</v>
      </c>
      <c r="F77" s="30"/>
      <c r="G77" s="30"/>
      <c r="H77" s="31" t="s">
        <v>696</v>
      </c>
      <c r="I77" s="27"/>
      <c r="J77" s="27"/>
      <c r="K77" s="27"/>
      <c r="L77" s="27"/>
      <c r="M77" s="18" t="e">
        <f>数据库!#REF!</f>
        <v>#REF!</v>
      </c>
      <c r="N77" s="27" t="s">
        <v>695</v>
      </c>
      <c r="O77" s="30" t="s">
        <v>694</v>
      </c>
      <c r="P77" s="27" t="s">
        <v>693</v>
      </c>
      <c r="Q77" s="27"/>
      <c r="R77" s="27" t="s">
        <v>692</v>
      </c>
      <c r="S77" s="27" t="s">
        <v>691</v>
      </c>
      <c r="T77" s="27"/>
      <c r="U77" s="18" t="e">
        <f>数据库!#REF!</f>
        <v>#REF!</v>
      </c>
      <c r="V77" s="33" t="s">
        <v>711</v>
      </c>
    </row>
    <row r="78" spans="1:22" ht="22.5">
      <c r="A78" s="30" t="s">
        <v>697</v>
      </c>
      <c r="B78" s="30" t="e">
        <f>数据库!#REF!&amp;"号楼"</f>
        <v>#REF!</v>
      </c>
      <c r="C78" s="30" t="e">
        <f>NUMBERSTRING(数据库!#REF!,3)&amp;"单元"</f>
        <v>#REF!</v>
      </c>
      <c r="D78" s="30" t="e">
        <f>数据库!#REF!</f>
        <v>#REF!</v>
      </c>
      <c r="E78" s="30" t="e">
        <f t="shared" si="1"/>
        <v>#REF!</v>
      </c>
      <c r="F78" s="30"/>
      <c r="G78" s="30"/>
      <c r="H78" s="31" t="s">
        <v>696</v>
      </c>
      <c r="I78" s="27"/>
      <c r="J78" s="27"/>
      <c r="K78" s="27"/>
      <c r="L78" s="27"/>
      <c r="M78" s="18" t="e">
        <f>数据库!#REF!</f>
        <v>#REF!</v>
      </c>
      <c r="N78" s="27" t="s">
        <v>695</v>
      </c>
      <c r="O78" s="30" t="s">
        <v>694</v>
      </c>
      <c r="P78" s="27" t="s">
        <v>693</v>
      </c>
      <c r="Q78" s="27"/>
      <c r="R78" s="27" t="s">
        <v>692</v>
      </c>
      <c r="S78" s="27" t="s">
        <v>691</v>
      </c>
      <c r="T78" s="27"/>
      <c r="U78" s="18" t="e">
        <f>数据库!#REF!</f>
        <v>#REF!</v>
      </c>
      <c r="V78" s="33" t="s">
        <v>711</v>
      </c>
    </row>
    <row r="79" spans="1:22" ht="22.5">
      <c r="A79" s="30" t="s">
        <v>697</v>
      </c>
      <c r="B79" s="30" t="e">
        <f>数据库!#REF!&amp;"号楼"</f>
        <v>#REF!</v>
      </c>
      <c r="C79" s="30" t="e">
        <f>NUMBERSTRING(数据库!#REF!,3)&amp;"单元"</f>
        <v>#REF!</v>
      </c>
      <c r="D79" s="30" t="e">
        <f>数据库!#REF!</f>
        <v>#REF!</v>
      </c>
      <c r="E79" s="30" t="e">
        <f t="shared" si="1"/>
        <v>#REF!</v>
      </c>
      <c r="F79" s="30"/>
      <c r="G79" s="30"/>
      <c r="H79" s="31" t="s">
        <v>696</v>
      </c>
      <c r="I79" s="27"/>
      <c r="J79" s="27"/>
      <c r="K79" s="27"/>
      <c r="L79" s="27"/>
      <c r="M79" s="18" t="e">
        <f>数据库!#REF!</f>
        <v>#REF!</v>
      </c>
      <c r="N79" s="27" t="s">
        <v>695</v>
      </c>
      <c r="O79" s="30" t="s">
        <v>694</v>
      </c>
      <c r="P79" s="27" t="s">
        <v>693</v>
      </c>
      <c r="Q79" s="27"/>
      <c r="R79" s="27" t="s">
        <v>692</v>
      </c>
      <c r="S79" s="27" t="s">
        <v>691</v>
      </c>
      <c r="T79" s="27"/>
      <c r="U79" s="18" t="e">
        <f>数据库!#REF!</f>
        <v>#REF!</v>
      </c>
      <c r="V79" s="33" t="s">
        <v>711</v>
      </c>
    </row>
    <row r="80" spans="1:22" ht="22.5">
      <c r="A80" s="30" t="s">
        <v>697</v>
      </c>
      <c r="B80" s="30" t="e">
        <f>数据库!#REF!&amp;"号楼"</f>
        <v>#REF!</v>
      </c>
      <c r="C80" s="30" t="e">
        <f>NUMBERSTRING(数据库!#REF!,3)&amp;"单元"</f>
        <v>#REF!</v>
      </c>
      <c r="D80" s="30" t="e">
        <f>数据库!#REF!</f>
        <v>#REF!</v>
      </c>
      <c r="E80" s="30" t="e">
        <f t="shared" si="1"/>
        <v>#REF!</v>
      </c>
      <c r="F80" s="30"/>
      <c r="G80" s="30"/>
      <c r="H80" s="31" t="s">
        <v>696</v>
      </c>
      <c r="I80" s="27"/>
      <c r="J80" s="27"/>
      <c r="K80" s="27"/>
      <c r="L80" s="27"/>
      <c r="M80" s="18" t="e">
        <f>数据库!#REF!</f>
        <v>#REF!</v>
      </c>
      <c r="N80" s="27" t="s">
        <v>695</v>
      </c>
      <c r="O80" s="30" t="s">
        <v>694</v>
      </c>
      <c r="P80" s="27" t="s">
        <v>693</v>
      </c>
      <c r="Q80" s="27"/>
      <c r="R80" s="27" t="s">
        <v>692</v>
      </c>
      <c r="S80" s="27" t="s">
        <v>691</v>
      </c>
      <c r="T80" s="27"/>
      <c r="U80" s="18" t="e">
        <f>数据库!#REF!</f>
        <v>#REF!</v>
      </c>
      <c r="V80" s="33" t="s">
        <v>711</v>
      </c>
    </row>
    <row r="81" spans="1:22" ht="22.5">
      <c r="A81" s="30" t="s">
        <v>697</v>
      </c>
      <c r="B81" s="30" t="e">
        <f>数据库!#REF!&amp;"号楼"</f>
        <v>#REF!</v>
      </c>
      <c r="C81" s="30" t="e">
        <f>NUMBERSTRING(数据库!#REF!,3)&amp;"单元"</f>
        <v>#REF!</v>
      </c>
      <c r="D81" s="30" t="e">
        <f>数据库!#REF!</f>
        <v>#REF!</v>
      </c>
      <c r="E81" s="30" t="e">
        <f t="shared" si="1"/>
        <v>#REF!</v>
      </c>
      <c r="F81" s="30"/>
      <c r="G81" s="30"/>
      <c r="H81" s="31" t="s">
        <v>696</v>
      </c>
      <c r="I81" s="27"/>
      <c r="J81" s="27"/>
      <c r="K81" s="27"/>
      <c r="L81" s="27"/>
      <c r="M81" s="18" t="e">
        <f>数据库!#REF!</f>
        <v>#REF!</v>
      </c>
      <c r="N81" s="27" t="s">
        <v>695</v>
      </c>
      <c r="O81" s="30" t="s">
        <v>694</v>
      </c>
      <c r="P81" s="27" t="s">
        <v>693</v>
      </c>
      <c r="Q81" s="27"/>
      <c r="R81" s="27" t="s">
        <v>692</v>
      </c>
      <c r="S81" s="27" t="s">
        <v>691</v>
      </c>
      <c r="T81" s="27"/>
      <c r="U81" s="18" t="e">
        <f>数据库!#REF!</f>
        <v>#REF!</v>
      </c>
      <c r="V81" s="33" t="s">
        <v>711</v>
      </c>
    </row>
    <row r="82" spans="1:22" ht="22.5">
      <c r="A82" s="30" t="s">
        <v>697</v>
      </c>
      <c r="B82" s="30" t="e">
        <f>数据库!#REF!&amp;"号楼"</f>
        <v>#REF!</v>
      </c>
      <c r="C82" s="30" t="e">
        <f>NUMBERSTRING(数据库!#REF!,3)&amp;"单元"</f>
        <v>#REF!</v>
      </c>
      <c r="D82" s="30" t="e">
        <f>数据库!#REF!</f>
        <v>#REF!</v>
      </c>
      <c r="E82" s="30" t="e">
        <f t="shared" si="1"/>
        <v>#REF!</v>
      </c>
      <c r="F82" s="30"/>
      <c r="G82" s="30"/>
      <c r="H82" s="31" t="s">
        <v>696</v>
      </c>
      <c r="I82" s="27"/>
      <c r="J82" s="27"/>
      <c r="K82" s="27"/>
      <c r="L82" s="27"/>
      <c r="M82" s="18" t="e">
        <f>数据库!#REF!</f>
        <v>#REF!</v>
      </c>
      <c r="N82" s="27" t="s">
        <v>695</v>
      </c>
      <c r="O82" s="30" t="s">
        <v>694</v>
      </c>
      <c r="P82" s="27" t="s">
        <v>693</v>
      </c>
      <c r="Q82" s="27"/>
      <c r="R82" s="27" t="s">
        <v>692</v>
      </c>
      <c r="S82" s="27" t="s">
        <v>691</v>
      </c>
      <c r="T82" s="27"/>
      <c r="U82" s="18" t="e">
        <f>数据库!#REF!</f>
        <v>#REF!</v>
      </c>
      <c r="V82" s="33" t="s">
        <v>711</v>
      </c>
    </row>
    <row r="83" spans="1:22" ht="22.5">
      <c r="A83" s="30" t="s">
        <v>697</v>
      </c>
      <c r="B83" s="30" t="e">
        <f>数据库!#REF!&amp;"号楼"</f>
        <v>#REF!</v>
      </c>
      <c r="C83" s="30" t="e">
        <f>NUMBERSTRING(数据库!#REF!,3)&amp;"单元"</f>
        <v>#REF!</v>
      </c>
      <c r="D83" s="30" t="e">
        <f>数据库!#REF!</f>
        <v>#REF!</v>
      </c>
      <c r="E83" s="30" t="e">
        <f t="shared" si="1"/>
        <v>#REF!</v>
      </c>
      <c r="F83" s="30"/>
      <c r="G83" s="30"/>
      <c r="H83" s="31" t="s">
        <v>696</v>
      </c>
      <c r="I83" s="27"/>
      <c r="J83" s="27"/>
      <c r="K83" s="27"/>
      <c r="L83" s="27"/>
      <c r="M83" s="18" t="e">
        <f>数据库!#REF!</f>
        <v>#REF!</v>
      </c>
      <c r="N83" s="27" t="s">
        <v>695</v>
      </c>
      <c r="O83" s="30" t="s">
        <v>694</v>
      </c>
      <c r="P83" s="27" t="s">
        <v>693</v>
      </c>
      <c r="Q83" s="27"/>
      <c r="R83" s="27" t="s">
        <v>692</v>
      </c>
      <c r="S83" s="27" t="s">
        <v>691</v>
      </c>
      <c r="T83" s="27"/>
      <c r="U83" s="18" t="e">
        <f>数据库!#REF!</f>
        <v>#REF!</v>
      </c>
      <c r="V83" s="33" t="s">
        <v>711</v>
      </c>
    </row>
    <row r="84" spans="1:22" ht="22.5">
      <c r="A84" s="30" t="s">
        <v>697</v>
      </c>
      <c r="B84" s="30" t="e">
        <f>数据库!#REF!&amp;"号楼"</f>
        <v>#REF!</v>
      </c>
      <c r="C84" s="30" t="e">
        <f>NUMBERSTRING(数据库!#REF!,3)&amp;"单元"</f>
        <v>#REF!</v>
      </c>
      <c r="D84" s="30" t="e">
        <f>数据库!#REF!</f>
        <v>#REF!</v>
      </c>
      <c r="E84" s="30" t="e">
        <f t="shared" si="1"/>
        <v>#REF!</v>
      </c>
      <c r="F84" s="30"/>
      <c r="G84" s="30"/>
      <c r="H84" s="31" t="s">
        <v>696</v>
      </c>
      <c r="I84" s="27"/>
      <c r="J84" s="27"/>
      <c r="K84" s="27"/>
      <c r="L84" s="27"/>
      <c r="M84" s="18" t="e">
        <f>数据库!#REF!</f>
        <v>#REF!</v>
      </c>
      <c r="N84" s="27" t="s">
        <v>695</v>
      </c>
      <c r="O84" s="30" t="s">
        <v>694</v>
      </c>
      <c r="P84" s="27" t="s">
        <v>693</v>
      </c>
      <c r="Q84" s="27"/>
      <c r="R84" s="27" t="s">
        <v>692</v>
      </c>
      <c r="S84" s="27" t="s">
        <v>691</v>
      </c>
      <c r="T84" s="27"/>
      <c r="U84" s="18" t="e">
        <f>数据库!#REF!</f>
        <v>#REF!</v>
      </c>
      <c r="V84" s="33" t="s">
        <v>711</v>
      </c>
    </row>
    <row r="85" spans="1:22" ht="22.5">
      <c r="A85" s="30" t="s">
        <v>697</v>
      </c>
      <c r="B85" s="30" t="e">
        <f>数据库!#REF!&amp;"号楼"</f>
        <v>#REF!</v>
      </c>
      <c r="C85" s="30" t="e">
        <f>NUMBERSTRING(数据库!#REF!,3)&amp;"单元"</f>
        <v>#REF!</v>
      </c>
      <c r="D85" s="30" t="e">
        <f>数据库!#REF!</f>
        <v>#REF!</v>
      </c>
      <c r="E85" s="30" t="e">
        <f t="shared" si="1"/>
        <v>#REF!</v>
      </c>
      <c r="F85" s="30"/>
      <c r="G85" s="30"/>
      <c r="H85" s="31" t="s">
        <v>696</v>
      </c>
      <c r="I85" s="27"/>
      <c r="J85" s="27"/>
      <c r="K85" s="27"/>
      <c r="L85" s="27"/>
      <c r="M85" s="18" t="e">
        <f>数据库!#REF!</f>
        <v>#REF!</v>
      </c>
      <c r="N85" s="27" t="s">
        <v>695</v>
      </c>
      <c r="O85" s="30" t="s">
        <v>694</v>
      </c>
      <c r="P85" s="27" t="s">
        <v>693</v>
      </c>
      <c r="Q85" s="27"/>
      <c r="R85" s="27" t="s">
        <v>692</v>
      </c>
      <c r="S85" s="27" t="s">
        <v>691</v>
      </c>
      <c r="T85" s="27"/>
      <c r="U85" s="18" t="e">
        <f>数据库!#REF!</f>
        <v>#REF!</v>
      </c>
      <c r="V85" s="33" t="s">
        <v>711</v>
      </c>
    </row>
    <row r="86" spans="1:22" ht="22.5">
      <c r="A86" s="30" t="s">
        <v>697</v>
      </c>
      <c r="B86" s="30" t="e">
        <f>数据库!#REF!&amp;"号楼"</f>
        <v>#REF!</v>
      </c>
      <c r="C86" s="30" t="e">
        <f>NUMBERSTRING(数据库!#REF!,3)&amp;"单元"</f>
        <v>#REF!</v>
      </c>
      <c r="D86" s="30" t="e">
        <f>数据库!#REF!</f>
        <v>#REF!</v>
      </c>
      <c r="E86" s="30" t="e">
        <f t="shared" si="1"/>
        <v>#REF!</v>
      </c>
      <c r="F86" s="30"/>
      <c r="G86" s="30"/>
      <c r="H86" s="31" t="s">
        <v>696</v>
      </c>
      <c r="I86" s="27"/>
      <c r="J86" s="27"/>
      <c r="K86" s="27"/>
      <c r="L86" s="27"/>
      <c r="M86" s="18" t="e">
        <f>数据库!#REF!</f>
        <v>#REF!</v>
      </c>
      <c r="N86" s="27" t="s">
        <v>695</v>
      </c>
      <c r="O86" s="30" t="s">
        <v>694</v>
      </c>
      <c r="P86" s="27" t="s">
        <v>693</v>
      </c>
      <c r="Q86" s="27"/>
      <c r="R86" s="27" t="s">
        <v>692</v>
      </c>
      <c r="S86" s="27" t="s">
        <v>691</v>
      </c>
      <c r="T86" s="27"/>
      <c r="U86" s="18" t="e">
        <f>数据库!#REF!</f>
        <v>#REF!</v>
      </c>
      <c r="V86" s="33" t="s">
        <v>711</v>
      </c>
    </row>
    <row r="87" spans="1:22" ht="22.5">
      <c r="A87" s="30" t="s">
        <v>697</v>
      </c>
      <c r="B87" s="30" t="e">
        <f>数据库!#REF!&amp;"号楼"</f>
        <v>#REF!</v>
      </c>
      <c r="C87" s="30" t="e">
        <f>NUMBERSTRING(数据库!#REF!,3)&amp;"单元"</f>
        <v>#REF!</v>
      </c>
      <c r="D87" s="30" t="e">
        <f>数据库!#REF!</f>
        <v>#REF!</v>
      </c>
      <c r="E87" s="30" t="e">
        <f t="shared" si="1"/>
        <v>#REF!</v>
      </c>
      <c r="F87" s="30"/>
      <c r="G87" s="30"/>
      <c r="H87" s="31" t="s">
        <v>696</v>
      </c>
      <c r="I87" s="27"/>
      <c r="J87" s="27"/>
      <c r="K87" s="27"/>
      <c r="L87" s="27"/>
      <c r="M87" s="18" t="e">
        <f>数据库!#REF!</f>
        <v>#REF!</v>
      </c>
      <c r="N87" s="27" t="s">
        <v>695</v>
      </c>
      <c r="O87" s="30" t="s">
        <v>694</v>
      </c>
      <c r="P87" s="27" t="s">
        <v>693</v>
      </c>
      <c r="Q87" s="27"/>
      <c r="R87" s="27" t="s">
        <v>692</v>
      </c>
      <c r="S87" s="27" t="s">
        <v>691</v>
      </c>
      <c r="T87" s="27"/>
      <c r="U87" s="18" t="e">
        <f>数据库!#REF!</f>
        <v>#REF!</v>
      </c>
      <c r="V87" s="33" t="s">
        <v>711</v>
      </c>
    </row>
    <row r="88" spans="1:22" ht="22.5">
      <c r="A88" s="30" t="s">
        <v>697</v>
      </c>
      <c r="B88" s="30" t="e">
        <f>数据库!#REF!&amp;"号楼"</f>
        <v>#REF!</v>
      </c>
      <c r="C88" s="30" t="e">
        <f>NUMBERSTRING(数据库!#REF!,3)&amp;"单元"</f>
        <v>#REF!</v>
      </c>
      <c r="D88" s="30" t="e">
        <f>数据库!#REF!</f>
        <v>#REF!</v>
      </c>
      <c r="E88" s="30" t="e">
        <f t="shared" si="1"/>
        <v>#REF!</v>
      </c>
      <c r="F88" s="30"/>
      <c r="G88" s="30"/>
      <c r="H88" s="31" t="s">
        <v>696</v>
      </c>
      <c r="I88" s="27"/>
      <c r="J88" s="27"/>
      <c r="K88" s="27"/>
      <c r="L88" s="27"/>
      <c r="M88" s="18" t="e">
        <f>数据库!#REF!</f>
        <v>#REF!</v>
      </c>
      <c r="N88" s="27" t="s">
        <v>695</v>
      </c>
      <c r="O88" s="30" t="s">
        <v>694</v>
      </c>
      <c r="P88" s="27" t="s">
        <v>693</v>
      </c>
      <c r="Q88" s="27"/>
      <c r="R88" s="27" t="s">
        <v>692</v>
      </c>
      <c r="S88" s="27" t="s">
        <v>691</v>
      </c>
      <c r="T88" s="27"/>
      <c r="U88" s="18" t="e">
        <f>数据库!#REF!</f>
        <v>#REF!</v>
      </c>
      <c r="V88" s="33" t="s">
        <v>711</v>
      </c>
    </row>
    <row r="89" spans="1:22" ht="22.5">
      <c r="A89" s="30" t="s">
        <v>697</v>
      </c>
      <c r="B89" s="30" t="e">
        <f>数据库!#REF!&amp;"号楼"</f>
        <v>#REF!</v>
      </c>
      <c r="C89" s="30" t="e">
        <f>NUMBERSTRING(数据库!#REF!,3)&amp;"单元"</f>
        <v>#REF!</v>
      </c>
      <c r="D89" s="30" t="e">
        <f>数据库!#REF!</f>
        <v>#REF!</v>
      </c>
      <c r="E89" s="30" t="e">
        <f t="shared" si="1"/>
        <v>#REF!</v>
      </c>
      <c r="F89" s="30"/>
      <c r="G89" s="30"/>
      <c r="H89" s="31" t="s">
        <v>696</v>
      </c>
      <c r="I89" s="27"/>
      <c r="J89" s="27"/>
      <c r="K89" s="27"/>
      <c r="L89" s="27"/>
      <c r="M89" s="18" t="e">
        <f>数据库!#REF!</f>
        <v>#REF!</v>
      </c>
      <c r="N89" s="27" t="s">
        <v>695</v>
      </c>
      <c r="O89" s="30" t="s">
        <v>694</v>
      </c>
      <c r="P89" s="27" t="s">
        <v>693</v>
      </c>
      <c r="Q89" s="27"/>
      <c r="R89" s="27" t="s">
        <v>692</v>
      </c>
      <c r="S89" s="27" t="s">
        <v>691</v>
      </c>
      <c r="T89" s="27"/>
      <c r="U89" s="18" t="e">
        <f>数据库!#REF!</f>
        <v>#REF!</v>
      </c>
      <c r="V89" s="33" t="s">
        <v>711</v>
      </c>
    </row>
    <row r="90" spans="1:22" ht="22.5">
      <c r="A90" s="30" t="s">
        <v>697</v>
      </c>
      <c r="B90" s="30" t="e">
        <f>数据库!#REF!&amp;"号楼"</f>
        <v>#REF!</v>
      </c>
      <c r="C90" s="30" t="e">
        <f>NUMBERSTRING(数据库!#REF!,3)&amp;"单元"</f>
        <v>#REF!</v>
      </c>
      <c r="D90" s="30" t="e">
        <f>数据库!#REF!</f>
        <v>#REF!</v>
      </c>
      <c r="E90" s="30" t="e">
        <f t="shared" si="1"/>
        <v>#REF!</v>
      </c>
      <c r="F90" s="30"/>
      <c r="G90" s="30"/>
      <c r="H90" s="31" t="s">
        <v>696</v>
      </c>
      <c r="I90" s="27"/>
      <c r="J90" s="27"/>
      <c r="K90" s="27"/>
      <c r="L90" s="27"/>
      <c r="M90" s="18" t="e">
        <f>数据库!#REF!</f>
        <v>#REF!</v>
      </c>
      <c r="N90" s="27" t="s">
        <v>695</v>
      </c>
      <c r="O90" s="30" t="s">
        <v>694</v>
      </c>
      <c r="P90" s="27" t="s">
        <v>693</v>
      </c>
      <c r="Q90" s="27"/>
      <c r="R90" s="27" t="s">
        <v>692</v>
      </c>
      <c r="S90" s="27" t="s">
        <v>691</v>
      </c>
      <c r="T90" s="27"/>
      <c r="U90" s="18" t="e">
        <f>数据库!#REF!</f>
        <v>#REF!</v>
      </c>
      <c r="V90" s="33" t="s">
        <v>711</v>
      </c>
    </row>
    <row r="91" spans="1:22" ht="22.5">
      <c r="A91" s="30" t="s">
        <v>697</v>
      </c>
      <c r="B91" s="30" t="e">
        <f>数据库!#REF!&amp;"号楼"</f>
        <v>#REF!</v>
      </c>
      <c r="C91" s="30" t="e">
        <f>NUMBERSTRING(数据库!#REF!,3)&amp;"单元"</f>
        <v>#REF!</v>
      </c>
      <c r="D91" s="30" t="e">
        <f>数据库!#REF!</f>
        <v>#REF!</v>
      </c>
      <c r="E91" s="30" t="e">
        <f t="shared" si="1"/>
        <v>#REF!</v>
      </c>
      <c r="F91" s="30"/>
      <c r="G91" s="30"/>
      <c r="H91" s="31" t="s">
        <v>696</v>
      </c>
      <c r="I91" s="27"/>
      <c r="J91" s="27"/>
      <c r="K91" s="27"/>
      <c r="L91" s="27"/>
      <c r="M91" s="18" t="e">
        <f>数据库!#REF!</f>
        <v>#REF!</v>
      </c>
      <c r="N91" s="27" t="s">
        <v>695</v>
      </c>
      <c r="O91" s="30" t="s">
        <v>694</v>
      </c>
      <c r="P91" s="27" t="s">
        <v>693</v>
      </c>
      <c r="Q91" s="27"/>
      <c r="R91" s="27" t="s">
        <v>692</v>
      </c>
      <c r="S91" s="27" t="s">
        <v>691</v>
      </c>
      <c r="T91" s="27"/>
      <c r="U91" s="18" t="e">
        <f>数据库!#REF!</f>
        <v>#REF!</v>
      </c>
      <c r="V91" s="33" t="s">
        <v>711</v>
      </c>
    </row>
    <row r="92" spans="1:22" ht="22.5">
      <c r="A92" s="30" t="s">
        <v>697</v>
      </c>
      <c r="B92" s="30" t="e">
        <f>数据库!#REF!&amp;"号楼"</f>
        <v>#REF!</v>
      </c>
      <c r="C92" s="30" t="e">
        <f>NUMBERSTRING(数据库!#REF!,3)&amp;"单元"</f>
        <v>#REF!</v>
      </c>
      <c r="D92" s="30" t="e">
        <f>数据库!#REF!</f>
        <v>#REF!</v>
      </c>
      <c r="E92" s="30" t="e">
        <f t="shared" si="1"/>
        <v>#REF!</v>
      </c>
      <c r="F92" s="30"/>
      <c r="G92" s="30"/>
      <c r="H92" s="31" t="s">
        <v>696</v>
      </c>
      <c r="I92" s="27"/>
      <c r="J92" s="27"/>
      <c r="K92" s="27"/>
      <c r="L92" s="27"/>
      <c r="M92" s="18" t="e">
        <f>数据库!#REF!</f>
        <v>#REF!</v>
      </c>
      <c r="N92" s="27" t="s">
        <v>695</v>
      </c>
      <c r="O92" s="30" t="s">
        <v>694</v>
      </c>
      <c r="P92" s="27" t="s">
        <v>693</v>
      </c>
      <c r="Q92" s="27"/>
      <c r="R92" s="27" t="s">
        <v>692</v>
      </c>
      <c r="S92" s="27" t="s">
        <v>691</v>
      </c>
      <c r="T92" s="27"/>
      <c r="U92" s="18" t="e">
        <f>数据库!#REF!</f>
        <v>#REF!</v>
      </c>
      <c r="V92" s="33" t="s">
        <v>711</v>
      </c>
    </row>
    <row r="93" spans="1:22" ht="22.5">
      <c r="A93" s="30" t="s">
        <v>697</v>
      </c>
      <c r="B93" s="30" t="e">
        <f>数据库!#REF!&amp;"号楼"</f>
        <v>#REF!</v>
      </c>
      <c r="C93" s="30" t="e">
        <f>NUMBERSTRING(数据库!#REF!,3)&amp;"单元"</f>
        <v>#REF!</v>
      </c>
      <c r="D93" s="30" t="e">
        <f>数据库!#REF!</f>
        <v>#REF!</v>
      </c>
      <c r="E93" s="30" t="e">
        <f t="shared" si="1"/>
        <v>#REF!</v>
      </c>
      <c r="F93" s="30"/>
      <c r="G93" s="30"/>
      <c r="H93" s="31" t="s">
        <v>696</v>
      </c>
      <c r="I93" s="27"/>
      <c r="J93" s="27"/>
      <c r="K93" s="27"/>
      <c r="L93" s="27"/>
      <c r="M93" s="18" t="e">
        <f>数据库!#REF!</f>
        <v>#REF!</v>
      </c>
      <c r="N93" s="27" t="s">
        <v>695</v>
      </c>
      <c r="O93" s="30" t="s">
        <v>694</v>
      </c>
      <c r="P93" s="27" t="s">
        <v>693</v>
      </c>
      <c r="Q93" s="27"/>
      <c r="R93" s="27" t="s">
        <v>692</v>
      </c>
      <c r="S93" s="27" t="s">
        <v>691</v>
      </c>
      <c r="T93" s="27"/>
      <c r="U93" s="18" t="e">
        <f>数据库!#REF!</f>
        <v>#REF!</v>
      </c>
      <c r="V93" s="33" t="s">
        <v>711</v>
      </c>
    </row>
    <row r="94" spans="1:22" ht="22.5">
      <c r="A94" s="30" t="s">
        <v>697</v>
      </c>
      <c r="B94" s="30" t="e">
        <f>数据库!#REF!&amp;"号楼"</f>
        <v>#REF!</v>
      </c>
      <c r="C94" s="30" t="e">
        <f>NUMBERSTRING(数据库!#REF!,3)&amp;"单元"</f>
        <v>#REF!</v>
      </c>
      <c r="D94" s="30" t="e">
        <f>数据库!#REF!</f>
        <v>#REF!</v>
      </c>
      <c r="E94" s="30" t="e">
        <f t="shared" si="1"/>
        <v>#REF!</v>
      </c>
      <c r="F94" s="30"/>
      <c r="G94" s="30"/>
      <c r="H94" s="31" t="s">
        <v>696</v>
      </c>
      <c r="I94" s="27"/>
      <c r="J94" s="27"/>
      <c r="K94" s="27"/>
      <c r="L94" s="27"/>
      <c r="M94" s="18" t="e">
        <f>数据库!#REF!</f>
        <v>#REF!</v>
      </c>
      <c r="N94" s="27" t="s">
        <v>695</v>
      </c>
      <c r="O94" s="30" t="s">
        <v>694</v>
      </c>
      <c r="P94" s="27" t="s">
        <v>693</v>
      </c>
      <c r="Q94" s="27"/>
      <c r="R94" s="27" t="s">
        <v>692</v>
      </c>
      <c r="S94" s="27" t="s">
        <v>691</v>
      </c>
      <c r="T94" s="27"/>
      <c r="U94" s="18" t="e">
        <f>数据库!#REF!</f>
        <v>#REF!</v>
      </c>
      <c r="V94" s="33" t="s">
        <v>711</v>
      </c>
    </row>
    <row r="95" spans="1:22" ht="22.5">
      <c r="A95" s="30" t="s">
        <v>697</v>
      </c>
      <c r="B95" s="30" t="e">
        <f>数据库!#REF!&amp;"号楼"</f>
        <v>#REF!</v>
      </c>
      <c r="C95" s="30" t="e">
        <f>NUMBERSTRING(数据库!#REF!,3)&amp;"单元"</f>
        <v>#REF!</v>
      </c>
      <c r="D95" s="30" t="e">
        <f>数据库!#REF!</f>
        <v>#REF!</v>
      </c>
      <c r="E95" s="30" t="e">
        <f t="shared" si="1"/>
        <v>#REF!</v>
      </c>
      <c r="F95" s="30"/>
      <c r="G95" s="30"/>
      <c r="H95" s="31" t="s">
        <v>696</v>
      </c>
      <c r="I95" s="27"/>
      <c r="J95" s="27"/>
      <c r="K95" s="27"/>
      <c r="L95" s="27"/>
      <c r="M95" s="18" t="e">
        <f>数据库!#REF!</f>
        <v>#REF!</v>
      </c>
      <c r="N95" s="27" t="s">
        <v>695</v>
      </c>
      <c r="O95" s="30" t="s">
        <v>694</v>
      </c>
      <c r="P95" s="27" t="s">
        <v>693</v>
      </c>
      <c r="Q95" s="27"/>
      <c r="R95" s="27" t="s">
        <v>692</v>
      </c>
      <c r="S95" s="27" t="s">
        <v>691</v>
      </c>
      <c r="T95" s="27"/>
      <c r="U95" s="18" t="e">
        <f>数据库!#REF!</f>
        <v>#REF!</v>
      </c>
      <c r="V95" s="33" t="s">
        <v>711</v>
      </c>
    </row>
    <row r="96" spans="1:22" ht="22.5">
      <c r="A96" s="30" t="s">
        <v>697</v>
      </c>
      <c r="B96" s="30" t="e">
        <f>数据库!#REF!&amp;"号楼"</f>
        <v>#REF!</v>
      </c>
      <c r="C96" s="30" t="e">
        <f>NUMBERSTRING(数据库!#REF!,3)&amp;"单元"</f>
        <v>#REF!</v>
      </c>
      <c r="D96" s="30" t="e">
        <f>数据库!#REF!</f>
        <v>#REF!</v>
      </c>
      <c r="E96" s="30" t="e">
        <f t="shared" si="1"/>
        <v>#REF!</v>
      </c>
      <c r="F96" s="30"/>
      <c r="G96" s="30"/>
      <c r="H96" s="31" t="s">
        <v>696</v>
      </c>
      <c r="I96" s="27"/>
      <c r="J96" s="27"/>
      <c r="K96" s="27"/>
      <c r="L96" s="27"/>
      <c r="M96" s="18" t="e">
        <f>数据库!#REF!</f>
        <v>#REF!</v>
      </c>
      <c r="N96" s="27" t="s">
        <v>695</v>
      </c>
      <c r="O96" s="30" t="s">
        <v>694</v>
      </c>
      <c r="P96" s="27" t="s">
        <v>693</v>
      </c>
      <c r="Q96" s="27"/>
      <c r="R96" s="27" t="s">
        <v>692</v>
      </c>
      <c r="S96" s="27" t="s">
        <v>691</v>
      </c>
      <c r="T96" s="27"/>
      <c r="U96" s="18" t="e">
        <f>数据库!#REF!</f>
        <v>#REF!</v>
      </c>
      <c r="V96" s="33" t="s">
        <v>711</v>
      </c>
    </row>
    <row r="97" spans="1:22" ht="22.5">
      <c r="A97" s="30" t="s">
        <v>697</v>
      </c>
      <c r="B97" s="30" t="e">
        <f>数据库!#REF!&amp;"号楼"</f>
        <v>#REF!</v>
      </c>
      <c r="C97" s="30" t="e">
        <f>NUMBERSTRING(数据库!#REF!,3)&amp;"单元"</f>
        <v>#REF!</v>
      </c>
      <c r="D97" s="30" t="e">
        <f>数据库!#REF!</f>
        <v>#REF!</v>
      </c>
      <c r="E97" s="30" t="e">
        <f t="shared" si="1"/>
        <v>#REF!</v>
      </c>
      <c r="F97" s="30"/>
      <c r="G97" s="30"/>
      <c r="H97" s="31" t="s">
        <v>696</v>
      </c>
      <c r="I97" s="27"/>
      <c r="J97" s="27"/>
      <c r="K97" s="27"/>
      <c r="L97" s="27"/>
      <c r="M97" s="18" t="e">
        <f>数据库!#REF!</f>
        <v>#REF!</v>
      </c>
      <c r="N97" s="27" t="s">
        <v>695</v>
      </c>
      <c r="O97" s="30" t="s">
        <v>694</v>
      </c>
      <c r="P97" s="27" t="s">
        <v>693</v>
      </c>
      <c r="Q97" s="27"/>
      <c r="R97" s="27" t="s">
        <v>692</v>
      </c>
      <c r="S97" s="27" t="s">
        <v>691</v>
      </c>
      <c r="T97" s="27"/>
      <c r="U97" s="18" t="e">
        <f>数据库!#REF!</f>
        <v>#REF!</v>
      </c>
      <c r="V97" s="33" t="s">
        <v>711</v>
      </c>
    </row>
    <row r="98" spans="1:22" ht="22.5">
      <c r="A98" s="30" t="s">
        <v>697</v>
      </c>
      <c r="B98" s="30" t="e">
        <f>数据库!#REF!&amp;"号楼"</f>
        <v>#REF!</v>
      </c>
      <c r="C98" s="30" t="e">
        <f>NUMBERSTRING(数据库!#REF!,3)&amp;"单元"</f>
        <v>#REF!</v>
      </c>
      <c r="D98" s="30" t="e">
        <f>数据库!#REF!</f>
        <v>#REF!</v>
      </c>
      <c r="E98" s="30" t="e">
        <f t="shared" si="1"/>
        <v>#REF!</v>
      </c>
      <c r="F98" s="30"/>
      <c r="G98" s="30"/>
      <c r="H98" s="31" t="s">
        <v>696</v>
      </c>
      <c r="I98" s="27"/>
      <c r="J98" s="27"/>
      <c r="K98" s="27"/>
      <c r="L98" s="27"/>
      <c r="M98" s="18" t="e">
        <f>数据库!#REF!</f>
        <v>#REF!</v>
      </c>
      <c r="N98" s="27" t="s">
        <v>695</v>
      </c>
      <c r="O98" s="30" t="s">
        <v>694</v>
      </c>
      <c r="P98" s="27" t="s">
        <v>693</v>
      </c>
      <c r="Q98" s="27"/>
      <c r="R98" s="27" t="s">
        <v>692</v>
      </c>
      <c r="S98" s="27" t="s">
        <v>691</v>
      </c>
      <c r="T98" s="27"/>
      <c r="U98" s="18" t="e">
        <f>数据库!#REF!</f>
        <v>#REF!</v>
      </c>
      <c r="V98" s="33" t="s">
        <v>711</v>
      </c>
    </row>
    <row r="99" spans="1:22" ht="22.5">
      <c r="A99" s="30" t="s">
        <v>697</v>
      </c>
      <c r="B99" s="30" t="e">
        <f>数据库!#REF!&amp;"号楼"</f>
        <v>#REF!</v>
      </c>
      <c r="C99" s="30" t="e">
        <f>NUMBERSTRING(数据库!#REF!,3)&amp;"单元"</f>
        <v>#REF!</v>
      </c>
      <c r="D99" s="30" t="e">
        <f>数据库!#REF!</f>
        <v>#REF!</v>
      </c>
      <c r="E99" s="30" t="e">
        <f t="shared" si="1"/>
        <v>#REF!</v>
      </c>
      <c r="F99" s="30"/>
      <c r="G99" s="30"/>
      <c r="H99" s="31" t="s">
        <v>696</v>
      </c>
      <c r="I99" s="27"/>
      <c r="J99" s="27"/>
      <c r="K99" s="27"/>
      <c r="L99" s="27"/>
      <c r="M99" s="18" t="e">
        <f>数据库!#REF!</f>
        <v>#REF!</v>
      </c>
      <c r="N99" s="27" t="s">
        <v>695</v>
      </c>
      <c r="O99" s="30" t="s">
        <v>694</v>
      </c>
      <c r="P99" s="27" t="s">
        <v>693</v>
      </c>
      <c r="Q99" s="27"/>
      <c r="R99" s="27" t="s">
        <v>692</v>
      </c>
      <c r="S99" s="27" t="s">
        <v>691</v>
      </c>
      <c r="T99" s="27"/>
      <c r="U99" s="18" t="e">
        <f>数据库!#REF!</f>
        <v>#REF!</v>
      </c>
      <c r="V99" s="33" t="s">
        <v>711</v>
      </c>
    </row>
    <row r="100" spans="1:22" ht="22.5">
      <c r="A100" s="30" t="s">
        <v>697</v>
      </c>
      <c r="B100" s="30" t="e">
        <f>数据库!#REF!&amp;"号楼"</f>
        <v>#REF!</v>
      </c>
      <c r="C100" s="30" t="e">
        <f>NUMBERSTRING(数据库!#REF!,3)&amp;"单元"</f>
        <v>#REF!</v>
      </c>
      <c r="D100" s="30" t="e">
        <f>数据库!#REF!</f>
        <v>#REF!</v>
      </c>
      <c r="E100" s="30" t="e">
        <f t="shared" si="1"/>
        <v>#REF!</v>
      </c>
      <c r="F100" s="30"/>
      <c r="G100" s="30"/>
      <c r="H100" s="31" t="s">
        <v>696</v>
      </c>
      <c r="I100" s="27"/>
      <c r="J100" s="27"/>
      <c r="K100" s="27"/>
      <c r="L100" s="27"/>
      <c r="M100" s="18" t="e">
        <f>数据库!#REF!</f>
        <v>#REF!</v>
      </c>
      <c r="N100" s="27" t="s">
        <v>695</v>
      </c>
      <c r="O100" s="30" t="s">
        <v>694</v>
      </c>
      <c r="P100" s="27" t="s">
        <v>693</v>
      </c>
      <c r="Q100" s="27"/>
      <c r="R100" s="27" t="s">
        <v>692</v>
      </c>
      <c r="S100" s="27" t="s">
        <v>691</v>
      </c>
      <c r="T100" s="27"/>
      <c r="U100" s="18" t="e">
        <f>数据库!#REF!</f>
        <v>#REF!</v>
      </c>
      <c r="V100" s="33" t="s">
        <v>711</v>
      </c>
    </row>
    <row r="101" spans="1:22" ht="22.5">
      <c r="A101" s="30" t="s">
        <v>697</v>
      </c>
      <c r="B101" s="30" t="e">
        <f>数据库!#REF!&amp;"号楼"</f>
        <v>#REF!</v>
      </c>
      <c r="C101" s="30" t="e">
        <f>NUMBERSTRING(数据库!#REF!,3)&amp;"单元"</f>
        <v>#REF!</v>
      </c>
      <c r="D101" s="30" t="e">
        <f>数据库!#REF!</f>
        <v>#REF!</v>
      </c>
      <c r="E101" s="30" t="e">
        <f t="shared" si="1"/>
        <v>#REF!</v>
      </c>
      <c r="F101" s="30"/>
      <c r="G101" s="30"/>
      <c r="H101" s="31" t="s">
        <v>696</v>
      </c>
      <c r="I101" s="27"/>
      <c r="J101" s="27"/>
      <c r="K101" s="27"/>
      <c r="L101" s="27"/>
      <c r="M101" s="18" t="e">
        <f>数据库!#REF!</f>
        <v>#REF!</v>
      </c>
      <c r="N101" s="27" t="s">
        <v>695</v>
      </c>
      <c r="O101" s="30" t="s">
        <v>694</v>
      </c>
      <c r="P101" s="27" t="s">
        <v>693</v>
      </c>
      <c r="Q101" s="27"/>
      <c r="R101" s="27" t="s">
        <v>692</v>
      </c>
      <c r="S101" s="27" t="s">
        <v>691</v>
      </c>
      <c r="T101" s="27"/>
      <c r="U101" s="18" t="e">
        <f>数据库!#REF!</f>
        <v>#REF!</v>
      </c>
      <c r="V101" s="33" t="s">
        <v>711</v>
      </c>
    </row>
    <row r="102" spans="1:22" ht="22.5">
      <c r="A102" s="30" t="s">
        <v>697</v>
      </c>
      <c r="B102" s="30" t="e">
        <f>数据库!#REF!&amp;"号楼"</f>
        <v>#REF!</v>
      </c>
      <c r="C102" s="30" t="e">
        <f>NUMBERSTRING(数据库!#REF!,3)&amp;"单元"</f>
        <v>#REF!</v>
      </c>
      <c r="D102" s="30" t="e">
        <f>数据库!#REF!</f>
        <v>#REF!</v>
      </c>
      <c r="E102" s="30" t="e">
        <f t="shared" si="1"/>
        <v>#REF!</v>
      </c>
      <c r="F102" s="30"/>
      <c r="G102" s="30"/>
      <c r="H102" s="31" t="s">
        <v>696</v>
      </c>
      <c r="I102" s="27"/>
      <c r="J102" s="27"/>
      <c r="K102" s="27"/>
      <c r="L102" s="27"/>
      <c r="M102" s="18" t="e">
        <f>数据库!#REF!</f>
        <v>#REF!</v>
      </c>
      <c r="N102" s="27" t="s">
        <v>695</v>
      </c>
      <c r="O102" s="30" t="s">
        <v>694</v>
      </c>
      <c r="P102" s="27" t="s">
        <v>693</v>
      </c>
      <c r="Q102" s="27"/>
      <c r="R102" s="27" t="s">
        <v>692</v>
      </c>
      <c r="S102" s="27" t="s">
        <v>691</v>
      </c>
      <c r="T102" s="27"/>
      <c r="U102" s="18" t="e">
        <f>数据库!#REF!</f>
        <v>#REF!</v>
      </c>
      <c r="V102" s="33" t="s">
        <v>711</v>
      </c>
    </row>
    <row r="103" spans="1:22" ht="22.5">
      <c r="A103" s="30" t="s">
        <v>697</v>
      </c>
      <c r="B103" s="30" t="e">
        <f>数据库!#REF!&amp;"号楼"</f>
        <v>#REF!</v>
      </c>
      <c r="C103" s="30" t="e">
        <f>NUMBERSTRING(数据库!#REF!,3)&amp;"单元"</f>
        <v>#REF!</v>
      </c>
      <c r="D103" s="30" t="e">
        <f>数据库!#REF!</f>
        <v>#REF!</v>
      </c>
      <c r="E103" s="30" t="e">
        <f t="shared" si="1"/>
        <v>#REF!</v>
      </c>
      <c r="F103" s="30"/>
      <c r="G103" s="30"/>
      <c r="H103" s="31" t="s">
        <v>696</v>
      </c>
      <c r="I103" s="27"/>
      <c r="J103" s="27"/>
      <c r="K103" s="27"/>
      <c r="L103" s="27"/>
      <c r="M103" s="18" t="e">
        <f>数据库!#REF!</f>
        <v>#REF!</v>
      </c>
      <c r="N103" s="27" t="s">
        <v>695</v>
      </c>
      <c r="O103" s="30" t="s">
        <v>694</v>
      </c>
      <c r="P103" s="27" t="s">
        <v>693</v>
      </c>
      <c r="Q103" s="27"/>
      <c r="R103" s="27" t="s">
        <v>692</v>
      </c>
      <c r="S103" s="27" t="s">
        <v>691</v>
      </c>
      <c r="T103" s="27"/>
      <c r="U103" s="18" t="e">
        <f>数据库!#REF!</f>
        <v>#REF!</v>
      </c>
      <c r="V103" s="33" t="s">
        <v>711</v>
      </c>
    </row>
    <row r="104" spans="1:22" ht="22.5">
      <c r="A104" s="30" t="s">
        <v>697</v>
      </c>
      <c r="B104" s="30" t="e">
        <f>数据库!#REF!&amp;"号楼"</f>
        <v>#REF!</v>
      </c>
      <c r="C104" s="30" t="e">
        <f>NUMBERSTRING(数据库!#REF!,3)&amp;"单元"</f>
        <v>#REF!</v>
      </c>
      <c r="D104" s="30" t="e">
        <f>数据库!#REF!</f>
        <v>#REF!</v>
      </c>
      <c r="E104" s="30" t="e">
        <f t="shared" si="1"/>
        <v>#REF!</v>
      </c>
      <c r="F104" s="30"/>
      <c r="G104" s="30"/>
      <c r="H104" s="31" t="s">
        <v>696</v>
      </c>
      <c r="I104" s="27"/>
      <c r="J104" s="27"/>
      <c r="K104" s="27"/>
      <c r="L104" s="27"/>
      <c r="M104" s="18" t="e">
        <f>数据库!#REF!</f>
        <v>#REF!</v>
      </c>
      <c r="N104" s="27" t="s">
        <v>695</v>
      </c>
      <c r="O104" s="30" t="s">
        <v>694</v>
      </c>
      <c r="P104" s="27" t="s">
        <v>693</v>
      </c>
      <c r="Q104" s="27"/>
      <c r="R104" s="27" t="s">
        <v>692</v>
      </c>
      <c r="S104" s="27" t="s">
        <v>691</v>
      </c>
      <c r="T104" s="27"/>
      <c r="U104" s="18" t="e">
        <f>数据库!#REF!</f>
        <v>#REF!</v>
      </c>
      <c r="V104" s="33" t="s">
        <v>711</v>
      </c>
    </row>
    <row r="105" spans="1:22" ht="22.5">
      <c r="A105" s="30" t="s">
        <v>697</v>
      </c>
      <c r="B105" s="30" t="e">
        <f>数据库!#REF!&amp;"号楼"</f>
        <v>#REF!</v>
      </c>
      <c r="C105" s="30" t="e">
        <f>NUMBERSTRING(数据库!#REF!,3)&amp;"单元"</f>
        <v>#REF!</v>
      </c>
      <c r="D105" s="30" t="e">
        <f>数据库!#REF!</f>
        <v>#REF!</v>
      </c>
      <c r="E105" s="30" t="e">
        <f t="shared" si="1"/>
        <v>#REF!</v>
      </c>
      <c r="F105" s="30"/>
      <c r="G105" s="30"/>
      <c r="H105" s="31" t="s">
        <v>696</v>
      </c>
      <c r="I105" s="27"/>
      <c r="J105" s="27"/>
      <c r="K105" s="27"/>
      <c r="L105" s="27"/>
      <c r="M105" s="18" t="e">
        <f>数据库!#REF!</f>
        <v>#REF!</v>
      </c>
      <c r="N105" s="27" t="s">
        <v>695</v>
      </c>
      <c r="O105" s="30" t="s">
        <v>694</v>
      </c>
      <c r="P105" s="27" t="s">
        <v>693</v>
      </c>
      <c r="Q105" s="27"/>
      <c r="R105" s="27" t="s">
        <v>692</v>
      </c>
      <c r="S105" s="27" t="s">
        <v>691</v>
      </c>
      <c r="T105" s="27"/>
      <c r="U105" s="18" t="e">
        <f>数据库!#REF!</f>
        <v>#REF!</v>
      </c>
      <c r="V105" s="33" t="s">
        <v>711</v>
      </c>
    </row>
    <row r="106" spans="1:22" ht="22.5">
      <c r="A106" s="30" t="s">
        <v>697</v>
      </c>
      <c r="B106" s="30" t="e">
        <f>数据库!#REF!&amp;"号楼"</f>
        <v>#REF!</v>
      </c>
      <c r="C106" s="30" t="e">
        <f>NUMBERSTRING(数据库!#REF!,3)&amp;"单元"</f>
        <v>#REF!</v>
      </c>
      <c r="D106" s="30" t="e">
        <f>数据库!#REF!</f>
        <v>#REF!</v>
      </c>
      <c r="E106" s="30" t="e">
        <f t="shared" si="1"/>
        <v>#REF!</v>
      </c>
      <c r="F106" s="30"/>
      <c r="G106" s="30"/>
      <c r="H106" s="31" t="s">
        <v>696</v>
      </c>
      <c r="I106" s="27"/>
      <c r="J106" s="27"/>
      <c r="K106" s="27"/>
      <c r="L106" s="27"/>
      <c r="M106" s="18" t="e">
        <f>数据库!#REF!</f>
        <v>#REF!</v>
      </c>
      <c r="N106" s="27" t="s">
        <v>695</v>
      </c>
      <c r="O106" s="30" t="s">
        <v>694</v>
      </c>
      <c r="P106" s="27" t="s">
        <v>693</v>
      </c>
      <c r="Q106" s="27"/>
      <c r="R106" s="27" t="s">
        <v>692</v>
      </c>
      <c r="S106" s="27" t="s">
        <v>691</v>
      </c>
      <c r="T106" s="27"/>
      <c r="U106" s="18" t="e">
        <f>数据库!#REF!</f>
        <v>#REF!</v>
      </c>
      <c r="V106" s="33" t="s">
        <v>711</v>
      </c>
    </row>
    <row r="107" spans="1:22" ht="22.5">
      <c r="A107" s="30" t="s">
        <v>697</v>
      </c>
      <c r="B107" s="30" t="e">
        <f>数据库!#REF!&amp;"号楼"</f>
        <v>#REF!</v>
      </c>
      <c r="C107" s="30" t="e">
        <f>NUMBERSTRING(数据库!#REF!,3)&amp;"单元"</f>
        <v>#REF!</v>
      </c>
      <c r="D107" s="30" t="e">
        <f>数据库!#REF!</f>
        <v>#REF!</v>
      </c>
      <c r="E107" s="30" t="e">
        <f t="shared" si="1"/>
        <v>#REF!</v>
      </c>
      <c r="F107" s="30"/>
      <c r="G107" s="30"/>
      <c r="H107" s="31" t="s">
        <v>696</v>
      </c>
      <c r="I107" s="27"/>
      <c r="J107" s="27"/>
      <c r="K107" s="27"/>
      <c r="L107" s="27"/>
      <c r="M107" s="18" t="e">
        <f>数据库!#REF!</f>
        <v>#REF!</v>
      </c>
      <c r="N107" s="27" t="s">
        <v>695</v>
      </c>
      <c r="O107" s="30" t="s">
        <v>694</v>
      </c>
      <c r="P107" s="27" t="s">
        <v>693</v>
      </c>
      <c r="Q107" s="27"/>
      <c r="R107" s="27" t="s">
        <v>692</v>
      </c>
      <c r="S107" s="27" t="s">
        <v>691</v>
      </c>
      <c r="T107" s="27"/>
      <c r="U107" s="18" t="e">
        <f>数据库!#REF!</f>
        <v>#REF!</v>
      </c>
      <c r="V107" s="33" t="s">
        <v>711</v>
      </c>
    </row>
    <row r="108" spans="1:22" ht="22.5">
      <c r="A108" s="30" t="s">
        <v>697</v>
      </c>
      <c r="B108" s="30" t="e">
        <f>数据库!#REF!&amp;"号楼"</f>
        <v>#REF!</v>
      </c>
      <c r="C108" s="30" t="e">
        <f>NUMBERSTRING(数据库!#REF!,3)&amp;"单元"</f>
        <v>#REF!</v>
      </c>
      <c r="D108" s="30" t="e">
        <f>数据库!#REF!</f>
        <v>#REF!</v>
      </c>
      <c r="E108" s="30" t="e">
        <f t="shared" si="1"/>
        <v>#REF!</v>
      </c>
      <c r="F108" s="30"/>
      <c r="G108" s="30"/>
      <c r="H108" s="31" t="s">
        <v>696</v>
      </c>
      <c r="I108" s="27"/>
      <c r="J108" s="27"/>
      <c r="K108" s="27"/>
      <c r="L108" s="27"/>
      <c r="M108" s="18" t="e">
        <f>数据库!#REF!</f>
        <v>#REF!</v>
      </c>
      <c r="N108" s="27" t="s">
        <v>695</v>
      </c>
      <c r="O108" s="30" t="s">
        <v>694</v>
      </c>
      <c r="P108" s="27" t="s">
        <v>693</v>
      </c>
      <c r="Q108" s="27"/>
      <c r="R108" s="27" t="s">
        <v>692</v>
      </c>
      <c r="S108" s="27" t="s">
        <v>691</v>
      </c>
      <c r="T108" s="27"/>
      <c r="U108" s="18" t="e">
        <f>数据库!#REF!</f>
        <v>#REF!</v>
      </c>
      <c r="V108" s="33" t="s">
        <v>711</v>
      </c>
    </row>
    <row r="109" spans="1:22" ht="22.5">
      <c r="A109" s="30" t="s">
        <v>697</v>
      </c>
      <c r="B109" s="30" t="e">
        <f>数据库!#REF!&amp;"号楼"</f>
        <v>#REF!</v>
      </c>
      <c r="C109" s="30" t="e">
        <f>NUMBERSTRING(数据库!#REF!,3)&amp;"单元"</f>
        <v>#REF!</v>
      </c>
      <c r="D109" s="30" t="e">
        <f>数据库!#REF!</f>
        <v>#REF!</v>
      </c>
      <c r="E109" s="30" t="e">
        <f t="shared" si="1"/>
        <v>#REF!</v>
      </c>
      <c r="F109" s="30"/>
      <c r="G109" s="30"/>
      <c r="H109" s="31" t="s">
        <v>696</v>
      </c>
      <c r="I109" s="27"/>
      <c r="J109" s="27"/>
      <c r="K109" s="27"/>
      <c r="L109" s="27"/>
      <c r="M109" s="18" t="e">
        <f>数据库!#REF!</f>
        <v>#REF!</v>
      </c>
      <c r="N109" s="27" t="s">
        <v>695</v>
      </c>
      <c r="O109" s="30" t="s">
        <v>694</v>
      </c>
      <c r="P109" s="27" t="s">
        <v>693</v>
      </c>
      <c r="Q109" s="27"/>
      <c r="R109" s="27" t="s">
        <v>692</v>
      </c>
      <c r="S109" s="27" t="s">
        <v>691</v>
      </c>
      <c r="T109" s="27"/>
      <c r="U109" s="18" t="e">
        <f>数据库!#REF!</f>
        <v>#REF!</v>
      </c>
      <c r="V109" s="33" t="s">
        <v>711</v>
      </c>
    </row>
    <row r="110" spans="1:22" ht="22.5">
      <c r="A110" s="30" t="s">
        <v>697</v>
      </c>
      <c r="B110" s="30" t="e">
        <f>数据库!#REF!&amp;"号楼"</f>
        <v>#REF!</v>
      </c>
      <c r="C110" s="30" t="e">
        <f>NUMBERSTRING(数据库!#REF!,3)&amp;"单元"</f>
        <v>#REF!</v>
      </c>
      <c r="D110" s="30" t="e">
        <f>数据库!#REF!</f>
        <v>#REF!</v>
      </c>
      <c r="E110" s="30" t="e">
        <f t="shared" si="1"/>
        <v>#REF!</v>
      </c>
      <c r="F110" s="30"/>
      <c r="G110" s="30"/>
      <c r="H110" s="31" t="s">
        <v>696</v>
      </c>
      <c r="I110" s="27"/>
      <c r="J110" s="27"/>
      <c r="K110" s="27"/>
      <c r="L110" s="27"/>
      <c r="M110" s="18" t="e">
        <f>数据库!#REF!</f>
        <v>#REF!</v>
      </c>
      <c r="N110" s="27" t="s">
        <v>695</v>
      </c>
      <c r="O110" s="30" t="s">
        <v>694</v>
      </c>
      <c r="P110" s="27" t="s">
        <v>693</v>
      </c>
      <c r="Q110" s="27"/>
      <c r="R110" s="27" t="s">
        <v>692</v>
      </c>
      <c r="S110" s="27" t="s">
        <v>691</v>
      </c>
      <c r="T110" s="27"/>
      <c r="U110" s="18" t="e">
        <f>数据库!#REF!</f>
        <v>#REF!</v>
      </c>
      <c r="V110" s="33" t="s">
        <v>711</v>
      </c>
    </row>
    <row r="111" spans="1:22" ht="22.5">
      <c r="A111" s="30" t="s">
        <v>697</v>
      </c>
      <c r="B111" s="30" t="e">
        <f>数据库!#REF!&amp;"号楼"</f>
        <v>#REF!</v>
      </c>
      <c r="C111" s="30" t="e">
        <f>NUMBERSTRING(数据库!#REF!,3)&amp;"单元"</f>
        <v>#REF!</v>
      </c>
      <c r="D111" s="30" t="e">
        <f>数据库!#REF!</f>
        <v>#REF!</v>
      </c>
      <c r="E111" s="30" t="e">
        <f t="shared" si="1"/>
        <v>#REF!</v>
      </c>
      <c r="F111" s="30"/>
      <c r="G111" s="30"/>
      <c r="H111" s="31" t="s">
        <v>696</v>
      </c>
      <c r="I111" s="27"/>
      <c r="J111" s="27"/>
      <c r="K111" s="27"/>
      <c r="L111" s="27"/>
      <c r="M111" s="18" t="e">
        <f>数据库!#REF!</f>
        <v>#REF!</v>
      </c>
      <c r="N111" s="27" t="s">
        <v>695</v>
      </c>
      <c r="O111" s="30" t="s">
        <v>694</v>
      </c>
      <c r="P111" s="27" t="s">
        <v>693</v>
      </c>
      <c r="Q111" s="27"/>
      <c r="R111" s="27" t="s">
        <v>692</v>
      </c>
      <c r="S111" s="27" t="s">
        <v>691</v>
      </c>
      <c r="T111" s="27"/>
      <c r="U111" s="18" t="e">
        <f>数据库!#REF!</f>
        <v>#REF!</v>
      </c>
      <c r="V111" s="33" t="s">
        <v>711</v>
      </c>
    </row>
    <row r="112" spans="1:22" ht="22.5">
      <c r="A112" s="30" t="s">
        <v>697</v>
      </c>
      <c r="B112" s="30" t="e">
        <f>数据库!#REF!&amp;"号楼"</f>
        <v>#REF!</v>
      </c>
      <c r="C112" s="30" t="e">
        <f>NUMBERSTRING(数据库!#REF!,3)&amp;"单元"</f>
        <v>#REF!</v>
      </c>
      <c r="D112" s="30" t="e">
        <f>数据库!#REF!</f>
        <v>#REF!</v>
      </c>
      <c r="E112" s="30" t="e">
        <f t="shared" si="1"/>
        <v>#REF!</v>
      </c>
      <c r="F112" s="30"/>
      <c r="G112" s="30"/>
      <c r="H112" s="31" t="s">
        <v>696</v>
      </c>
      <c r="I112" s="27"/>
      <c r="J112" s="27"/>
      <c r="K112" s="27"/>
      <c r="L112" s="27"/>
      <c r="M112" s="18" t="e">
        <f>数据库!#REF!</f>
        <v>#REF!</v>
      </c>
      <c r="N112" s="27" t="s">
        <v>695</v>
      </c>
      <c r="O112" s="30" t="s">
        <v>694</v>
      </c>
      <c r="P112" s="27" t="s">
        <v>693</v>
      </c>
      <c r="Q112" s="27"/>
      <c r="R112" s="27" t="s">
        <v>692</v>
      </c>
      <c r="S112" s="27" t="s">
        <v>691</v>
      </c>
      <c r="T112" s="27"/>
      <c r="U112" s="18" t="e">
        <f>数据库!#REF!</f>
        <v>#REF!</v>
      </c>
      <c r="V112" s="33" t="s">
        <v>711</v>
      </c>
    </row>
    <row r="113" spans="1:22" ht="22.5">
      <c r="A113" s="30" t="s">
        <v>697</v>
      </c>
      <c r="B113" s="30" t="e">
        <f>数据库!#REF!&amp;"号楼"</f>
        <v>#REF!</v>
      </c>
      <c r="C113" s="30" t="e">
        <f>NUMBERSTRING(数据库!#REF!,3)&amp;"单元"</f>
        <v>#REF!</v>
      </c>
      <c r="D113" s="30" t="e">
        <f>数据库!#REF!</f>
        <v>#REF!</v>
      </c>
      <c r="E113" s="30" t="e">
        <f t="shared" si="1"/>
        <v>#REF!</v>
      </c>
      <c r="F113" s="30"/>
      <c r="G113" s="30"/>
      <c r="H113" s="31" t="s">
        <v>696</v>
      </c>
      <c r="I113" s="27"/>
      <c r="J113" s="27"/>
      <c r="K113" s="27"/>
      <c r="L113" s="27"/>
      <c r="M113" s="18" t="e">
        <f>数据库!#REF!</f>
        <v>#REF!</v>
      </c>
      <c r="N113" s="27" t="s">
        <v>695</v>
      </c>
      <c r="O113" s="30" t="s">
        <v>694</v>
      </c>
      <c r="P113" s="27" t="s">
        <v>693</v>
      </c>
      <c r="Q113" s="27"/>
      <c r="R113" s="27" t="s">
        <v>692</v>
      </c>
      <c r="S113" s="27" t="s">
        <v>691</v>
      </c>
      <c r="T113" s="27"/>
      <c r="U113" s="18" t="e">
        <f>数据库!#REF!</f>
        <v>#REF!</v>
      </c>
      <c r="V113" s="33" t="s">
        <v>711</v>
      </c>
    </row>
    <row r="114" spans="1:22" ht="22.5">
      <c r="A114" s="30" t="s">
        <v>697</v>
      </c>
      <c r="B114" s="30" t="e">
        <f>数据库!#REF!&amp;"号楼"</f>
        <v>#REF!</v>
      </c>
      <c r="C114" s="30" t="e">
        <f>NUMBERSTRING(数据库!#REF!,3)&amp;"单元"</f>
        <v>#REF!</v>
      </c>
      <c r="D114" s="30" t="e">
        <f>数据库!#REF!</f>
        <v>#REF!</v>
      </c>
      <c r="E114" s="30" t="e">
        <f t="shared" si="1"/>
        <v>#REF!</v>
      </c>
      <c r="F114" s="30"/>
      <c r="G114" s="30"/>
      <c r="H114" s="31" t="s">
        <v>696</v>
      </c>
      <c r="I114" s="27"/>
      <c r="J114" s="27"/>
      <c r="K114" s="27"/>
      <c r="L114" s="27"/>
      <c r="M114" s="18" t="e">
        <f>数据库!#REF!</f>
        <v>#REF!</v>
      </c>
      <c r="N114" s="27" t="s">
        <v>695</v>
      </c>
      <c r="O114" s="30" t="s">
        <v>694</v>
      </c>
      <c r="P114" s="27" t="s">
        <v>693</v>
      </c>
      <c r="Q114" s="27"/>
      <c r="R114" s="27" t="s">
        <v>692</v>
      </c>
      <c r="S114" s="27" t="s">
        <v>691</v>
      </c>
      <c r="T114" s="27"/>
      <c r="U114" s="18" t="e">
        <f>数据库!#REF!</f>
        <v>#REF!</v>
      </c>
      <c r="V114" s="33" t="s">
        <v>711</v>
      </c>
    </row>
    <row r="115" spans="1:22" ht="22.5">
      <c r="A115" s="30" t="s">
        <v>697</v>
      </c>
      <c r="B115" s="30" t="e">
        <f>数据库!#REF!&amp;"号楼"</f>
        <v>#REF!</v>
      </c>
      <c r="C115" s="30" t="e">
        <f>NUMBERSTRING(数据库!#REF!,3)&amp;"单元"</f>
        <v>#REF!</v>
      </c>
      <c r="D115" s="30" t="e">
        <f>数据库!#REF!</f>
        <v>#REF!</v>
      </c>
      <c r="E115" s="30" t="e">
        <f t="shared" si="1"/>
        <v>#REF!</v>
      </c>
      <c r="F115" s="30"/>
      <c r="G115" s="30"/>
      <c r="H115" s="31" t="s">
        <v>696</v>
      </c>
      <c r="I115" s="27"/>
      <c r="J115" s="27"/>
      <c r="K115" s="27"/>
      <c r="L115" s="27"/>
      <c r="M115" s="18" t="e">
        <f>数据库!#REF!</f>
        <v>#REF!</v>
      </c>
      <c r="N115" s="27" t="s">
        <v>695</v>
      </c>
      <c r="O115" s="30" t="s">
        <v>694</v>
      </c>
      <c r="P115" s="27" t="s">
        <v>693</v>
      </c>
      <c r="Q115" s="27"/>
      <c r="R115" s="27" t="s">
        <v>692</v>
      </c>
      <c r="S115" s="27" t="s">
        <v>691</v>
      </c>
      <c r="T115" s="27"/>
      <c r="U115" s="18" t="e">
        <f>数据库!#REF!</f>
        <v>#REF!</v>
      </c>
      <c r="V115" s="33" t="s">
        <v>711</v>
      </c>
    </row>
    <row r="116" spans="1:22" ht="22.5">
      <c r="A116" s="30" t="s">
        <v>697</v>
      </c>
      <c r="B116" s="30" t="e">
        <f>数据库!#REF!&amp;"号楼"</f>
        <v>#REF!</v>
      </c>
      <c r="C116" s="30" t="e">
        <f>NUMBERSTRING(数据库!#REF!,3)&amp;"单元"</f>
        <v>#REF!</v>
      </c>
      <c r="D116" s="30" t="e">
        <f>数据库!#REF!</f>
        <v>#REF!</v>
      </c>
      <c r="E116" s="30" t="e">
        <f t="shared" si="1"/>
        <v>#REF!</v>
      </c>
      <c r="F116" s="30"/>
      <c r="G116" s="30"/>
      <c r="H116" s="31" t="s">
        <v>696</v>
      </c>
      <c r="I116" s="27"/>
      <c r="J116" s="27"/>
      <c r="K116" s="27"/>
      <c r="L116" s="27"/>
      <c r="M116" s="18" t="e">
        <f>数据库!#REF!</f>
        <v>#REF!</v>
      </c>
      <c r="N116" s="27" t="s">
        <v>695</v>
      </c>
      <c r="O116" s="30" t="s">
        <v>694</v>
      </c>
      <c r="P116" s="27" t="s">
        <v>693</v>
      </c>
      <c r="Q116" s="27"/>
      <c r="R116" s="27" t="s">
        <v>692</v>
      </c>
      <c r="S116" s="27" t="s">
        <v>691</v>
      </c>
      <c r="T116" s="27"/>
      <c r="U116" s="18" t="e">
        <f>数据库!#REF!</f>
        <v>#REF!</v>
      </c>
      <c r="V116" s="33" t="s">
        <v>711</v>
      </c>
    </row>
    <row r="117" spans="1:22" ht="22.5">
      <c r="A117" s="30" t="s">
        <v>697</v>
      </c>
      <c r="B117" s="30" t="e">
        <f>数据库!#REF!&amp;"号楼"</f>
        <v>#REF!</v>
      </c>
      <c r="C117" s="30" t="e">
        <f>NUMBERSTRING(数据库!#REF!,3)&amp;"单元"</f>
        <v>#REF!</v>
      </c>
      <c r="D117" s="30" t="e">
        <f>数据库!#REF!</f>
        <v>#REF!</v>
      </c>
      <c r="E117" s="30" t="e">
        <f t="shared" si="1"/>
        <v>#REF!</v>
      </c>
      <c r="F117" s="30"/>
      <c r="G117" s="30"/>
      <c r="H117" s="31" t="s">
        <v>696</v>
      </c>
      <c r="I117" s="27"/>
      <c r="J117" s="27"/>
      <c r="K117" s="27"/>
      <c r="L117" s="27"/>
      <c r="M117" s="18" t="e">
        <f>数据库!#REF!</f>
        <v>#REF!</v>
      </c>
      <c r="N117" s="27" t="s">
        <v>695</v>
      </c>
      <c r="O117" s="30" t="s">
        <v>694</v>
      </c>
      <c r="P117" s="27" t="s">
        <v>693</v>
      </c>
      <c r="Q117" s="27"/>
      <c r="R117" s="27" t="s">
        <v>692</v>
      </c>
      <c r="S117" s="27" t="s">
        <v>691</v>
      </c>
      <c r="T117" s="27"/>
      <c r="U117" s="18" t="e">
        <f>数据库!#REF!</f>
        <v>#REF!</v>
      </c>
      <c r="V117" s="33" t="s">
        <v>711</v>
      </c>
    </row>
    <row r="118" spans="1:22" ht="22.5">
      <c r="A118" s="30" t="s">
        <v>697</v>
      </c>
      <c r="B118" s="30" t="e">
        <f>数据库!#REF!&amp;"号楼"</f>
        <v>#REF!</v>
      </c>
      <c r="C118" s="30" t="e">
        <f>NUMBERSTRING(数据库!#REF!,3)&amp;"单元"</f>
        <v>#REF!</v>
      </c>
      <c r="D118" s="30" t="e">
        <f>数据库!#REF!</f>
        <v>#REF!</v>
      </c>
      <c r="E118" s="30" t="e">
        <f t="shared" si="1"/>
        <v>#REF!</v>
      </c>
      <c r="F118" s="30"/>
      <c r="G118" s="30"/>
      <c r="H118" s="31" t="s">
        <v>696</v>
      </c>
      <c r="I118" s="27"/>
      <c r="J118" s="27"/>
      <c r="K118" s="27"/>
      <c r="L118" s="27"/>
      <c r="M118" s="18" t="e">
        <f>数据库!#REF!</f>
        <v>#REF!</v>
      </c>
      <c r="N118" s="27" t="s">
        <v>695</v>
      </c>
      <c r="O118" s="30" t="s">
        <v>694</v>
      </c>
      <c r="P118" s="27" t="s">
        <v>693</v>
      </c>
      <c r="Q118" s="27"/>
      <c r="R118" s="27" t="s">
        <v>692</v>
      </c>
      <c r="S118" s="27" t="s">
        <v>691</v>
      </c>
      <c r="T118" s="27"/>
      <c r="U118" s="18" t="e">
        <f>数据库!#REF!</f>
        <v>#REF!</v>
      </c>
      <c r="V118" s="33" t="s">
        <v>711</v>
      </c>
    </row>
    <row r="119" spans="1:22" ht="22.5">
      <c r="A119" s="30" t="s">
        <v>697</v>
      </c>
      <c r="B119" s="30" t="e">
        <f>数据库!#REF!&amp;"号楼"</f>
        <v>#REF!</v>
      </c>
      <c r="C119" s="30" t="e">
        <f>NUMBERSTRING(数据库!#REF!,3)&amp;"单元"</f>
        <v>#REF!</v>
      </c>
      <c r="D119" s="30" t="e">
        <f>数据库!#REF!</f>
        <v>#REF!</v>
      </c>
      <c r="E119" s="30" t="e">
        <f t="shared" si="1"/>
        <v>#REF!</v>
      </c>
      <c r="F119" s="30"/>
      <c r="G119" s="30"/>
      <c r="H119" s="31" t="s">
        <v>696</v>
      </c>
      <c r="I119" s="27"/>
      <c r="J119" s="27"/>
      <c r="K119" s="27"/>
      <c r="L119" s="27"/>
      <c r="M119" s="18" t="e">
        <f>数据库!#REF!</f>
        <v>#REF!</v>
      </c>
      <c r="N119" s="27" t="s">
        <v>695</v>
      </c>
      <c r="O119" s="30" t="s">
        <v>694</v>
      </c>
      <c r="P119" s="27" t="s">
        <v>693</v>
      </c>
      <c r="Q119" s="27"/>
      <c r="R119" s="27" t="s">
        <v>692</v>
      </c>
      <c r="S119" s="27" t="s">
        <v>691</v>
      </c>
      <c r="T119" s="27"/>
      <c r="U119" s="18" t="e">
        <f>数据库!#REF!</f>
        <v>#REF!</v>
      </c>
      <c r="V119" s="33" t="s">
        <v>711</v>
      </c>
    </row>
    <row r="120" spans="1:22" ht="22.5">
      <c r="A120" s="30" t="s">
        <v>697</v>
      </c>
      <c r="B120" s="30" t="e">
        <f>数据库!#REF!&amp;"号楼"</f>
        <v>#REF!</v>
      </c>
      <c r="C120" s="30" t="e">
        <f>NUMBERSTRING(数据库!#REF!,3)&amp;"单元"</f>
        <v>#REF!</v>
      </c>
      <c r="D120" s="30" t="e">
        <f>数据库!#REF!</f>
        <v>#REF!</v>
      </c>
      <c r="E120" s="30" t="e">
        <f t="shared" si="1"/>
        <v>#REF!</v>
      </c>
      <c r="F120" s="30"/>
      <c r="G120" s="30"/>
      <c r="H120" s="31" t="s">
        <v>696</v>
      </c>
      <c r="I120" s="27"/>
      <c r="J120" s="27"/>
      <c r="K120" s="27"/>
      <c r="L120" s="27"/>
      <c r="M120" s="18" t="e">
        <f>数据库!#REF!</f>
        <v>#REF!</v>
      </c>
      <c r="N120" s="27" t="s">
        <v>695</v>
      </c>
      <c r="O120" s="30" t="s">
        <v>694</v>
      </c>
      <c r="P120" s="27" t="s">
        <v>693</v>
      </c>
      <c r="Q120" s="27"/>
      <c r="R120" s="27" t="s">
        <v>692</v>
      </c>
      <c r="S120" s="27" t="s">
        <v>691</v>
      </c>
      <c r="T120" s="27"/>
      <c r="U120" s="18" t="e">
        <f>数据库!#REF!</f>
        <v>#REF!</v>
      </c>
      <c r="V120" s="33" t="s">
        <v>711</v>
      </c>
    </row>
    <row r="121" spans="1:22" ht="22.5">
      <c r="A121" s="30" t="s">
        <v>697</v>
      </c>
      <c r="B121" s="30" t="e">
        <f>数据库!#REF!&amp;"号楼"</f>
        <v>#REF!</v>
      </c>
      <c r="C121" s="30" t="e">
        <f>NUMBERSTRING(数据库!#REF!,3)&amp;"单元"</f>
        <v>#REF!</v>
      </c>
      <c r="D121" s="30" t="e">
        <f>数据库!#REF!</f>
        <v>#REF!</v>
      </c>
      <c r="E121" s="30" t="e">
        <f t="shared" si="1"/>
        <v>#REF!</v>
      </c>
      <c r="F121" s="30"/>
      <c r="G121" s="30"/>
      <c r="H121" s="31" t="s">
        <v>696</v>
      </c>
      <c r="I121" s="27"/>
      <c r="J121" s="27"/>
      <c r="K121" s="27"/>
      <c r="L121" s="27"/>
      <c r="M121" s="18" t="e">
        <f>数据库!#REF!</f>
        <v>#REF!</v>
      </c>
      <c r="N121" s="27" t="s">
        <v>695</v>
      </c>
      <c r="O121" s="30" t="s">
        <v>694</v>
      </c>
      <c r="P121" s="27" t="s">
        <v>693</v>
      </c>
      <c r="Q121" s="27"/>
      <c r="R121" s="27" t="s">
        <v>692</v>
      </c>
      <c r="S121" s="27" t="s">
        <v>691</v>
      </c>
      <c r="T121" s="27"/>
      <c r="U121" s="18" t="e">
        <f>数据库!#REF!</f>
        <v>#REF!</v>
      </c>
      <c r="V121" s="33" t="s">
        <v>711</v>
      </c>
    </row>
    <row r="122" spans="1:22" ht="22.5">
      <c r="A122" s="30" t="s">
        <v>697</v>
      </c>
      <c r="B122" s="30" t="e">
        <f>数据库!#REF!&amp;"号楼"</f>
        <v>#REF!</v>
      </c>
      <c r="C122" s="30" t="e">
        <f>NUMBERSTRING(数据库!#REF!,3)&amp;"单元"</f>
        <v>#REF!</v>
      </c>
      <c r="D122" s="30" t="e">
        <f>数据库!#REF!</f>
        <v>#REF!</v>
      </c>
      <c r="E122" s="30" t="e">
        <f t="shared" si="1"/>
        <v>#REF!</v>
      </c>
      <c r="F122" s="30"/>
      <c r="G122" s="30"/>
      <c r="H122" s="31" t="s">
        <v>696</v>
      </c>
      <c r="I122" s="27"/>
      <c r="J122" s="27"/>
      <c r="K122" s="27"/>
      <c r="L122" s="27"/>
      <c r="M122" s="18" t="e">
        <f>数据库!#REF!</f>
        <v>#REF!</v>
      </c>
      <c r="N122" s="27" t="s">
        <v>695</v>
      </c>
      <c r="O122" s="30" t="s">
        <v>694</v>
      </c>
      <c r="P122" s="27" t="s">
        <v>693</v>
      </c>
      <c r="Q122" s="27"/>
      <c r="R122" s="27" t="s">
        <v>692</v>
      </c>
      <c r="S122" s="27" t="s">
        <v>691</v>
      </c>
      <c r="T122" s="27"/>
      <c r="U122" s="18" t="e">
        <f>数据库!#REF!</f>
        <v>#REF!</v>
      </c>
      <c r="V122" s="33" t="s">
        <v>711</v>
      </c>
    </row>
    <row r="123" spans="1:22" ht="22.5">
      <c r="A123" s="30" t="s">
        <v>697</v>
      </c>
      <c r="B123" s="30" t="e">
        <f>数据库!#REF!&amp;"号楼"</f>
        <v>#REF!</v>
      </c>
      <c r="C123" s="30" t="e">
        <f>NUMBERSTRING(数据库!#REF!,3)&amp;"单元"</f>
        <v>#REF!</v>
      </c>
      <c r="D123" s="30" t="e">
        <f>数据库!#REF!</f>
        <v>#REF!</v>
      </c>
      <c r="E123" s="30" t="e">
        <f t="shared" si="1"/>
        <v>#REF!</v>
      </c>
      <c r="F123" s="30"/>
      <c r="G123" s="30"/>
      <c r="H123" s="31" t="s">
        <v>696</v>
      </c>
      <c r="I123" s="27"/>
      <c r="J123" s="27"/>
      <c r="K123" s="27"/>
      <c r="L123" s="27"/>
      <c r="M123" s="18" t="e">
        <f>数据库!#REF!</f>
        <v>#REF!</v>
      </c>
      <c r="N123" s="27" t="s">
        <v>695</v>
      </c>
      <c r="O123" s="30" t="s">
        <v>694</v>
      </c>
      <c r="P123" s="27" t="s">
        <v>693</v>
      </c>
      <c r="Q123" s="27"/>
      <c r="R123" s="27" t="s">
        <v>692</v>
      </c>
      <c r="S123" s="27" t="s">
        <v>691</v>
      </c>
      <c r="T123" s="27"/>
      <c r="U123" s="18" t="e">
        <f>数据库!#REF!</f>
        <v>#REF!</v>
      </c>
      <c r="V123" s="33" t="s">
        <v>711</v>
      </c>
    </row>
    <row r="124" spans="1:22" ht="22.5">
      <c r="A124" s="30" t="s">
        <v>697</v>
      </c>
      <c r="B124" s="30" t="e">
        <f>数据库!#REF!&amp;"号楼"</f>
        <v>#REF!</v>
      </c>
      <c r="C124" s="30" t="e">
        <f>NUMBERSTRING(数据库!#REF!,3)&amp;"单元"</f>
        <v>#REF!</v>
      </c>
      <c r="D124" s="30" t="e">
        <f>数据库!#REF!</f>
        <v>#REF!</v>
      </c>
      <c r="E124" s="30" t="e">
        <f t="shared" si="1"/>
        <v>#REF!</v>
      </c>
      <c r="F124" s="30"/>
      <c r="G124" s="30"/>
      <c r="H124" s="31" t="s">
        <v>696</v>
      </c>
      <c r="I124" s="27"/>
      <c r="J124" s="27"/>
      <c r="K124" s="27"/>
      <c r="L124" s="27"/>
      <c r="M124" s="18" t="e">
        <f>数据库!#REF!</f>
        <v>#REF!</v>
      </c>
      <c r="N124" s="27" t="s">
        <v>695</v>
      </c>
      <c r="O124" s="30" t="s">
        <v>694</v>
      </c>
      <c r="P124" s="27" t="s">
        <v>693</v>
      </c>
      <c r="Q124" s="27"/>
      <c r="R124" s="27" t="s">
        <v>692</v>
      </c>
      <c r="S124" s="27" t="s">
        <v>691</v>
      </c>
      <c r="T124" s="27"/>
      <c r="U124" s="18" t="e">
        <f>数据库!#REF!</f>
        <v>#REF!</v>
      </c>
      <c r="V124" s="33" t="s">
        <v>711</v>
      </c>
    </row>
    <row r="125" spans="1:22" ht="22.5">
      <c r="A125" s="30" t="s">
        <v>697</v>
      </c>
      <c r="B125" s="30" t="e">
        <f>数据库!#REF!&amp;"号楼"</f>
        <v>#REF!</v>
      </c>
      <c r="C125" s="30" t="e">
        <f>NUMBERSTRING(数据库!#REF!,3)&amp;"单元"</f>
        <v>#REF!</v>
      </c>
      <c r="D125" s="30" t="e">
        <f>数据库!#REF!</f>
        <v>#REF!</v>
      </c>
      <c r="E125" s="30" t="e">
        <f t="shared" si="1"/>
        <v>#REF!</v>
      </c>
      <c r="F125" s="30"/>
      <c r="G125" s="30"/>
      <c r="H125" s="31" t="s">
        <v>696</v>
      </c>
      <c r="I125" s="27"/>
      <c r="J125" s="27"/>
      <c r="K125" s="27"/>
      <c r="L125" s="27"/>
      <c r="M125" s="18" t="e">
        <f>数据库!#REF!</f>
        <v>#REF!</v>
      </c>
      <c r="N125" s="27" t="s">
        <v>695</v>
      </c>
      <c r="O125" s="30" t="s">
        <v>694</v>
      </c>
      <c r="P125" s="27" t="s">
        <v>693</v>
      </c>
      <c r="Q125" s="27"/>
      <c r="R125" s="27" t="s">
        <v>692</v>
      </c>
      <c r="S125" s="27" t="s">
        <v>691</v>
      </c>
      <c r="T125" s="27"/>
      <c r="U125" s="18" t="e">
        <f>数据库!#REF!</f>
        <v>#REF!</v>
      </c>
      <c r="V125" s="33" t="s">
        <v>711</v>
      </c>
    </row>
    <row r="126" spans="1:22" ht="22.5">
      <c r="A126" s="30" t="s">
        <v>697</v>
      </c>
      <c r="B126" s="30" t="e">
        <f>数据库!#REF!&amp;"号楼"</f>
        <v>#REF!</v>
      </c>
      <c r="C126" s="30" t="e">
        <f>NUMBERSTRING(数据库!#REF!,3)&amp;"单元"</f>
        <v>#REF!</v>
      </c>
      <c r="D126" s="30" t="e">
        <f>数据库!#REF!</f>
        <v>#REF!</v>
      </c>
      <c r="E126" s="30" t="e">
        <f t="shared" si="1"/>
        <v>#REF!</v>
      </c>
      <c r="F126" s="30"/>
      <c r="G126" s="30"/>
      <c r="H126" s="31" t="s">
        <v>696</v>
      </c>
      <c r="I126" s="27"/>
      <c r="J126" s="27"/>
      <c r="K126" s="27"/>
      <c r="L126" s="27"/>
      <c r="M126" s="18" t="e">
        <f>数据库!#REF!</f>
        <v>#REF!</v>
      </c>
      <c r="N126" s="27" t="s">
        <v>695</v>
      </c>
      <c r="O126" s="30" t="s">
        <v>694</v>
      </c>
      <c r="P126" s="27" t="s">
        <v>693</v>
      </c>
      <c r="Q126" s="27"/>
      <c r="R126" s="27" t="s">
        <v>692</v>
      </c>
      <c r="S126" s="27" t="s">
        <v>691</v>
      </c>
      <c r="T126" s="27"/>
      <c r="U126" s="18" t="e">
        <f>数据库!#REF!</f>
        <v>#REF!</v>
      </c>
      <c r="V126" s="33" t="s">
        <v>711</v>
      </c>
    </row>
    <row r="127" spans="1:22" ht="22.5">
      <c r="A127" s="30" t="s">
        <v>697</v>
      </c>
      <c r="B127" s="30" t="e">
        <f>数据库!#REF!&amp;"号楼"</f>
        <v>#REF!</v>
      </c>
      <c r="C127" s="30" t="e">
        <f>NUMBERSTRING(数据库!#REF!,3)&amp;"单元"</f>
        <v>#REF!</v>
      </c>
      <c r="D127" s="30" t="e">
        <f>数据库!#REF!</f>
        <v>#REF!</v>
      </c>
      <c r="E127" s="30" t="e">
        <f t="shared" si="1"/>
        <v>#REF!</v>
      </c>
      <c r="F127" s="30"/>
      <c r="G127" s="30"/>
      <c r="H127" s="31" t="s">
        <v>696</v>
      </c>
      <c r="I127" s="27"/>
      <c r="J127" s="27"/>
      <c r="K127" s="27"/>
      <c r="L127" s="27"/>
      <c r="M127" s="18" t="e">
        <f>数据库!#REF!</f>
        <v>#REF!</v>
      </c>
      <c r="N127" s="27" t="s">
        <v>695</v>
      </c>
      <c r="O127" s="30" t="s">
        <v>694</v>
      </c>
      <c r="P127" s="27" t="s">
        <v>693</v>
      </c>
      <c r="Q127" s="27"/>
      <c r="R127" s="27" t="s">
        <v>692</v>
      </c>
      <c r="S127" s="27" t="s">
        <v>691</v>
      </c>
      <c r="T127" s="27"/>
      <c r="U127" s="18" t="e">
        <f>数据库!#REF!</f>
        <v>#REF!</v>
      </c>
      <c r="V127" s="33" t="s">
        <v>711</v>
      </c>
    </row>
    <row r="128" spans="1:22" ht="22.5">
      <c r="A128" s="30" t="s">
        <v>697</v>
      </c>
      <c r="B128" s="30" t="e">
        <f>数据库!#REF!&amp;"号楼"</f>
        <v>#REF!</v>
      </c>
      <c r="C128" s="30" t="e">
        <f>NUMBERSTRING(数据库!#REF!,3)&amp;"单元"</f>
        <v>#REF!</v>
      </c>
      <c r="D128" s="30" t="e">
        <f>数据库!#REF!</f>
        <v>#REF!</v>
      </c>
      <c r="E128" s="30" t="e">
        <f t="shared" si="1"/>
        <v>#REF!</v>
      </c>
      <c r="F128" s="30"/>
      <c r="G128" s="30"/>
      <c r="H128" s="31" t="s">
        <v>696</v>
      </c>
      <c r="I128" s="27"/>
      <c r="J128" s="27"/>
      <c r="K128" s="27"/>
      <c r="L128" s="27"/>
      <c r="M128" s="18" t="e">
        <f>数据库!#REF!</f>
        <v>#REF!</v>
      </c>
      <c r="N128" s="27" t="s">
        <v>695</v>
      </c>
      <c r="O128" s="30" t="s">
        <v>694</v>
      </c>
      <c r="P128" s="27" t="s">
        <v>693</v>
      </c>
      <c r="Q128" s="27"/>
      <c r="R128" s="27" t="s">
        <v>692</v>
      </c>
      <c r="S128" s="27" t="s">
        <v>691</v>
      </c>
      <c r="T128" s="27"/>
      <c r="U128" s="18" t="e">
        <f>数据库!#REF!</f>
        <v>#REF!</v>
      </c>
      <c r="V128" s="33" t="s">
        <v>711</v>
      </c>
    </row>
    <row r="129" spans="1:22" ht="22.5">
      <c r="A129" s="30" t="s">
        <v>697</v>
      </c>
      <c r="B129" s="30" t="e">
        <f>数据库!#REF!&amp;"号楼"</f>
        <v>#REF!</v>
      </c>
      <c r="C129" s="30" t="e">
        <f>NUMBERSTRING(数据库!#REF!,3)&amp;"单元"</f>
        <v>#REF!</v>
      </c>
      <c r="D129" s="30" t="e">
        <f>数据库!#REF!</f>
        <v>#REF!</v>
      </c>
      <c r="E129" s="30" t="e">
        <f t="shared" si="1"/>
        <v>#REF!</v>
      </c>
      <c r="F129" s="30"/>
      <c r="G129" s="30"/>
      <c r="H129" s="31" t="s">
        <v>696</v>
      </c>
      <c r="I129" s="27"/>
      <c r="J129" s="27"/>
      <c r="K129" s="27"/>
      <c r="L129" s="27"/>
      <c r="M129" s="18" t="e">
        <f>数据库!#REF!</f>
        <v>#REF!</v>
      </c>
      <c r="N129" s="27" t="s">
        <v>695</v>
      </c>
      <c r="O129" s="30" t="s">
        <v>694</v>
      </c>
      <c r="P129" s="27" t="s">
        <v>693</v>
      </c>
      <c r="Q129" s="27"/>
      <c r="R129" s="27" t="s">
        <v>692</v>
      </c>
      <c r="S129" s="27" t="s">
        <v>691</v>
      </c>
      <c r="T129" s="27"/>
      <c r="U129" s="18" t="e">
        <f>数据库!#REF!</f>
        <v>#REF!</v>
      </c>
      <c r="V129" s="33" t="s">
        <v>711</v>
      </c>
    </row>
    <row r="130" spans="1:22" ht="22.5">
      <c r="A130" s="30" t="s">
        <v>697</v>
      </c>
      <c r="B130" s="30" t="e">
        <f>数据库!#REF!&amp;"号楼"</f>
        <v>#REF!</v>
      </c>
      <c r="C130" s="30" t="e">
        <f>NUMBERSTRING(数据库!#REF!,3)&amp;"单元"</f>
        <v>#REF!</v>
      </c>
      <c r="D130" s="30" t="e">
        <f>数据库!#REF!</f>
        <v>#REF!</v>
      </c>
      <c r="E130" s="30" t="e">
        <f t="shared" si="1"/>
        <v>#REF!</v>
      </c>
      <c r="F130" s="30"/>
      <c r="G130" s="30"/>
      <c r="H130" s="31" t="s">
        <v>696</v>
      </c>
      <c r="I130" s="27"/>
      <c r="J130" s="27"/>
      <c r="K130" s="27"/>
      <c r="L130" s="27"/>
      <c r="M130" s="18" t="e">
        <f>数据库!#REF!</f>
        <v>#REF!</v>
      </c>
      <c r="N130" s="27" t="s">
        <v>695</v>
      </c>
      <c r="O130" s="30" t="s">
        <v>694</v>
      </c>
      <c r="P130" s="27" t="s">
        <v>693</v>
      </c>
      <c r="Q130" s="27"/>
      <c r="R130" s="27" t="s">
        <v>692</v>
      </c>
      <c r="S130" s="27" t="s">
        <v>691</v>
      </c>
      <c r="T130" s="27"/>
      <c r="U130" s="18" t="e">
        <f>数据库!#REF!</f>
        <v>#REF!</v>
      </c>
      <c r="V130" s="33" t="s">
        <v>711</v>
      </c>
    </row>
    <row r="131" spans="1:22" ht="22.5">
      <c r="A131" s="30" t="s">
        <v>697</v>
      </c>
      <c r="B131" s="30" t="e">
        <f>数据库!#REF!&amp;"号楼"</f>
        <v>#REF!</v>
      </c>
      <c r="C131" s="30" t="e">
        <f>NUMBERSTRING(数据库!#REF!,3)&amp;"单元"</f>
        <v>#REF!</v>
      </c>
      <c r="D131" s="30" t="e">
        <f>数据库!#REF!</f>
        <v>#REF!</v>
      </c>
      <c r="E131" s="30" t="e">
        <f t="shared" si="1"/>
        <v>#REF!</v>
      </c>
      <c r="F131" s="30"/>
      <c r="G131" s="30"/>
      <c r="H131" s="31" t="s">
        <v>696</v>
      </c>
      <c r="I131" s="27"/>
      <c r="J131" s="27"/>
      <c r="K131" s="27"/>
      <c r="L131" s="27"/>
      <c r="M131" s="18" t="e">
        <f>数据库!#REF!</f>
        <v>#REF!</v>
      </c>
      <c r="N131" s="27" t="s">
        <v>695</v>
      </c>
      <c r="O131" s="30" t="s">
        <v>694</v>
      </c>
      <c r="P131" s="27" t="s">
        <v>693</v>
      </c>
      <c r="Q131" s="27"/>
      <c r="R131" s="27" t="s">
        <v>692</v>
      </c>
      <c r="S131" s="27" t="s">
        <v>691</v>
      </c>
      <c r="T131" s="27"/>
      <c r="U131" s="18" t="e">
        <f>数据库!#REF!</f>
        <v>#REF!</v>
      </c>
      <c r="V131" s="33" t="s">
        <v>711</v>
      </c>
    </row>
    <row r="132" spans="1:22" ht="22.5">
      <c r="A132" s="30" t="s">
        <v>697</v>
      </c>
      <c r="B132" s="30" t="e">
        <f>数据库!#REF!&amp;"号楼"</f>
        <v>#REF!</v>
      </c>
      <c r="C132" s="30" t="e">
        <f>NUMBERSTRING(数据库!#REF!,3)&amp;"单元"</f>
        <v>#REF!</v>
      </c>
      <c r="D132" s="30" t="e">
        <f>数据库!#REF!</f>
        <v>#REF!</v>
      </c>
      <c r="E132" s="30" t="e">
        <f t="shared" si="1"/>
        <v>#REF!</v>
      </c>
      <c r="F132" s="30"/>
      <c r="G132" s="30"/>
      <c r="H132" s="31" t="s">
        <v>696</v>
      </c>
      <c r="I132" s="27"/>
      <c r="J132" s="27"/>
      <c r="K132" s="27"/>
      <c r="L132" s="27"/>
      <c r="M132" s="18" t="e">
        <f>数据库!#REF!</f>
        <v>#REF!</v>
      </c>
      <c r="N132" s="27" t="s">
        <v>695</v>
      </c>
      <c r="O132" s="30" t="s">
        <v>694</v>
      </c>
      <c r="P132" s="27" t="s">
        <v>693</v>
      </c>
      <c r="Q132" s="27"/>
      <c r="R132" s="27" t="s">
        <v>692</v>
      </c>
      <c r="S132" s="27" t="s">
        <v>691</v>
      </c>
      <c r="T132" s="27"/>
      <c r="U132" s="18" t="e">
        <f>数据库!#REF!</f>
        <v>#REF!</v>
      </c>
      <c r="V132" s="33" t="s">
        <v>711</v>
      </c>
    </row>
    <row r="133" spans="1:22" ht="22.5">
      <c r="A133" s="30" t="s">
        <v>697</v>
      </c>
      <c r="B133" s="30" t="e">
        <f>数据库!#REF!&amp;"号楼"</f>
        <v>#REF!</v>
      </c>
      <c r="C133" s="30" t="e">
        <f>NUMBERSTRING(数据库!#REF!,3)&amp;"单元"</f>
        <v>#REF!</v>
      </c>
      <c r="D133" s="30" t="e">
        <f>数据库!#REF!</f>
        <v>#REF!</v>
      </c>
      <c r="E133" s="30" t="e">
        <f t="shared" ref="E133:E153" si="2">D133</f>
        <v>#REF!</v>
      </c>
      <c r="F133" s="30"/>
      <c r="G133" s="30"/>
      <c r="H133" s="31" t="s">
        <v>696</v>
      </c>
      <c r="I133" s="27"/>
      <c r="J133" s="27"/>
      <c r="K133" s="27"/>
      <c r="L133" s="27"/>
      <c r="M133" s="18" t="e">
        <f>数据库!#REF!</f>
        <v>#REF!</v>
      </c>
      <c r="N133" s="27" t="s">
        <v>695</v>
      </c>
      <c r="O133" s="30" t="s">
        <v>694</v>
      </c>
      <c r="P133" s="27" t="s">
        <v>693</v>
      </c>
      <c r="Q133" s="27"/>
      <c r="R133" s="27" t="s">
        <v>692</v>
      </c>
      <c r="S133" s="27" t="s">
        <v>691</v>
      </c>
      <c r="T133" s="27"/>
      <c r="U133" s="18" t="e">
        <f>数据库!#REF!</f>
        <v>#REF!</v>
      </c>
      <c r="V133" s="33" t="s">
        <v>711</v>
      </c>
    </row>
    <row r="134" spans="1:22" ht="22.5">
      <c r="A134" s="30" t="s">
        <v>697</v>
      </c>
      <c r="B134" s="30" t="e">
        <f>数据库!#REF!&amp;"号楼"</f>
        <v>#REF!</v>
      </c>
      <c r="C134" s="30" t="e">
        <f>NUMBERSTRING(数据库!#REF!,3)&amp;"单元"</f>
        <v>#REF!</v>
      </c>
      <c r="D134" s="30" t="e">
        <f>数据库!#REF!</f>
        <v>#REF!</v>
      </c>
      <c r="E134" s="30" t="e">
        <f t="shared" si="2"/>
        <v>#REF!</v>
      </c>
      <c r="F134" s="30"/>
      <c r="G134" s="30"/>
      <c r="H134" s="31" t="s">
        <v>696</v>
      </c>
      <c r="I134" s="27"/>
      <c r="J134" s="27"/>
      <c r="K134" s="27"/>
      <c r="L134" s="27"/>
      <c r="M134" s="18" t="e">
        <f>数据库!#REF!</f>
        <v>#REF!</v>
      </c>
      <c r="N134" s="27" t="s">
        <v>695</v>
      </c>
      <c r="O134" s="30" t="s">
        <v>694</v>
      </c>
      <c r="P134" s="27" t="s">
        <v>693</v>
      </c>
      <c r="Q134" s="27"/>
      <c r="R134" s="27" t="s">
        <v>692</v>
      </c>
      <c r="S134" s="27" t="s">
        <v>691</v>
      </c>
      <c r="T134" s="27"/>
      <c r="U134" s="18" t="e">
        <f>数据库!#REF!</f>
        <v>#REF!</v>
      </c>
      <c r="V134" s="33" t="s">
        <v>711</v>
      </c>
    </row>
    <row r="135" spans="1:22" ht="22.5">
      <c r="A135" s="30" t="s">
        <v>697</v>
      </c>
      <c r="B135" s="30" t="e">
        <f>数据库!#REF!&amp;"号楼"</f>
        <v>#REF!</v>
      </c>
      <c r="C135" s="30" t="e">
        <f>NUMBERSTRING(数据库!#REF!,3)&amp;"单元"</f>
        <v>#REF!</v>
      </c>
      <c r="D135" s="30" t="e">
        <f>数据库!#REF!</f>
        <v>#REF!</v>
      </c>
      <c r="E135" s="30" t="e">
        <f t="shared" si="2"/>
        <v>#REF!</v>
      </c>
      <c r="F135" s="30"/>
      <c r="G135" s="30"/>
      <c r="H135" s="31" t="s">
        <v>696</v>
      </c>
      <c r="I135" s="27"/>
      <c r="J135" s="27"/>
      <c r="K135" s="27"/>
      <c r="L135" s="27"/>
      <c r="M135" s="18" t="e">
        <f>数据库!#REF!</f>
        <v>#REF!</v>
      </c>
      <c r="N135" s="27" t="s">
        <v>695</v>
      </c>
      <c r="O135" s="30" t="s">
        <v>694</v>
      </c>
      <c r="P135" s="27" t="s">
        <v>693</v>
      </c>
      <c r="Q135" s="27"/>
      <c r="R135" s="27" t="s">
        <v>692</v>
      </c>
      <c r="S135" s="27" t="s">
        <v>691</v>
      </c>
      <c r="T135" s="27"/>
      <c r="U135" s="18" t="e">
        <f>数据库!#REF!</f>
        <v>#REF!</v>
      </c>
      <c r="V135" s="33" t="s">
        <v>711</v>
      </c>
    </row>
    <row r="136" spans="1:22" ht="22.5">
      <c r="A136" s="30" t="s">
        <v>697</v>
      </c>
      <c r="B136" s="30" t="e">
        <f>数据库!#REF!&amp;"号楼"</f>
        <v>#REF!</v>
      </c>
      <c r="C136" s="30" t="e">
        <f>NUMBERSTRING(数据库!#REF!,3)&amp;"单元"</f>
        <v>#REF!</v>
      </c>
      <c r="D136" s="30" t="e">
        <f>数据库!#REF!</f>
        <v>#REF!</v>
      </c>
      <c r="E136" s="30" t="e">
        <f t="shared" si="2"/>
        <v>#REF!</v>
      </c>
      <c r="F136" s="30"/>
      <c r="G136" s="30"/>
      <c r="H136" s="31" t="s">
        <v>696</v>
      </c>
      <c r="I136" s="27"/>
      <c r="J136" s="27"/>
      <c r="K136" s="27"/>
      <c r="L136" s="27"/>
      <c r="M136" s="18" t="e">
        <f>数据库!#REF!</f>
        <v>#REF!</v>
      </c>
      <c r="N136" s="27" t="s">
        <v>695</v>
      </c>
      <c r="O136" s="30" t="s">
        <v>694</v>
      </c>
      <c r="P136" s="27" t="s">
        <v>693</v>
      </c>
      <c r="Q136" s="27"/>
      <c r="R136" s="27" t="s">
        <v>692</v>
      </c>
      <c r="S136" s="27" t="s">
        <v>691</v>
      </c>
      <c r="T136" s="27"/>
      <c r="U136" s="18" t="e">
        <f>数据库!#REF!</f>
        <v>#REF!</v>
      </c>
      <c r="V136" s="33" t="s">
        <v>711</v>
      </c>
    </row>
    <row r="137" spans="1:22" ht="22.5">
      <c r="A137" s="30" t="s">
        <v>697</v>
      </c>
      <c r="B137" s="30" t="e">
        <f>数据库!#REF!&amp;"号楼"</f>
        <v>#REF!</v>
      </c>
      <c r="C137" s="30" t="e">
        <f>NUMBERSTRING(数据库!#REF!,3)&amp;"单元"</f>
        <v>#REF!</v>
      </c>
      <c r="D137" s="30" t="e">
        <f>数据库!#REF!</f>
        <v>#REF!</v>
      </c>
      <c r="E137" s="30" t="e">
        <f t="shared" si="2"/>
        <v>#REF!</v>
      </c>
      <c r="F137" s="30"/>
      <c r="G137" s="30"/>
      <c r="H137" s="31" t="s">
        <v>696</v>
      </c>
      <c r="I137" s="27"/>
      <c r="J137" s="27"/>
      <c r="K137" s="27"/>
      <c r="L137" s="27"/>
      <c r="M137" s="18" t="e">
        <f>数据库!#REF!</f>
        <v>#REF!</v>
      </c>
      <c r="N137" s="27" t="s">
        <v>695</v>
      </c>
      <c r="O137" s="30" t="s">
        <v>694</v>
      </c>
      <c r="P137" s="27" t="s">
        <v>693</v>
      </c>
      <c r="Q137" s="27"/>
      <c r="R137" s="27" t="s">
        <v>692</v>
      </c>
      <c r="S137" s="27" t="s">
        <v>691</v>
      </c>
      <c r="T137" s="27"/>
      <c r="U137" s="18" t="e">
        <f>数据库!#REF!</f>
        <v>#REF!</v>
      </c>
      <c r="V137" s="33" t="s">
        <v>711</v>
      </c>
    </row>
    <row r="138" spans="1:22" ht="22.5">
      <c r="A138" s="30" t="s">
        <v>697</v>
      </c>
      <c r="B138" s="30" t="e">
        <f>数据库!#REF!&amp;"号楼"</f>
        <v>#REF!</v>
      </c>
      <c r="C138" s="30" t="e">
        <f>NUMBERSTRING(数据库!#REF!,3)&amp;"单元"</f>
        <v>#REF!</v>
      </c>
      <c r="D138" s="30" t="e">
        <f>数据库!#REF!</f>
        <v>#REF!</v>
      </c>
      <c r="E138" s="30" t="e">
        <f t="shared" si="2"/>
        <v>#REF!</v>
      </c>
      <c r="F138" s="30"/>
      <c r="G138" s="30"/>
      <c r="H138" s="31" t="s">
        <v>696</v>
      </c>
      <c r="I138" s="27"/>
      <c r="J138" s="27"/>
      <c r="K138" s="27"/>
      <c r="L138" s="27"/>
      <c r="M138" s="18" t="e">
        <f>数据库!#REF!</f>
        <v>#REF!</v>
      </c>
      <c r="N138" s="27" t="s">
        <v>695</v>
      </c>
      <c r="O138" s="30" t="s">
        <v>694</v>
      </c>
      <c r="P138" s="27" t="s">
        <v>693</v>
      </c>
      <c r="Q138" s="27"/>
      <c r="R138" s="27" t="s">
        <v>692</v>
      </c>
      <c r="S138" s="27" t="s">
        <v>691</v>
      </c>
      <c r="T138" s="27"/>
      <c r="U138" s="18" t="e">
        <f>数据库!#REF!</f>
        <v>#REF!</v>
      </c>
      <c r="V138" s="33" t="s">
        <v>711</v>
      </c>
    </row>
    <row r="139" spans="1:22" ht="22.5">
      <c r="A139" s="30" t="s">
        <v>697</v>
      </c>
      <c r="B139" s="30" t="e">
        <f>数据库!#REF!&amp;"号楼"</f>
        <v>#REF!</v>
      </c>
      <c r="C139" s="30" t="e">
        <f>NUMBERSTRING(数据库!#REF!,3)&amp;"单元"</f>
        <v>#REF!</v>
      </c>
      <c r="D139" s="30" t="e">
        <f>数据库!#REF!</f>
        <v>#REF!</v>
      </c>
      <c r="E139" s="30" t="e">
        <f t="shared" si="2"/>
        <v>#REF!</v>
      </c>
      <c r="F139" s="30"/>
      <c r="G139" s="30"/>
      <c r="H139" s="31" t="s">
        <v>696</v>
      </c>
      <c r="I139" s="27"/>
      <c r="J139" s="27"/>
      <c r="K139" s="27"/>
      <c r="L139" s="27"/>
      <c r="M139" s="18" t="e">
        <f>数据库!#REF!</f>
        <v>#REF!</v>
      </c>
      <c r="N139" s="27" t="s">
        <v>695</v>
      </c>
      <c r="O139" s="30" t="s">
        <v>694</v>
      </c>
      <c r="P139" s="27" t="s">
        <v>693</v>
      </c>
      <c r="Q139" s="27"/>
      <c r="R139" s="27" t="s">
        <v>692</v>
      </c>
      <c r="S139" s="27" t="s">
        <v>691</v>
      </c>
      <c r="T139" s="27"/>
      <c r="U139" s="18" t="e">
        <f>数据库!#REF!</f>
        <v>#REF!</v>
      </c>
      <c r="V139" s="33" t="s">
        <v>711</v>
      </c>
    </row>
    <row r="140" spans="1:22" ht="22.5">
      <c r="A140" s="30" t="s">
        <v>697</v>
      </c>
      <c r="B140" s="30" t="e">
        <f>数据库!#REF!&amp;"号楼"</f>
        <v>#REF!</v>
      </c>
      <c r="C140" s="30" t="e">
        <f>NUMBERSTRING(数据库!#REF!,3)&amp;"单元"</f>
        <v>#REF!</v>
      </c>
      <c r="D140" s="30" t="e">
        <f>数据库!#REF!</f>
        <v>#REF!</v>
      </c>
      <c r="E140" s="30" t="e">
        <f t="shared" si="2"/>
        <v>#REF!</v>
      </c>
      <c r="F140" s="30"/>
      <c r="G140" s="30"/>
      <c r="H140" s="31" t="s">
        <v>696</v>
      </c>
      <c r="I140" s="27"/>
      <c r="J140" s="27"/>
      <c r="K140" s="27"/>
      <c r="L140" s="27"/>
      <c r="M140" s="18" t="e">
        <f>数据库!#REF!</f>
        <v>#REF!</v>
      </c>
      <c r="N140" s="27" t="s">
        <v>695</v>
      </c>
      <c r="O140" s="30" t="s">
        <v>694</v>
      </c>
      <c r="P140" s="27" t="s">
        <v>693</v>
      </c>
      <c r="Q140" s="27"/>
      <c r="R140" s="27" t="s">
        <v>692</v>
      </c>
      <c r="S140" s="27" t="s">
        <v>691</v>
      </c>
      <c r="T140" s="27"/>
      <c r="U140" s="18" t="e">
        <f>数据库!#REF!</f>
        <v>#REF!</v>
      </c>
      <c r="V140" s="33" t="s">
        <v>711</v>
      </c>
    </row>
    <row r="141" spans="1:22" ht="22.5">
      <c r="A141" s="30" t="s">
        <v>697</v>
      </c>
      <c r="B141" s="30" t="e">
        <f>数据库!#REF!&amp;"号楼"</f>
        <v>#REF!</v>
      </c>
      <c r="C141" s="30" t="e">
        <f>NUMBERSTRING(数据库!#REF!,3)&amp;"单元"</f>
        <v>#REF!</v>
      </c>
      <c r="D141" s="30" t="e">
        <f>数据库!#REF!</f>
        <v>#REF!</v>
      </c>
      <c r="E141" s="30" t="e">
        <f t="shared" si="2"/>
        <v>#REF!</v>
      </c>
      <c r="F141" s="30"/>
      <c r="G141" s="30"/>
      <c r="H141" s="31" t="s">
        <v>696</v>
      </c>
      <c r="I141" s="27"/>
      <c r="J141" s="27"/>
      <c r="K141" s="27"/>
      <c r="L141" s="27"/>
      <c r="M141" s="18" t="e">
        <f>数据库!#REF!</f>
        <v>#REF!</v>
      </c>
      <c r="N141" s="27" t="s">
        <v>695</v>
      </c>
      <c r="O141" s="30" t="s">
        <v>694</v>
      </c>
      <c r="P141" s="27" t="s">
        <v>693</v>
      </c>
      <c r="Q141" s="27"/>
      <c r="R141" s="27" t="s">
        <v>692</v>
      </c>
      <c r="S141" s="27" t="s">
        <v>691</v>
      </c>
      <c r="T141" s="27"/>
      <c r="U141" s="18" t="e">
        <f>数据库!#REF!</f>
        <v>#REF!</v>
      </c>
      <c r="V141" s="33" t="s">
        <v>711</v>
      </c>
    </row>
    <row r="142" spans="1:22" ht="22.5">
      <c r="A142" s="30" t="s">
        <v>697</v>
      </c>
      <c r="B142" s="30" t="e">
        <f>数据库!#REF!&amp;"号楼"</f>
        <v>#REF!</v>
      </c>
      <c r="C142" s="30" t="e">
        <f>NUMBERSTRING(数据库!#REF!,3)&amp;"单元"</f>
        <v>#REF!</v>
      </c>
      <c r="D142" s="30" t="e">
        <f>数据库!#REF!</f>
        <v>#REF!</v>
      </c>
      <c r="E142" s="30" t="e">
        <f t="shared" si="2"/>
        <v>#REF!</v>
      </c>
      <c r="F142" s="30"/>
      <c r="G142" s="30"/>
      <c r="H142" s="31" t="s">
        <v>696</v>
      </c>
      <c r="I142" s="27"/>
      <c r="J142" s="27"/>
      <c r="K142" s="27"/>
      <c r="L142" s="27"/>
      <c r="M142" s="18" t="e">
        <f>数据库!#REF!</f>
        <v>#REF!</v>
      </c>
      <c r="N142" s="27" t="s">
        <v>695</v>
      </c>
      <c r="O142" s="30" t="s">
        <v>694</v>
      </c>
      <c r="P142" s="27" t="s">
        <v>693</v>
      </c>
      <c r="Q142" s="27"/>
      <c r="R142" s="27" t="s">
        <v>692</v>
      </c>
      <c r="S142" s="27" t="s">
        <v>691</v>
      </c>
      <c r="T142" s="27"/>
      <c r="U142" s="18" t="e">
        <f>数据库!#REF!</f>
        <v>#REF!</v>
      </c>
      <c r="V142" s="33" t="s">
        <v>711</v>
      </c>
    </row>
    <row r="143" spans="1:22" ht="22.5">
      <c r="A143" s="30" t="s">
        <v>697</v>
      </c>
      <c r="B143" s="30" t="e">
        <f>数据库!#REF!&amp;"号楼"</f>
        <v>#REF!</v>
      </c>
      <c r="C143" s="30" t="e">
        <f>NUMBERSTRING(数据库!#REF!,3)&amp;"单元"</f>
        <v>#REF!</v>
      </c>
      <c r="D143" s="30" t="e">
        <f>数据库!#REF!</f>
        <v>#REF!</v>
      </c>
      <c r="E143" s="30" t="e">
        <f t="shared" si="2"/>
        <v>#REF!</v>
      </c>
      <c r="F143" s="30"/>
      <c r="G143" s="30"/>
      <c r="H143" s="31" t="s">
        <v>696</v>
      </c>
      <c r="I143" s="27"/>
      <c r="J143" s="27"/>
      <c r="K143" s="27"/>
      <c r="L143" s="27"/>
      <c r="M143" s="18" t="e">
        <f>数据库!#REF!</f>
        <v>#REF!</v>
      </c>
      <c r="N143" s="27" t="s">
        <v>695</v>
      </c>
      <c r="O143" s="30" t="s">
        <v>694</v>
      </c>
      <c r="P143" s="27" t="s">
        <v>693</v>
      </c>
      <c r="Q143" s="27"/>
      <c r="R143" s="27" t="s">
        <v>692</v>
      </c>
      <c r="S143" s="27" t="s">
        <v>691</v>
      </c>
      <c r="T143" s="27"/>
      <c r="U143" s="18" t="e">
        <f>数据库!#REF!</f>
        <v>#REF!</v>
      </c>
      <c r="V143" s="33" t="s">
        <v>711</v>
      </c>
    </row>
    <row r="144" spans="1:22" ht="22.5">
      <c r="A144" s="30" t="s">
        <v>697</v>
      </c>
      <c r="B144" s="30" t="e">
        <f>数据库!#REF!&amp;"号楼"</f>
        <v>#REF!</v>
      </c>
      <c r="C144" s="30" t="e">
        <f>NUMBERSTRING(数据库!#REF!,3)&amp;"单元"</f>
        <v>#REF!</v>
      </c>
      <c r="D144" s="30" t="e">
        <f>数据库!#REF!</f>
        <v>#REF!</v>
      </c>
      <c r="E144" s="30" t="e">
        <f t="shared" si="2"/>
        <v>#REF!</v>
      </c>
      <c r="F144" s="30"/>
      <c r="G144" s="30"/>
      <c r="H144" s="31" t="s">
        <v>696</v>
      </c>
      <c r="I144" s="27"/>
      <c r="J144" s="27"/>
      <c r="K144" s="27"/>
      <c r="L144" s="27"/>
      <c r="M144" s="18" t="e">
        <f>数据库!#REF!</f>
        <v>#REF!</v>
      </c>
      <c r="N144" s="27" t="s">
        <v>695</v>
      </c>
      <c r="O144" s="30" t="s">
        <v>694</v>
      </c>
      <c r="P144" s="27" t="s">
        <v>693</v>
      </c>
      <c r="Q144" s="27"/>
      <c r="R144" s="27" t="s">
        <v>692</v>
      </c>
      <c r="S144" s="27" t="s">
        <v>691</v>
      </c>
      <c r="T144" s="27"/>
      <c r="U144" s="18" t="e">
        <f>数据库!#REF!</f>
        <v>#REF!</v>
      </c>
      <c r="V144" s="33" t="s">
        <v>711</v>
      </c>
    </row>
    <row r="145" spans="1:22" ht="22.5">
      <c r="A145" s="30" t="s">
        <v>697</v>
      </c>
      <c r="B145" s="30" t="e">
        <f>数据库!#REF!&amp;"号楼"</f>
        <v>#REF!</v>
      </c>
      <c r="C145" s="30" t="e">
        <f>NUMBERSTRING(数据库!#REF!,3)&amp;"单元"</f>
        <v>#REF!</v>
      </c>
      <c r="D145" s="30" t="e">
        <f>数据库!#REF!</f>
        <v>#REF!</v>
      </c>
      <c r="E145" s="30" t="e">
        <f t="shared" si="2"/>
        <v>#REF!</v>
      </c>
      <c r="F145" s="30"/>
      <c r="G145" s="30"/>
      <c r="H145" s="31" t="s">
        <v>696</v>
      </c>
      <c r="I145" s="27"/>
      <c r="J145" s="27"/>
      <c r="K145" s="27"/>
      <c r="L145" s="27"/>
      <c r="M145" s="18" t="e">
        <f>数据库!#REF!</f>
        <v>#REF!</v>
      </c>
      <c r="N145" s="27" t="s">
        <v>695</v>
      </c>
      <c r="O145" s="30" t="s">
        <v>694</v>
      </c>
      <c r="P145" s="27" t="s">
        <v>693</v>
      </c>
      <c r="Q145" s="27"/>
      <c r="R145" s="27" t="s">
        <v>692</v>
      </c>
      <c r="S145" s="27" t="s">
        <v>691</v>
      </c>
      <c r="T145" s="27"/>
      <c r="U145" s="18" t="e">
        <f>数据库!#REF!</f>
        <v>#REF!</v>
      </c>
      <c r="V145" s="33" t="s">
        <v>711</v>
      </c>
    </row>
    <row r="146" spans="1:22" ht="22.5">
      <c r="A146" s="30" t="s">
        <v>697</v>
      </c>
      <c r="B146" s="30" t="e">
        <f>数据库!#REF!&amp;"号楼"</f>
        <v>#REF!</v>
      </c>
      <c r="C146" s="30" t="e">
        <f>NUMBERSTRING(数据库!#REF!,3)&amp;"单元"</f>
        <v>#REF!</v>
      </c>
      <c r="D146" s="30" t="e">
        <f>数据库!#REF!</f>
        <v>#REF!</v>
      </c>
      <c r="E146" s="30" t="e">
        <f t="shared" si="2"/>
        <v>#REF!</v>
      </c>
      <c r="F146" s="30"/>
      <c r="G146" s="30"/>
      <c r="H146" s="31" t="s">
        <v>696</v>
      </c>
      <c r="I146" s="27"/>
      <c r="J146" s="27"/>
      <c r="K146" s="27"/>
      <c r="L146" s="27"/>
      <c r="M146" s="18" t="e">
        <f>数据库!#REF!</f>
        <v>#REF!</v>
      </c>
      <c r="N146" s="27" t="s">
        <v>695</v>
      </c>
      <c r="O146" s="30" t="s">
        <v>694</v>
      </c>
      <c r="P146" s="27" t="s">
        <v>693</v>
      </c>
      <c r="Q146" s="27"/>
      <c r="R146" s="27" t="s">
        <v>692</v>
      </c>
      <c r="S146" s="27" t="s">
        <v>691</v>
      </c>
      <c r="T146" s="27"/>
      <c r="U146" s="18" t="e">
        <f>数据库!#REF!</f>
        <v>#REF!</v>
      </c>
      <c r="V146" s="33" t="s">
        <v>711</v>
      </c>
    </row>
    <row r="147" spans="1:22" ht="22.5">
      <c r="A147" s="30" t="s">
        <v>697</v>
      </c>
      <c r="B147" s="30" t="e">
        <f>数据库!#REF!&amp;"号楼"</f>
        <v>#REF!</v>
      </c>
      <c r="C147" s="30" t="e">
        <f>NUMBERSTRING(数据库!#REF!,3)&amp;"单元"</f>
        <v>#REF!</v>
      </c>
      <c r="D147" s="30" t="e">
        <f>数据库!#REF!</f>
        <v>#REF!</v>
      </c>
      <c r="E147" s="30" t="e">
        <f t="shared" si="2"/>
        <v>#REF!</v>
      </c>
      <c r="F147" s="30"/>
      <c r="G147" s="30"/>
      <c r="H147" s="31" t="s">
        <v>696</v>
      </c>
      <c r="I147" s="27"/>
      <c r="J147" s="27"/>
      <c r="K147" s="27"/>
      <c r="L147" s="27"/>
      <c r="M147" s="18" t="e">
        <f>数据库!#REF!</f>
        <v>#REF!</v>
      </c>
      <c r="N147" s="27" t="s">
        <v>695</v>
      </c>
      <c r="O147" s="30" t="s">
        <v>694</v>
      </c>
      <c r="P147" s="27" t="s">
        <v>693</v>
      </c>
      <c r="Q147" s="27"/>
      <c r="R147" s="27" t="s">
        <v>692</v>
      </c>
      <c r="S147" s="27" t="s">
        <v>691</v>
      </c>
      <c r="T147" s="27"/>
      <c r="U147" s="18" t="e">
        <f>数据库!#REF!</f>
        <v>#REF!</v>
      </c>
      <c r="V147" s="33" t="s">
        <v>711</v>
      </c>
    </row>
    <row r="148" spans="1:22" ht="22.5">
      <c r="A148" s="30" t="s">
        <v>697</v>
      </c>
      <c r="B148" s="30" t="e">
        <f>数据库!#REF!&amp;"号楼"</f>
        <v>#REF!</v>
      </c>
      <c r="C148" s="30" t="e">
        <f>NUMBERSTRING(数据库!#REF!,3)&amp;"单元"</f>
        <v>#REF!</v>
      </c>
      <c r="D148" s="30" t="e">
        <f>数据库!#REF!</f>
        <v>#REF!</v>
      </c>
      <c r="E148" s="30" t="e">
        <f t="shared" si="2"/>
        <v>#REF!</v>
      </c>
      <c r="F148" s="30"/>
      <c r="G148" s="30"/>
      <c r="H148" s="31" t="s">
        <v>696</v>
      </c>
      <c r="I148" s="27"/>
      <c r="J148" s="27"/>
      <c r="K148" s="27"/>
      <c r="L148" s="27"/>
      <c r="M148" s="18" t="e">
        <f>数据库!#REF!</f>
        <v>#REF!</v>
      </c>
      <c r="N148" s="27" t="s">
        <v>695</v>
      </c>
      <c r="O148" s="30" t="s">
        <v>694</v>
      </c>
      <c r="P148" s="27" t="s">
        <v>693</v>
      </c>
      <c r="Q148" s="27"/>
      <c r="R148" s="27" t="s">
        <v>692</v>
      </c>
      <c r="S148" s="27" t="s">
        <v>691</v>
      </c>
      <c r="T148" s="27"/>
      <c r="U148" s="18" t="e">
        <f>数据库!#REF!</f>
        <v>#REF!</v>
      </c>
      <c r="V148" s="33" t="s">
        <v>711</v>
      </c>
    </row>
    <row r="149" spans="1:22" ht="22.5">
      <c r="A149" s="30" t="s">
        <v>697</v>
      </c>
      <c r="B149" s="30" t="e">
        <f>数据库!#REF!&amp;"号楼"</f>
        <v>#REF!</v>
      </c>
      <c r="C149" s="30" t="e">
        <f>NUMBERSTRING(数据库!#REF!,3)&amp;"单元"</f>
        <v>#REF!</v>
      </c>
      <c r="D149" s="30" t="e">
        <f>数据库!#REF!</f>
        <v>#REF!</v>
      </c>
      <c r="E149" s="30" t="e">
        <f t="shared" si="2"/>
        <v>#REF!</v>
      </c>
      <c r="F149" s="30"/>
      <c r="G149" s="30"/>
      <c r="H149" s="31" t="s">
        <v>696</v>
      </c>
      <c r="I149" s="27"/>
      <c r="J149" s="27"/>
      <c r="K149" s="27"/>
      <c r="L149" s="27"/>
      <c r="M149" s="18" t="e">
        <f>数据库!#REF!</f>
        <v>#REF!</v>
      </c>
      <c r="N149" s="27" t="s">
        <v>695</v>
      </c>
      <c r="O149" s="30" t="s">
        <v>694</v>
      </c>
      <c r="P149" s="27" t="s">
        <v>693</v>
      </c>
      <c r="Q149" s="27"/>
      <c r="R149" s="27" t="s">
        <v>692</v>
      </c>
      <c r="S149" s="27" t="s">
        <v>691</v>
      </c>
      <c r="T149" s="27"/>
      <c r="U149" s="18" t="e">
        <f>数据库!#REF!</f>
        <v>#REF!</v>
      </c>
      <c r="V149" s="33" t="s">
        <v>711</v>
      </c>
    </row>
    <row r="150" spans="1:22" ht="22.5">
      <c r="A150" s="30" t="s">
        <v>697</v>
      </c>
      <c r="B150" s="30" t="e">
        <f>数据库!#REF!&amp;"号楼"</f>
        <v>#REF!</v>
      </c>
      <c r="C150" s="30" t="e">
        <f>NUMBERSTRING(数据库!#REF!,3)&amp;"单元"</f>
        <v>#REF!</v>
      </c>
      <c r="D150" s="30" t="e">
        <f>数据库!#REF!</f>
        <v>#REF!</v>
      </c>
      <c r="E150" s="30" t="e">
        <f t="shared" si="2"/>
        <v>#REF!</v>
      </c>
      <c r="F150" s="30"/>
      <c r="G150" s="30"/>
      <c r="H150" s="31" t="s">
        <v>696</v>
      </c>
      <c r="I150" s="27"/>
      <c r="J150" s="27"/>
      <c r="K150" s="27"/>
      <c r="L150" s="27"/>
      <c r="M150" s="18" t="e">
        <f>数据库!#REF!</f>
        <v>#REF!</v>
      </c>
      <c r="N150" s="27" t="s">
        <v>695</v>
      </c>
      <c r="O150" s="30" t="s">
        <v>694</v>
      </c>
      <c r="P150" s="27" t="s">
        <v>693</v>
      </c>
      <c r="Q150" s="27"/>
      <c r="R150" s="27" t="s">
        <v>692</v>
      </c>
      <c r="S150" s="27" t="s">
        <v>691</v>
      </c>
      <c r="T150" s="27"/>
      <c r="U150" s="18" t="e">
        <f>数据库!#REF!</f>
        <v>#REF!</v>
      </c>
      <c r="V150" s="33" t="s">
        <v>711</v>
      </c>
    </row>
    <row r="151" spans="1:22" ht="22.5">
      <c r="A151" s="30" t="s">
        <v>697</v>
      </c>
      <c r="B151" s="30" t="e">
        <f>数据库!#REF!&amp;"号楼"</f>
        <v>#REF!</v>
      </c>
      <c r="C151" s="30" t="e">
        <f>NUMBERSTRING(数据库!#REF!,3)&amp;"单元"</f>
        <v>#REF!</v>
      </c>
      <c r="D151" s="30" t="e">
        <f>数据库!#REF!</f>
        <v>#REF!</v>
      </c>
      <c r="E151" s="30" t="e">
        <f t="shared" si="2"/>
        <v>#REF!</v>
      </c>
      <c r="F151" s="30"/>
      <c r="G151" s="30"/>
      <c r="H151" s="31" t="s">
        <v>696</v>
      </c>
      <c r="I151" s="27"/>
      <c r="J151" s="27"/>
      <c r="K151" s="27"/>
      <c r="L151" s="27"/>
      <c r="M151" s="18" t="e">
        <f>数据库!#REF!</f>
        <v>#REF!</v>
      </c>
      <c r="N151" s="27" t="s">
        <v>695</v>
      </c>
      <c r="O151" s="30" t="s">
        <v>694</v>
      </c>
      <c r="P151" s="27" t="s">
        <v>693</v>
      </c>
      <c r="Q151" s="27"/>
      <c r="R151" s="27" t="s">
        <v>692</v>
      </c>
      <c r="S151" s="27" t="s">
        <v>691</v>
      </c>
      <c r="T151" s="27"/>
      <c r="U151" s="18" t="e">
        <f>数据库!#REF!</f>
        <v>#REF!</v>
      </c>
      <c r="V151" s="33" t="s">
        <v>711</v>
      </c>
    </row>
    <row r="152" spans="1:22" ht="22.5">
      <c r="A152" s="30" t="s">
        <v>697</v>
      </c>
      <c r="B152" s="30" t="e">
        <f>数据库!#REF!&amp;"号楼"</f>
        <v>#REF!</v>
      </c>
      <c r="C152" s="30" t="e">
        <f>NUMBERSTRING(数据库!#REF!,3)&amp;"单元"</f>
        <v>#REF!</v>
      </c>
      <c r="D152" s="30" t="e">
        <f>数据库!#REF!</f>
        <v>#REF!</v>
      </c>
      <c r="E152" s="30" t="e">
        <f t="shared" si="2"/>
        <v>#REF!</v>
      </c>
      <c r="F152" s="30"/>
      <c r="G152" s="30"/>
      <c r="H152" s="31" t="s">
        <v>696</v>
      </c>
      <c r="I152" s="27"/>
      <c r="J152" s="27"/>
      <c r="K152" s="27"/>
      <c r="L152" s="27"/>
      <c r="M152" s="18" t="e">
        <f>数据库!#REF!</f>
        <v>#REF!</v>
      </c>
      <c r="N152" s="27" t="s">
        <v>695</v>
      </c>
      <c r="O152" s="30" t="s">
        <v>694</v>
      </c>
      <c r="P152" s="27" t="s">
        <v>693</v>
      </c>
      <c r="Q152" s="27"/>
      <c r="R152" s="27" t="s">
        <v>692</v>
      </c>
      <c r="S152" s="27" t="s">
        <v>691</v>
      </c>
      <c r="T152" s="27"/>
      <c r="U152" s="18" t="e">
        <f>数据库!#REF!</f>
        <v>#REF!</v>
      </c>
      <c r="V152" s="33" t="s">
        <v>711</v>
      </c>
    </row>
    <row r="153" spans="1:22" ht="22.5">
      <c r="A153" s="30" t="s">
        <v>697</v>
      </c>
      <c r="B153" s="30" t="e">
        <f>数据库!#REF!&amp;"号楼"</f>
        <v>#REF!</v>
      </c>
      <c r="C153" s="30" t="e">
        <f>NUMBERSTRING(数据库!#REF!,3)&amp;"单元"</f>
        <v>#REF!</v>
      </c>
      <c r="D153" s="30" t="e">
        <f>数据库!#REF!</f>
        <v>#REF!</v>
      </c>
      <c r="E153" s="30" t="e">
        <f t="shared" si="2"/>
        <v>#REF!</v>
      </c>
      <c r="F153" s="30"/>
      <c r="G153" s="30"/>
      <c r="H153" s="31" t="s">
        <v>696</v>
      </c>
      <c r="I153" s="27"/>
      <c r="J153" s="27"/>
      <c r="K153" s="27"/>
      <c r="L153" s="27"/>
      <c r="M153" s="18" t="e">
        <f>数据库!#REF!</f>
        <v>#REF!</v>
      </c>
      <c r="N153" s="27" t="s">
        <v>695</v>
      </c>
      <c r="O153" s="30" t="s">
        <v>694</v>
      </c>
      <c r="P153" s="27" t="s">
        <v>693</v>
      </c>
      <c r="Q153" s="27"/>
      <c r="R153" s="27" t="s">
        <v>692</v>
      </c>
      <c r="S153" s="27" t="s">
        <v>691</v>
      </c>
      <c r="T153" s="27"/>
      <c r="U153" s="18" t="e">
        <f>数据库!#REF!</f>
        <v>#REF!</v>
      </c>
      <c r="V153" s="33" t="s">
        <v>711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F6A15-7314-4998-9B53-286CAA98DF1C}">
  <dimension ref="A1:AH151"/>
  <sheetViews>
    <sheetView zoomScale="85" zoomScaleNormal="85" workbookViewId="0">
      <selection activeCell="D16" sqref="D16"/>
    </sheetView>
  </sheetViews>
  <sheetFormatPr defaultColWidth="21" defaultRowHeight="13.5" outlineLevelCol="1"/>
  <cols>
    <col min="1" max="1" width="21" style="1" customWidth="1"/>
    <col min="2" max="6" width="21" customWidth="1"/>
    <col min="8" max="12" width="21" hidden="1" customWidth="1" outlineLevel="1"/>
    <col min="13" max="13" width="21" collapsed="1"/>
    <col min="14" max="16" width="21" hidden="1" customWidth="1" outlineLevel="1"/>
    <col min="17" max="17" width="21" style="1" collapsed="1"/>
    <col min="18" max="18" width="21" style="1" hidden="1" customWidth="1" outlineLevel="1"/>
    <col min="19" max="26" width="21" hidden="1" customWidth="1" outlineLevel="1"/>
    <col min="27" max="27" width="21" style="1" customWidth="1" collapsed="1"/>
    <col min="28" max="33" width="21" hidden="1" customWidth="1" outlineLevel="1"/>
    <col min="34" max="34" width="21" collapsed="1"/>
  </cols>
  <sheetData>
    <row r="1" spans="1:33">
      <c r="A1" s="16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7" t="s">
        <v>8</v>
      </c>
      <c r="J1" s="3" t="s">
        <v>9</v>
      </c>
      <c r="K1" s="3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3" t="s">
        <v>15</v>
      </c>
      <c r="Q1" s="2" t="s">
        <v>16</v>
      </c>
      <c r="R1" s="8" t="s">
        <v>17</v>
      </c>
      <c r="S1" s="8" t="s">
        <v>18</v>
      </c>
      <c r="T1" s="8" t="s">
        <v>19</v>
      </c>
      <c r="U1" s="3" t="s">
        <v>20</v>
      </c>
      <c r="V1" s="2" t="s">
        <v>21</v>
      </c>
      <c r="W1" s="2" t="s">
        <v>22</v>
      </c>
      <c r="X1" s="3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3" t="s">
        <v>28</v>
      </c>
      <c r="AD1" s="3" t="s">
        <v>29</v>
      </c>
      <c r="AE1" s="2" t="s">
        <v>30</v>
      </c>
      <c r="AF1" s="2" t="s">
        <v>31</v>
      </c>
      <c r="AG1" s="2" t="s">
        <v>32</v>
      </c>
    </row>
    <row r="2" spans="1:33" ht="17.25" customHeight="1">
      <c r="A2" s="4" t="str">
        <f>TEXT(ROW(A1),"000")</f>
        <v>001</v>
      </c>
      <c r="B2" s="5" t="s">
        <v>33</v>
      </c>
      <c r="C2" s="6" t="e">
        <f>数据库!#REF!&amp;"号楼"</f>
        <v>#REF!</v>
      </c>
      <c r="D2" s="15" t="e">
        <f>NUMBERSTRING(数据库!#REF!,3)&amp;"单元"</f>
        <v>#REF!</v>
      </c>
      <c r="E2" s="6" t="e">
        <f>数据库!#REF!</f>
        <v>#REF!</v>
      </c>
      <c r="F2" s="4"/>
      <c r="G2" s="6" t="e">
        <f>E2</f>
        <v>#REF!</v>
      </c>
      <c r="H2" s="4"/>
      <c r="I2" s="9"/>
      <c r="J2" s="4"/>
      <c r="K2" s="4"/>
      <c r="L2" s="10"/>
      <c r="M2" s="10" t="str">
        <f>IFERROR(IF(数据库!#REF!=0,"低压区",IF(数据库!#REF!=1,"中压区","高压区")),"Error")</f>
        <v>Error</v>
      </c>
      <c r="N2" s="10"/>
      <c r="O2" s="4"/>
      <c r="P2" s="4"/>
      <c r="Q2" s="18" t="e">
        <f>数据库!#REF!</f>
        <v>#REF!</v>
      </c>
      <c r="R2" s="12"/>
      <c r="S2" s="4"/>
      <c r="T2" s="10"/>
      <c r="U2" s="4"/>
      <c r="V2" s="4"/>
      <c r="W2" s="13"/>
      <c r="X2" s="13"/>
      <c r="Y2" s="14"/>
      <c r="Z2" s="14"/>
      <c r="AA2" s="18" t="e">
        <f>数据库!#REF!</f>
        <v>#REF!</v>
      </c>
      <c r="AB2" s="14"/>
      <c r="AC2" s="14"/>
      <c r="AD2" s="14"/>
      <c r="AE2" s="4"/>
      <c r="AF2" s="4"/>
      <c r="AG2" s="4"/>
    </row>
    <row r="3" spans="1:33" ht="15">
      <c r="A3" s="4" t="str">
        <f t="shared" ref="A3:A66" si="0">TEXT(ROW(A2),"000")</f>
        <v>002</v>
      </c>
      <c r="B3" s="5" t="s">
        <v>33</v>
      </c>
      <c r="C3" s="6" t="e">
        <f>数据库!#REF!&amp;"号楼"</f>
        <v>#REF!</v>
      </c>
      <c r="D3" s="15" t="e">
        <f>NUMBERSTRING(数据库!#REF!,3)&amp;"单元"</f>
        <v>#REF!</v>
      </c>
      <c r="E3" s="6" t="e">
        <f>数据库!#REF!</f>
        <v>#REF!</v>
      </c>
      <c r="F3" s="4"/>
      <c r="G3" s="6" t="e">
        <f t="shared" ref="G3:G66" si="1">E3</f>
        <v>#REF!</v>
      </c>
      <c r="H3" s="4"/>
      <c r="I3" s="9"/>
      <c r="J3" s="4"/>
      <c r="K3" s="4"/>
      <c r="L3" s="10"/>
      <c r="M3" s="10" t="str">
        <f>IFERROR(IF(数据库!#REF!=0,"低压区",IF(数据库!#REF!=1,"中压区","高压区")),"Error")</f>
        <v>Error</v>
      </c>
      <c r="N3" s="10"/>
      <c r="O3" s="4"/>
      <c r="P3" s="4"/>
      <c r="Q3" s="18" t="e">
        <f>数据库!#REF!</f>
        <v>#REF!</v>
      </c>
      <c r="AA3" s="18" t="e">
        <f>数据库!#REF!</f>
        <v>#REF!</v>
      </c>
    </row>
    <row r="4" spans="1:33" ht="15">
      <c r="A4" s="4" t="str">
        <f t="shared" si="0"/>
        <v>003</v>
      </c>
      <c r="B4" s="5" t="s">
        <v>33</v>
      </c>
      <c r="C4" s="6" t="e">
        <f>数据库!#REF!&amp;"号楼"</f>
        <v>#REF!</v>
      </c>
      <c r="D4" s="15" t="e">
        <f>NUMBERSTRING(数据库!#REF!,3)&amp;"单元"</f>
        <v>#REF!</v>
      </c>
      <c r="E4" s="6" t="e">
        <f>数据库!#REF!</f>
        <v>#REF!</v>
      </c>
      <c r="F4" s="4"/>
      <c r="G4" s="6" t="e">
        <f t="shared" si="1"/>
        <v>#REF!</v>
      </c>
      <c r="H4" s="4"/>
      <c r="I4" s="9"/>
      <c r="J4" s="4"/>
      <c r="K4" s="4"/>
      <c r="L4" s="10"/>
      <c r="M4" s="10" t="str">
        <f>IFERROR(IF(数据库!#REF!=0,"低压区",IF(数据库!#REF!=1,"中压区","高压区")),"Error")</f>
        <v>Error</v>
      </c>
      <c r="N4" s="10"/>
      <c r="O4" s="4"/>
      <c r="P4" s="4"/>
      <c r="Q4" s="18" t="e">
        <f>数据库!#REF!</f>
        <v>#REF!</v>
      </c>
      <c r="AA4" s="18" t="e">
        <f>数据库!#REF!</f>
        <v>#REF!</v>
      </c>
    </row>
    <row r="5" spans="1:33" ht="15">
      <c r="A5" s="4" t="str">
        <f t="shared" si="0"/>
        <v>004</v>
      </c>
      <c r="B5" s="5" t="s">
        <v>33</v>
      </c>
      <c r="C5" s="6" t="e">
        <f>数据库!#REF!&amp;"号楼"</f>
        <v>#REF!</v>
      </c>
      <c r="D5" s="15" t="e">
        <f>NUMBERSTRING(数据库!#REF!,3)&amp;"单元"</f>
        <v>#REF!</v>
      </c>
      <c r="E5" s="6" t="e">
        <f>数据库!#REF!</f>
        <v>#REF!</v>
      </c>
      <c r="F5" s="4"/>
      <c r="G5" s="6" t="e">
        <f t="shared" si="1"/>
        <v>#REF!</v>
      </c>
      <c r="H5" s="4"/>
      <c r="I5" s="9"/>
      <c r="J5" s="4"/>
      <c r="K5" s="4"/>
      <c r="L5" s="10"/>
      <c r="M5" s="10" t="str">
        <f>IFERROR(IF(数据库!#REF!=0,"低压区",IF(数据库!#REF!=1,"中压区","高压区")),"Error")</f>
        <v>Error</v>
      </c>
      <c r="N5" s="10"/>
      <c r="O5" s="4"/>
      <c r="P5" s="4"/>
      <c r="Q5" s="18" t="e">
        <f>数据库!#REF!</f>
        <v>#REF!</v>
      </c>
      <c r="AA5" s="18" t="e">
        <f>数据库!#REF!</f>
        <v>#REF!</v>
      </c>
    </row>
    <row r="6" spans="1:33" ht="15">
      <c r="A6" s="4" t="str">
        <f t="shared" si="0"/>
        <v>005</v>
      </c>
      <c r="B6" s="5" t="s">
        <v>33</v>
      </c>
      <c r="C6" s="6" t="e">
        <f>数据库!#REF!&amp;"号楼"</f>
        <v>#REF!</v>
      </c>
      <c r="D6" s="15" t="e">
        <f>NUMBERSTRING(数据库!#REF!,3)&amp;"单元"</f>
        <v>#REF!</v>
      </c>
      <c r="E6" s="6" t="e">
        <f>数据库!#REF!</f>
        <v>#REF!</v>
      </c>
      <c r="F6" s="4"/>
      <c r="G6" s="6" t="e">
        <f t="shared" si="1"/>
        <v>#REF!</v>
      </c>
      <c r="H6" s="4"/>
      <c r="I6" s="9"/>
      <c r="J6" s="4"/>
      <c r="K6" s="4"/>
      <c r="L6" s="10"/>
      <c r="M6" s="10" t="str">
        <f>IFERROR(IF(数据库!#REF!=0,"低压区",IF(数据库!#REF!=1,"中压区","高压区")),"Error")</f>
        <v>Error</v>
      </c>
      <c r="N6" s="10"/>
      <c r="O6" s="4"/>
      <c r="P6" s="4"/>
      <c r="Q6" s="18" t="e">
        <f>数据库!#REF!</f>
        <v>#REF!</v>
      </c>
      <c r="AA6" s="18" t="e">
        <f>数据库!#REF!</f>
        <v>#REF!</v>
      </c>
    </row>
    <row r="7" spans="1:33" ht="15">
      <c r="A7" s="4" t="str">
        <f t="shared" si="0"/>
        <v>006</v>
      </c>
      <c r="B7" s="5" t="s">
        <v>33</v>
      </c>
      <c r="C7" s="6" t="e">
        <f>数据库!#REF!&amp;"号楼"</f>
        <v>#REF!</v>
      </c>
      <c r="D7" s="15" t="e">
        <f>NUMBERSTRING(数据库!#REF!,3)&amp;"单元"</f>
        <v>#REF!</v>
      </c>
      <c r="E7" s="6" t="e">
        <f>数据库!#REF!</f>
        <v>#REF!</v>
      </c>
      <c r="F7" s="4"/>
      <c r="G7" s="6" t="e">
        <f t="shared" si="1"/>
        <v>#REF!</v>
      </c>
      <c r="H7" s="4"/>
      <c r="I7" s="9"/>
      <c r="J7" s="4"/>
      <c r="K7" s="4"/>
      <c r="L7" s="10"/>
      <c r="M7" s="10" t="str">
        <f>IFERROR(IF(数据库!#REF!=0,"低压区",IF(数据库!#REF!=1,"中压区","高压区")),"Error")</f>
        <v>Error</v>
      </c>
      <c r="N7" s="10"/>
      <c r="O7" s="4"/>
      <c r="P7" s="4"/>
      <c r="Q7" s="18" t="e">
        <f>数据库!#REF!</f>
        <v>#REF!</v>
      </c>
      <c r="AA7" s="18" t="e">
        <f>数据库!#REF!</f>
        <v>#REF!</v>
      </c>
    </row>
    <row r="8" spans="1:33" ht="15">
      <c r="A8" s="4" t="str">
        <f t="shared" si="0"/>
        <v>007</v>
      </c>
      <c r="B8" s="5" t="s">
        <v>33</v>
      </c>
      <c r="C8" s="6" t="e">
        <f>数据库!#REF!&amp;"号楼"</f>
        <v>#REF!</v>
      </c>
      <c r="D8" s="15" t="e">
        <f>NUMBERSTRING(数据库!#REF!,3)&amp;"单元"</f>
        <v>#REF!</v>
      </c>
      <c r="E8" s="6" t="e">
        <f>数据库!#REF!</f>
        <v>#REF!</v>
      </c>
      <c r="F8" s="4"/>
      <c r="G8" s="6" t="e">
        <f t="shared" si="1"/>
        <v>#REF!</v>
      </c>
      <c r="H8" s="4"/>
      <c r="I8" s="9"/>
      <c r="J8" s="4"/>
      <c r="K8" s="4"/>
      <c r="L8" s="10"/>
      <c r="M8" s="10" t="str">
        <f>IFERROR(IF(数据库!#REF!=0,"低压区",IF(数据库!#REF!=1,"中压区","高压区")),"Error")</f>
        <v>Error</v>
      </c>
      <c r="N8" s="10"/>
      <c r="O8" s="4"/>
      <c r="P8" s="4"/>
      <c r="Q8" s="18" t="e">
        <f>数据库!#REF!</f>
        <v>#REF!</v>
      </c>
      <c r="AA8" s="18" t="e">
        <f>数据库!#REF!</f>
        <v>#REF!</v>
      </c>
    </row>
    <row r="9" spans="1:33" ht="15">
      <c r="A9" s="4" t="str">
        <f t="shared" si="0"/>
        <v>008</v>
      </c>
      <c r="B9" s="5" t="s">
        <v>33</v>
      </c>
      <c r="C9" s="6" t="e">
        <f>数据库!#REF!&amp;"号楼"</f>
        <v>#REF!</v>
      </c>
      <c r="D9" s="15" t="e">
        <f>NUMBERSTRING(数据库!#REF!,3)&amp;"单元"</f>
        <v>#REF!</v>
      </c>
      <c r="E9" s="6" t="e">
        <f>数据库!#REF!</f>
        <v>#REF!</v>
      </c>
      <c r="F9" s="4"/>
      <c r="G9" s="6" t="e">
        <f t="shared" si="1"/>
        <v>#REF!</v>
      </c>
      <c r="H9" s="4"/>
      <c r="I9" s="9"/>
      <c r="J9" s="4"/>
      <c r="K9" s="4"/>
      <c r="L9" s="10"/>
      <c r="M9" s="10" t="str">
        <f>IFERROR(IF(数据库!#REF!=0,"低压区",IF(数据库!#REF!=1,"中压区","高压区")),"Error")</f>
        <v>Error</v>
      </c>
      <c r="N9" s="10"/>
      <c r="O9" s="4"/>
      <c r="P9" s="4"/>
      <c r="Q9" s="18" t="e">
        <f>数据库!#REF!</f>
        <v>#REF!</v>
      </c>
      <c r="AA9" s="18" t="e">
        <f>数据库!#REF!</f>
        <v>#REF!</v>
      </c>
    </row>
    <row r="10" spans="1:33" ht="15">
      <c r="A10" s="4" t="str">
        <f t="shared" si="0"/>
        <v>009</v>
      </c>
      <c r="B10" s="5" t="s">
        <v>33</v>
      </c>
      <c r="C10" s="6" t="e">
        <f>数据库!#REF!&amp;"号楼"</f>
        <v>#REF!</v>
      </c>
      <c r="D10" s="15" t="e">
        <f>NUMBERSTRING(数据库!#REF!,3)&amp;"单元"</f>
        <v>#REF!</v>
      </c>
      <c r="E10" s="6" t="e">
        <f>数据库!#REF!</f>
        <v>#REF!</v>
      </c>
      <c r="F10" s="4"/>
      <c r="G10" s="6" t="e">
        <f t="shared" si="1"/>
        <v>#REF!</v>
      </c>
      <c r="H10" s="4"/>
      <c r="I10" s="9"/>
      <c r="J10" s="4"/>
      <c r="K10" s="4"/>
      <c r="L10" s="10"/>
      <c r="M10" s="10" t="str">
        <f>IFERROR(IF(数据库!#REF!=0,"低压区",IF(数据库!#REF!=1,"中压区","高压区")),"Error")</f>
        <v>Error</v>
      </c>
      <c r="N10" s="10"/>
      <c r="O10" s="4"/>
      <c r="P10" s="4"/>
      <c r="Q10" s="18" t="e">
        <f>数据库!#REF!</f>
        <v>#REF!</v>
      </c>
      <c r="AA10" s="18" t="e">
        <f>数据库!#REF!</f>
        <v>#REF!</v>
      </c>
    </row>
    <row r="11" spans="1:33" ht="15">
      <c r="A11" s="4" t="str">
        <f t="shared" si="0"/>
        <v>010</v>
      </c>
      <c r="B11" s="5" t="s">
        <v>33</v>
      </c>
      <c r="C11" s="6" t="e">
        <f>数据库!#REF!&amp;"号楼"</f>
        <v>#REF!</v>
      </c>
      <c r="D11" s="15" t="e">
        <f>NUMBERSTRING(数据库!#REF!,3)&amp;"单元"</f>
        <v>#REF!</v>
      </c>
      <c r="E11" s="6" t="e">
        <f>数据库!#REF!</f>
        <v>#REF!</v>
      </c>
      <c r="F11" s="4"/>
      <c r="G11" s="6" t="e">
        <f t="shared" si="1"/>
        <v>#REF!</v>
      </c>
      <c r="H11" s="4"/>
      <c r="I11" s="9"/>
      <c r="J11" s="4"/>
      <c r="K11" s="4"/>
      <c r="L11" s="10"/>
      <c r="M11" s="10" t="str">
        <f>IFERROR(IF(数据库!#REF!=0,"低压区",IF(数据库!#REF!=1,"中压区","高压区")),"Error")</f>
        <v>Error</v>
      </c>
      <c r="N11" s="10"/>
      <c r="O11" s="4"/>
      <c r="P11" s="4"/>
      <c r="Q11" s="18" t="e">
        <f>数据库!#REF!</f>
        <v>#REF!</v>
      </c>
      <c r="AA11" s="18" t="e">
        <f>数据库!#REF!</f>
        <v>#REF!</v>
      </c>
    </row>
    <row r="12" spans="1:33" ht="15">
      <c r="A12" s="4" t="str">
        <f t="shared" si="0"/>
        <v>011</v>
      </c>
      <c r="B12" s="5" t="s">
        <v>33</v>
      </c>
      <c r="C12" s="6" t="e">
        <f>数据库!#REF!&amp;"号楼"</f>
        <v>#REF!</v>
      </c>
      <c r="D12" s="15" t="e">
        <f>NUMBERSTRING(数据库!#REF!,3)&amp;"单元"</f>
        <v>#REF!</v>
      </c>
      <c r="E12" s="6" t="e">
        <f>数据库!#REF!</f>
        <v>#REF!</v>
      </c>
      <c r="F12" s="4"/>
      <c r="G12" s="6" t="e">
        <f t="shared" si="1"/>
        <v>#REF!</v>
      </c>
      <c r="H12" s="4"/>
      <c r="I12" s="9"/>
      <c r="J12" s="4"/>
      <c r="K12" s="4"/>
      <c r="L12" s="10"/>
      <c r="M12" s="10" t="str">
        <f>IFERROR(IF(数据库!#REF!=0,"低压区",IF(数据库!#REF!=1,"中压区","高压区")),"Error")</f>
        <v>Error</v>
      </c>
      <c r="N12" s="10"/>
      <c r="O12" s="4"/>
      <c r="P12" s="4"/>
      <c r="Q12" s="18" t="e">
        <f>数据库!#REF!</f>
        <v>#REF!</v>
      </c>
      <c r="AA12" s="18" t="e">
        <f>数据库!#REF!</f>
        <v>#REF!</v>
      </c>
    </row>
    <row r="13" spans="1:33" ht="15">
      <c r="A13" s="4" t="str">
        <f t="shared" si="0"/>
        <v>012</v>
      </c>
      <c r="B13" s="5" t="s">
        <v>33</v>
      </c>
      <c r="C13" s="6" t="e">
        <f>数据库!#REF!&amp;"号楼"</f>
        <v>#REF!</v>
      </c>
      <c r="D13" s="15" t="e">
        <f>NUMBERSTRING(数据库!#REF!,3)&amp;"单元"</f>
        <v>#REF!</v>
      </c>
      <c r="E13" s="6" t="e">
        <f>数据库!#REF!</f>
        <v>#REF!</v>
      </c>
      <c r="F13" s="4"/>
      <c r="G13" s="6" t="e">
        <f t="shared" si="1"/>
        <v>#REF!</v>
      </c>
      <c r="H13" s="4"/>
      <c r="I13" s="9"/>
      <c r="J13" s="4"/>
      <c r="K13" s="4"/>
      <c r="L13" s="10"/>
      <c r="M13" s="10" t="str">
        <f>IFERROR(IF(数据库!#REF!=0,"低压区",IF(数据库!#REF!=1,"中压区","高压区")),"Error")</f>
        <v>Error</v>
      </c>
      <c r="N13" s="10"/>
      <c r="O13" s="4"/>
      <c r="P13" s="4"/>
      <c r="Q13" s="18" t="e">
        <f>数据库!#REF!</f>
        <v>#REF!</v>
      </c>
      <c r="AA13" s="18" t="e">
        <f>数据库!#REF!</f>
        <v>#REF!</v>
      </c>
    </row>
    <row r="14" spans="1:33" ht="15">
      <c r="A14" s="4" t="str">
        <f t="shared" si="0"/>
        <v>013</v>
      </c>
      <c r="B14" s="5" t="s">
        <v>33</v>
      </c>
      <c r="C14" s="6" t="e">
        <f>数据库!#REF!&amp;"号楼"</f>
        <v>#REF!</v>
      </c>
      <c r="D14" s="15" t="e">
        <f>NUMBERSTRING(数据库!#REF!,3)&amp;"单元"</f>
        <v>#REF!</v>
      </c>
      <c r="E14" s="6" t="e">
        <f>数据库!#REF!</f>
        <v>#REF!</v>
      </c>
      <c r="F14" s="4"/>
      <c r="G14" s="6" t="e">
        <f t="shared" si="1"/>
        <v>#REF!</v>
      </c>
      <c r="H14" s="4"/>
      <c r="I14" s="9"/>
      <c r="J14" s="4"/>
      <c r="K14" s="4"/>
      <c r="L14" s="10"/>
      <c r="M14" s="10" t="str">
        <f>IFERROR(IF(数据库!#REF!=0,"低压区",IF(数据库!#REF!=1,"中压区","高压区")),"Error")</f>
        <v>Error</v>
      </c>
      <c r="N14" s="10"/>
      <c r="O14" s="4"/>
      <c r="P14" s="4"/>
      <c r="Q14" s="18" t="e">
        <f>数据库!#REF!</f>
        <v>#REF!</v>
      </c>
      <c r="AA14" s="18" t="e">
        <f>数据库!#REF!</f>
        <v>#REF!</v>
      </c>
    </row>
    <row r="15" spans="1:33" ht="15">
      <c r="A15" s="4" t="str">
        <f t="shared" si="0"/>
        <v>014</v>
      </c>
      <c r="B15" s="5" t="s">
        <v>33</v>
      </c>
      <c r="C15" s="6" t="e">
        <f>数据库!#REF!&amp;"号楼"</f>
        <v>#REF!</v>
      </c>
      <c r="D15" s="15" t="e">
        <f>NUMBERSTRING(数据库!#REF!,3)&amp;"单元"</f>
        <v>#REF!</v>
      </c>
      <c r="E15" s="6" t="e">
        <f>数据库!#REF!</f>
        <v>#REF!</v>
      </c>
      <c r="F15" s="4"/>
      <c r="G15" s="6" t="e">
        <f t="shared" si="1"/>
        <v>#REF!</v>
      </c>
      <c r="H15" s="4"/>
      <c r="I15" s="9"/>
      <c r="J15" s="4"/>
      <c r="K15" s="4"/>
      <c r="L15" s="10"/>
      <c r="M15" s="10" t="str">
        <f>IFERROR(IF(数据库!#REF!=0,"低压区",IF(数据库!#REF!=1,"中压区","高压区")),"Error")</f>
        <v>Error</v>
      </c>
      <c r="N15" s="10"/>
      <c r="O15" s="4"/>
      <c r="P15" s="4"/>
      <c r="Q15" s="18" t="e">
        <f>数据库!#REF!</f>
        <v>#REF!</v>
      </c>
      <c r="AA15" s="18" t="e">
        <f>数据库!#REF!</f>
        <v>#REF!</v>
      </c>
    </row>
    <row r="16" spans="1:33" ht="15">
      <c r="A16" s="4" t="str">
        <f t="shared" si="0"/>
        <v>015</v>
      </c>
      <c r="B16" s="5" t="s">
        <v>33</v>
      </c>
      <c r="C16" s="6" t="e">
        <f>数据库!#REF!&amp;"号楼"</f>
        <v>#REF!</v>
      </c>
      <c r="D16" s="15" t="e">
        <f>NUMBERSTRING(数据库!#REF!,3)&amp;"单元"</f>
        <v>#REF!</v>
      </c>
      <c r="E16" s="6" t="e">
        <f>数据库!#REF!</f>
        <v>#REF!</v>
      </c>
      <c r="F16" s="4"/>
      <c r="G16" s="6" t="e">
        <f t="shared" si="1"/>
        <v>#REF!</v>
      </c>
      <c r="H16" s="4"/>
      <c r="I16" s="9"/>
      <c r="J16" s="4"/>
      <c r="K16" s="4"/>
      <c r="L16" s="10"/>
      <c r="M16" s="10" t="str">
        <f>IFERROR(IF(数据库!#REF!=0,"低压区",IF(数据库!#REF!=1,"中压区","高压区")),"Error")</f>
        <v>Error</v>
      </c>
      <c r="N16" s="10"/>
      <c r="O16" s="4"/>
      <c r="P16" s="4"/>
      <c r="Q16" s="18" t="e">
        <f>数据库!#REF!</f>
        <v>#REF!</v>
      </c>
      <c r="AA16" s="18" t="e">
        <f>数据库!#REF!</f>
        <v>#REF!</v>
      </c>
    </row>
    <row r="17" spans="1:27" ht="15">
      <c r="A17" s="4" t="str">
        <f t="shared" si="0"/>
        <v>016</v>
      </c>
      <c r="B17" s="5" t="s">
        <v>33</v>
      </c>
      <c r="C17" s="6" t="e">
        <f>数据库!#REF!&amp;"号楼"</f>
        <v>#REF!</v>
      </c>
      <c r="D17" s="15" t="e">
        <f>NUMBERSTRING(数据库!#REF!,3)&amp;"单元"</f>
        <v>#REF!</v>
      </c>
      <c r="E17" s="6" t="e">
        <f>数据库!#REF!</f>
        <v>#REF!</v>
      </c>
      <c r="F17" s="4"/>
      <c r="G17" s="6" t="e">
        <f t="shared" si="1"/>
        <v>#REF!</v>
      </c>
      <c r="H17" s="4"/>
      <c r="I17" s="9"/>
      <c r="J17" s="4"/>
      <c r="K17" s="4"/>
      <c r="L17" s="10"/>
      <c r="M17" s="10" t="str">
        <f>IFERROR(IF(数据库!#REF!=0,"低压区",IF(数据库!#REF!=1,"中压区","高压区")),"Error")</f>
        <v>Error</v>
      </c>
      <c r="N17" s="10"/>
      <c r="O17" s="4"/>
      <c r="P17" s="4"/>
      <c r="Q17" s="18" t="e">
        <f>数据库!#REF!</f>
        <v>#REF!</v>
      </c>
      <c r="AA17" s="18" t="e">
        <f>数据库!#REF!</f>
        <v>#REF!</v>
      </c>
    </row>
    <row r="18" spans="1:27" ht="15">
      <c r="A18" s="4" t="str">
        <f t="shared" si="0"/>
        <v>017</v>
      </c>
      <c r="B18" s="5" t="s">
        <v>33</v>
      </c>
      <c r="C18" s="6" t="e">
        <f>数据库!#REF!&amp;"号楼"</f>
        <v>#REF!</v>
      </c>
      <c r="D18" s="15" t="e">
        <f>NUMBERSTRING(数据库!#REF!,3)&amp;"单元"</f>
        <v>#REF!</v>
      </c>
      <c r="E18" s="6" t="e">
        <f>数据库!#REF!</f>
        <v>#REF!</v>
      </c>
      <c r="F18" s="4"/>
      <c r="G18" s="6" t="e">
        <f t="shared" si="1"/>
        <v>#REF!</v>
      </c>
      <c r="H18" s="4"/>
      <c r="I18" s="9"/>
      <c r="J18" s="4"/>
      <c r="K18" s="4"/>
      <c r="L18" s="10"/>
      <c r="M18" s="10" t="str">
        <f>IFERROR(IF(数据库!#REF!=0,"低压区",IF(数据库!#REF!=1,"中压区","高压区")),"Error")</f>
        <v>Error</v>
      </c>
      <c r="N18" s="10"/>
      <c r="O18" s="4"/>
      <c r="P18" s="4"/>
      <c r="Q18" s="18" t="e">
        <f>数据库!#REF!</f>
        <v>#REF!</v>
      </c>
      <c r="AA18" s="18" t="e">
        <f>数据库!#REF!</f>
        <v>#REF!</v>
      </c>
    </row>
    <row r="19" spans="1:27" ht="15">
      <c r="A19" s="4" t="str">
        <f t="shared" si="0"/>
        <v>018</v>
      </c>
      <c r="B19" s="5" t="s">
        <v>33</v>
      </c>
      <c r="C19" s="6" t="e">
        <f>数据库!#REF!&amp;"号楼"</f>
        <v>#REF!</v>
      </c>
      <c r="D19" s="15" t="e">
        <f>NUMBERSTRING(数据库!#REF!,3)&amp;"单元"</f>
        <v>#REF!</v>
      </c>
      <c r="E19" s="6" t="e">
        <f>数据库!#REF!</f>
        <v>#REF!</v>
      </c>
      <c r="F19" s="4"/>
      <c r="G19" s="6" t="e">
        <f t="shared" si="1"/>
        <v>#REF!</v>
      </c>
      <c r="H19" s="4"/>
      <c r="I19" s="9"/>
      <c r="J19" s="4"/>
      <c r="K19" s="4"/>
      <c r="L19" s="10"/>
      <c r="M19" s="10" t="str">
        <f>IFERROR(IF(数据库!#REF!=0,"低压区",IF(数据库!#REF!=1,"中压区","高压区")),"Error")</f>
        <v>Error</v>
      </c>
      <c r="N19" s="10"/>
      <c r="O19" s="4"/>
      <c r="P19" s="4"/>
      <c r="Q19" s="18" t="e">
        <f>数据库!#REF!</f>
        <v>#REF!</v>
      </c>
      <c r="AA19" s="18" t="e">
        <f>数据库!#REF!</f>
        <v>#REF!</v>
      </c>
    </row>
    <row r="20" spans="1:27" ht="15">
      <c r="A20" s="4" t="str">
        <f t="shared" si="0"/>
        <v>019</v>
      </c>
      <c r="B20" s="5" t="s">
        <v>33</v>
      </c>
      <c r="C20" s="6" t="e">
        <f>数据库!#REF!&amp;"号楼"</f>
        <v>#REF!</v>
      </c>
      <c r="D20" s="15" t="e">
        <f>NUMBERSTRING(数据库!#REF!,3)&amp;"单元"</f>
        <v>#REF!</v>
      </c>
      <c r="E20" s="6" t="e">
        <f>数据库!#REF!</f>
        <v>#REF!</v>
      </c>
      <c r="F20" s="4"/>
      <c r="G20" s="6" t="e">
        <f t="shared" si="1"/>
        <v>#REF!</v>
      </c>
      <c r="H20" s="4"/>
      <c r="I20" s="9"/>
      <c r="J20" s="4"/>
      <c r="K20" s="4"/>
      <c r="L20" s="10"/>
      <c r="M20" s="10" t="str">
        <f>IFERROR(IF(数据库!#REF!=0,"低压区",IF(数据库!#REF!=1,"中压区","高压区")),"Error")</f>
        <v>Error</v>
      </c>
      <c r="N20" s="10"/>
      <c r="O20" s="4"/>
      <c r="P20" s="4"/>
      <c r="Q20" s="18" t="e">
        <f>数据库!#REF!</f>
        <v>#REF!</v>
      </c>
      <c r="AA20" s="18" t="e">
        <f>数据库!#REF!</f>
        <v>#REF!</v>
      </c>
    </row>
    <row r="21" spans="1:27" ht="15">
      <c r="A21" s="4" t="str">
        <f t="shared" si="0"/>
        <v>020</v>
      </c>
      <c r="B21" s="5" t="s">
        <v>33</v>
      </c>
      <c r="C21" s="6" t="e">
        <f>数据库!#REF!&amp;"号楼"</f>
        <v>#REF!</v>
      </c>
      <c r="D21" s="15" t="e">
        <f>NUMBERSTRING(数据库!#REF!,3)&amp;"单元"</f>
        <v>#REF!</v>
      </c>
      <c r="E21" s="6" t="e">
        <f>数据库!#REF!</f>
        <v>#REF!</v>
      </c>
      <c r="F21" s="4"/>
      <c r="G21" s="6" t="e">
        <f t="shared" si="1"/>
        <v>#REF!</v>
      </c>
      <c r="H21" s="4"/>
      <c r="I21" s="9"/>
      <c r="J21" s="4"/>
      <c r="K21" s="4"/>
      <c r="L21" s="10"/>
      <c r="M21" s="10" t="str">
        <f>IFERROR(IF(数据库!#REF!=0,"低压区",IF(数据库!#REF!=1,"中压区","高压区")),"Error")</f>
        <v>Error</v>
      </c>
      <c r="N21" s="10"/>
      <c r="O21" s="4"/>
      <c r="P21" s="4"/>
      <c r="Q21" s="18" t="e">
        <f>数据库!#REF!</f>
        <v>#REF!</v>
      </c>
      <c r="AA21" s="18" t="e">
        <f>数据库!#REF!</f>
        <v>#REF!</v>
      </c>
    </row>
    <row r="22" spans="1:27" ht="15">
      <c r="A22" s="4" t="str">
        <f t="shared" si="0"/>
        <v>021</v>
      </c>
      <c r="B22" s="5" t="s">
        <v>33</v>
      </c>
      <c r="C22" s="6" t="e">
        <f>数据库!#REF!&amp;"号楼"</f>
        <v>#REF!</v>
      </c>
      <c r="D22" s="15" t="e">
        <f>NUMBERSTRING(数据库!#REF!,3)&amp;"单元"</f>
        <v>#REF!</v>
      </c>
      <c r="E22" s="6" t="e">
        <f>数据库!#REF!</f>
        <v>#REF!</v>
      </c>
      <c r="F22" s="4"/>
      <c r="G22" s="6" t="e">
        <f t="shared" si="1"/>
        <v>#REF!</v>
      </c>
      <c r="H22" s="4"/>
      <c r="I22" s="9"/>
      <c r="J22" s="4"/>
      <c r="K22" s="4"/>
      <c r="L22" s="10"/>
      <c r="M22" s="10" t="str">
        <f>IFERROR(IF(数据库!#REF!=0,"低压区",IF(数据库!#REF!=1,"中压区","高压区")),"Error")</f>
        <v>Error</v>
      </c>
      <c r="N22" s="10"/>
      <c r="O22" s="4"/>
      <c r="P22" s="4"/>
      <c r="Q22" s="18" t="e">
        <f>数据库!#REF!</f>
        <v>#REF!</v>
      </c>
      <c r="AA22" s="18" t="e">
        <f>数据库!#REF!</f>
        <v>#REF!</v>
      </c>
    </row>
    <row r="23" spans="1:27" ht="15">
      <c r="A23" s="4" t="str">
        <f t="shared" si="0"/>
        <v>022</v>
      </c>
      <c r="B23" s="5" t="s">
        <v>33</v>
      </c>
      <c r="C23" s="6" t="e">
        <f>数据库!#REF!&amp;"号楼"</f>
        <v>#REF!</v>
      </c>
      <c r="D23" s="15" t="e">
        <f>NUMBERSTRING(数据库!#REF!,3)&amp;"单元"</f>
        <v>#REF!</v>
      </c>
      <c r="E23" s="6" t="e">
        <f>数据库!#REF!</f>
        <v>#REF!</v>
      </c>
      <c r="F23" s="4"/>
      <c r="G23" s="6" t="e">
        <f t="shared" si="1"/>
        <v>#REF!</v>
      </c>
      <c r="H23" s="4"/>
      <c r="I23" s="9"/>
      <c r="J23" s="4"/>
      <c r="K23" s="4"/>
      <c r="L23" s="10"/>
      <c r="M23" s="10" t="str">
        <f>IFERROR(IF(数据库!#REF!=0,"低压区",IF(数据库!#REF!=1,"中压区","高压区")),"Error")</f>
        <v>Error</v>
      </c>
      <c r="N23" s="10"/>
      <c r="O23" s="4"/>
      <c r="P23" s="4"/>
      <c r="Q23" s="18" t="e">
        <f>数据库!#REF!</f>
        <v>#REF!</v>
      </c>
      <c r="AA23" s="18" t="e">
        <f>数据库!#REF!</f>
        <v>#REF!</v>
      </c>
    </row>
    <row r="24" spans="1:27" ht="15">
      <c r="A24" s="4" t="str">
        <f t="shared" si="0"/>
        <v>023</v>
      </c>
      <c r="B24" s="5" t="s">
        <v>33</v>
      </c>
      <c r="C24" s="6" t="e">
        <f>数据库!#REF!&amp;"号楼"</f>
        <v>#REF!</v>
      </c>
      <c r="D24" s="15" t="e">
        <f>NUMBERSTRING(数据库!#REF!,3)&amp;"单元"</f>
        <v>#REF!</v>
      </c>
      <c r="E24" s="6" t="e">
        <f>数据库!#REF!</f>
        <v>#REF!</v>
      </c>
      <c r="F24" s="4"/>
      <c r="G24" s="6" t="e">
        <f t="shared" si="1"/>
        <v>#REF!</v>
      </c>
      <c r="H24" s="4"/>
      <c r="I24" s="9"/>
      <c r="J24" s="4"/>
      <c r="K24" s="4"/>
      <c r="L24" s="10"/>
      <c r="M24" s="10" t="str">
        <f>IFERROR(IF(数据库!#REF!=0,"低压区",IF(数据库!#REF!=1,"中压区","高压区")),"Error")</f>
        <v>Error</v>
      </c>
      <c r="N24" s="10"/>
      <c r="O24" s="4"/>
      <c r="P24" s="4"/>
      <c r="Q24" s="18" t="e">
        <f>数据库!#REF!</f>
        <v>#REF!</v>
      </c>
      <c r="AA24" s="18" t="e">
        <f>数据库!#REF!</f>
        <v>#REF!</v>
      </c>
    </row>
    <row r="25" spans="1:27" ht="15">
      <c r="A25" s="4" t="str">
        <f t="shared" si="0"/>
        <v>024</v>
      </c>
      <c r="B25" s="5" t="s">
        <v>33</v>
      </c>
      <c r="C25" s="6" t="e">
        <f>数据库!#REF!&amp;"号楼"</f>
        <v>#REF!</v>
      </c>
      <c r="D25" s="15" t="e">
        <f>NUMBERSTRING(数据库!#REF!,3)&amp;"单元"</f>
        <v>#REF!</v>
      </c>
      <c r="E25" s="6" t="e">
        <f>数据库!#REF!</f>
        <v>#REF!</v>
      </c>
      <c r="F25" s="4"/>
      <c r="G25" s="6" t="e">
        <f t="shared" si="1"/>
        <v>#REF!</v>
      </c>
      <c r="H25" s="4"/>
      <c r="I25" s="9"/>
      <c r="J25" s="4"/>
      <c r="K25" s="4"/>
      <c r="L25" s="10"/>
      <c r="M25" s="10" t="str">
        <f>IFERROR(IF(数据库!#REF!=0,"低压区",IF(数据库!#REF!=1,"中压区","高压区")),"Error")</f>
        <v>Error</v>
      </c>
      <c r="N25" s="10"/>
      <c r="O25" s="4"/>
      <c r="P25" s="4"/>
      <c r="Q25" s="18" t="e">
        <f>数据库!#REF!</f>
        <v>#REF!</v>
      </c>
      <c r="AA25" s="18" t="e">
        <f>数据库!#REF!</f>
        <v>#REF!</v>
      </c>
    </row>
    <row r="26" spans="1:27" ht="15">
      <c r="A26" s="4" t="str">
        <f t="shared" si="0"/>
        <v>025</v>
      </c>
      <c r="B26" s="5" t="s">
        <v>33</v>
      </c>
      <c r="C26" s="6" t="e">
        <f>数据库!#REF!&amp;"号楼"</f>
        <v>#REF!</v>
      </c>
      <c r="D26" s="15" t="e">
        <f>NUMBERSTRING(数据库!#REF!,3)&amp;"单元"</f>
        <v>#REF!</v>
      </c>
      <c r="E26" s="6" t="e">
        <f>数据库!#REF!</f>
        <v>#REF!</v>
      </c>
      <c r="F26" s="4"/>
      <c r="G26" s="6" t="e">
        <f t="shared" si="1"/>
        <v>#REF!</v>
      </c>
      <c r="H26" s="4"/>
      <c r="I26" s="9"/>
      <c r="J26" s="4"/>
      <c r="K26" s="4"/>
      <c r="L26" s="10"/>
      <c r="M26" s="10" t="str">
        <f>IFERROR(IF(数据库!#REF!=0,"低压区",IF(数据库!#REF!=1,"中压区","高压区")),"Error")</f>
        <v>Error</v>
      </c>
      <c r="N26" s="10"/>
      <c r="O26" s="4"/>
      <c r="P26" s="4"/>
      <c r="Q26" s="18" t="e">
        <f>数据库!#REF!</f>
        <v>#REF!</v>
      </c>
      <c r="AA26" s="18" t="e">
        <f>数据库!#REF!</f>
        <v>#REF!</v>
      </c>
    </row>
    <row r="27" spans="1:27" ht="15">
      <c r="A27" s="4" t="str">
        <f t="shared" si="0"/>
        <v>026</v>
      </c>
      <c r="B27" s="5" t="s">
        <v>33</v>
      </c>
      <c r="C27" s="6" t="e">
        <f>数据库!#REF!&amp;"号楼"</f>
        <v>#REF!</v>
      </c>
      <c r="D27" s="15" t="e">
        <f>NUMBERSTRING(数据库!#REF!,3)&amp;"单元"</f>
        <v>#REF!</v>
      </c>
      <c r="E27" s="6" t="e">
        <f>数据库!#REF!</f>
        <v>#REF!</v>
      </c>
      <c r="F27" s="4"/>
      <c r="G27" s="6" t="e">
        <f t="shared" si="1"/>
        <v>#REF!</v>
      </c>
      <c r="H27" s="4"/>
      <c r="I27" s="9"/>
      <c r="J27" s="4"/>
      <c r="K27" s="4"/>
      <c r="L27" s="10"/>
      <c r="M27" s="10" t="str">
        <f>IFERROR(IF(数据库!#REF!=0,"低压区",IF(数据库!#REF!=1,"中压区","高压区")),"Error")</f>
        <v>Error</v>
      </c>
      <c r="N27" s="10"/>
      <c r="O27" s="4"/>
      <c r="P27" s="4"/>
      <c r="Q27" s="18" t="e">
        <f>数据库!#REF!</f>
        <v>#REF!</v>
      </c>
      <c r="AA27" s="18" t="e">
        <f>数据库!#REF!</f>
        <v>#REF!</v>
      </c>
    </row>
    <row r="28" spans="1:27" ht="15">
      <c r="A28" s="4" t="str">
        <f t="shared" si="0"/>
        <v>027</v>
      </c>
      <c r="B28" s="5" t="s">
        <v>33</v>
      </c>
      <c r="C28" s="6" t="e">
        <f>数据库!#REF!&amp;"号楼"</f>
        <v>#REF!</v>
      </c>
      <c r="D28" s="15" t="e">
        <f>NUMBERSTRING(数据库!#REF!,3)&amp;"单元"</f>
        <v>#REF!</v>
      </c>
      <c r="E28" s="6" t="e">
        <f>数据库!#REF!</f>
        <v>#REF!</v>
      </c>
      <c r="F28" s="4"/>
      <c r="G28" s="6" t="e">
        <f t="shared" si="1"/>
        <v>#REF!</v>
      </c>
      <c r="H28" s="4"/>
      <c r="I28" s="9"/>
      <c r="J28" s="4"/>
      <c r="K28" s="4"/>
      <c r="L28" s="10"/>
      <c r="M28" s="10" t="str">
        <f>IFERROR(IF(数据库!#REF!=0,"低压区",IF(数据库!#REF!=1,"中压区","高压区")),"Error")</f>
        <v>Error</v>
      </c>
      <c r="N28" s="10"/>
      <c r="O28" s="4"/>
      <c r="P28" s="4"/>
      <c r="Q28" s="18" t="e">
        <f>数据库!#REF!</f>
        <v>#REF!</v>
      </c>
      <c r="AA28" s="18" t="e">
        <f>数据库!#REF!</f>
        <v>#REF!</v>
      </c>
    </row>
    <row r="29" spans="1:27" ht="15">
      <c r="A29" s="4" t="str">
        <f t="shared" si="0"/>
        <v>028</v>
      </c>
      <c r="B29" s="5" t="s">
        <v>33</v>
      </c>
      <c r="C29" s="6" t="e">
        <f>数据库!#REF!&amp;"号楼"</f>
        <v>#REF!</v>
      </c>
      <c r="D29" s="15" t="e">
        <f>NUMBERSTRING(数据库!#REF!,3)&amp;"单元"</f>
        <v>#REF!</v>
      </c>
      <c r="E29" s="6" t="e">
        <f>数据库!#REF!</f>
        <v>#REF!</v>
      </c>
      <c r="F29" s="4"/>
      <c r="G29" s="6" t="e">
        <f t="shared" si="1"/>
        <v>#REF!</v>
      </c>
      <c r="H29" s="4"/>
      <c r="I29" s="9"/>
      <c r="J29" s="4"/>
      <c r="K29" s="4"/>
      <c r="L29" s="10"/>
      <c r="M29" s="10" t="str">
        <f>IFERROR(IF(数据库!#REF!=0,"低压区",IF(数据库!#REF!=1,"中压区","高压区")),"Error")</f>
        <v>Error</v>
      </c>
      <c r="N29" s="10"/>
      <c r="O29" s="4"/>
      <c r="P29" s="4"/>
      <c r="Q29" s="18" t="e">
        <f>数据库!#REF!</f>
        <v>#REF!</v>
      </c>
      <c r="AA29" s="18" t="e">
        <f>数据库!#REF!</f>
        <v>#REF!</v>
      </c>
    </row>
    <row r="30" spans="1:27" ht="15">
      <c r="A30" s="4" t="str">
        <f t="shared" si="0"/>
        <v>029</v>
      </c>
      <c r="B30" s="5" t="s">
        <v>33</v>
      </c>
      <c r="C30" s="6" t="e">
        <f>数据库!#REF!&amp;"号楼"</f>
        <v>#REF!</v>
      </c>
      <c r="D30" s="15" t="e">
        <f>NUMBERSTRING(数据库!#REF!,3)&amp;"单元"</f>
        <v>#REF!</v>
      </c>
      <c r="E30" s="6" t="e">
        <f>数据库!#REF!</f>
        <v>#REF!</v>
      </c>
      <c r="F30" s="4"/>
      <c r="G30" s="6" t="e">
        <f t="shared" si="1"/>
        <v>#REF!</v>
      </c>
      <c r="H30" s="4"/>
      <c r="I30" s="9"/>
      <c r="J30" s="4"/>
      <c r="K30" s="4"/>
      <c r="L30" s="10"/>
      <c r="M30" s="10" t="str">
        <f>IFERROR(IF(数据库!#REF!=0,"低压区",IF(数据库!#REF!=1,"中压区","高压区")),"Error")</f>
        <v>Error</v>
      </c>
      <c r="N30" s="10"/>
      <c r="O30" s="4"/>
      <c r="P30" s="4"/>
      <c r="Q30" s="18" t="e">
        <f>数据库!#REF!</f>
        <v>#REF!</v>
      </c>
      <c r="AA30" s="18" t="e">
        <f>数据库!#REF!</f>
        <v>#REF!</v>
      </c>
    </row>
    <row r="31" spans="1:27" ht="15">
      <c r="A31" s="4" t="str">
        <f t="shared" si="0"/>
        <v>030</v>
      </c>
      <c r="B31" s="5" t="s">
        <v>33</v>
      </c>
      <c r="C31" s="6" t="e">
        <f>数据库!#REF!&amp;"号楼"</f>
        <v>#REF!</v>
      </c>
      <c r="D31" s="15" t="e">
        <f>NUMBERSTRING(数据库!#REF!,3)&amp;"单元"</f>
        <v>#REF!</v>
      </c>
      <c r="E31" s="6" t="e">
        <f>数据库!#REF!</f>
        <v>#REF!</v>
      </c>
      <c r="F31" s="4"/>
      <c r="G31" s="6" t="e">
        <f t="shared" si="1"/>
        <v>#REF!</v>
      </c>
      <c r="H31" s="4"/>
      <c r="I31" s="9"/>
      <c r="J31" s="4"/>
      <c r="K31" s="4"/>
      <c r="L31" s="10"/>
      <c r="M31" s="10" t="str">
        <f>IFERROR(IF(数据库!#REF!=0,"低压区",IF(数据库!#REF!=1,"中压区","高压区")),"Error")</f>
        <v>Error</v>
      </c>
      <c r="N31" s="10"/>
      <c r="O31" s="4"/>
      <c r="P31" s="4"/>
      <c r="Q31" s="18" t="e">
        <f>数据库!#REF!</f>
        <v>#REF!</v>
      </c>
      <c r="AA31" s="18" t="e">
        <f>数据库!#REF!</f>
        <v>#REF!</v>
      </c>
    </row>
    <row r="32" spans="1:27" ht="15">
      <c r="A32" s="4" t="str">
        <f t="shared" si="0"/>
        <v>031</v>
      </c>
      <c r="B32" s="5" t="s">
        <v>33</v>
      </c>
      <c r="C32" s="6" t="e">
        <f>数据库!#REF!&amp;"号楼"</f>
        <v>#REF!</v>
      </c>
      <c r="D32" s="15" t="e">
        <f>NUMBERSTRING(数据库!#REF!,3)&amp;"单元"</f>
        <v>#REF!</v>
      </c>
      <c r="E32" s="6" t="e">
        <f>数据库!#REF!</f>
        <v>#REF!</v>
      </c>
      <c r="F32" s="4"/>
      <c r="G32" s="6" t="e">
        <f t="shared" si="1"/>
        <v>#REF!</v>
      </c>
      <c r="H32" s="4"/>
      <c r="I32" s="9"/>
      <c r="J32" s="4"/>
      <c r="K32" s="4"/>
      <c r="L32" s="10"/>
      <c r="M32" s="10" t="str">
        <f>IFERROR(IF(数据库!#REF!=0,"低压区",IF(数据库!#REF!=1,"中压区","高压区")),"Error")</f>
        <v>Error</v>
      </c>
      <c r="N32" s="10"/>
      <c r="O32" s="4"/>
      <c r="P32" s="4"/>
      <c r="Q32" s="18" t="e">
        <f>数据库!#REF!</f>
        <v>#REF!</v>
      </c>
      <c r="AA32" s="18" t="e">
        <f>数据库!#REF!</f>
        <v>#REF!</v>
      </c>
    </row>
    <row r="33" spans="1:27" ht="15">
      <c r="A33" s="4" t="str">
        <f t="shared" si="0"/>
        <v>032</v>
      </c>
      <c r="B33" s="5" t="s">
        <v>33</v>
      </c>
      <c r="C33" s="6" t="e">
        <f>数据库!#REF!&amp;"号楼"</f>
        <v>#REF!</v>
      </c>
      <c r="D33" s="15" t="e">
        <f>NUMBERSTRING(数据库!#REF!,3)&amp;"单元"</f>
        <v>#REF!</v>
      </c>
      <c r="E33" s="6" t="e">
        <f>数据库!#REF!</f>
        <v>#REF!</v>
      </c>
      <c r="F33" s="4"/>
      <c r="G33" s="6" t="e">
        <f t="shared" si="1"/>
        <v>#REF!</v>
      </c>
      <c r="H33" s="4"/>
      <c r="I33" s="9"/>
      <c r="J33" s="4"/>
      <c r="K33" s="4"/>
      <c r="L33" s="10"/>
      <c r="M33" s="10" t="str">
        <f>IFERROR(IF(数据库!#REF!=0,"低压区",IF(数据库!#REF!=1,"中压区","高压区")),"Error")</f>
        <v>Error</v>
      </c>
      <c r="N33" s="10"/>
      <c r="O33" s="4"/>
      <c r="P33" s="4"/>
      <c r="Q33" s="18" t="e">
        <f>数据库!#REF!</f>
        <v>#REF!</v>
      </c>
      <c r="AA33" s="18" t="e">
        <f>数据库!#REF!</f>
        <v>#REF!</v>
      </c>
    </row>
    <row r="34" spans="1:27" ht="15">
      <c r="A34" s="4" t="str">
        <f t="shared" si="0"/>
        <v>033</v>
      </c>
      <c r="B34" s="5" t="s">
        <v>33</v>
      </c>
      <c r="C34" s="6" t="e">
        <f>数据库!#REF!&amp;"号楼"</f>
        <v>#REF!</v>
      </c>
      <c r="D34" s="15" t="e">
        <f>NUMBERSTRING(数据库!#REF!,3)&amp;"单元"</f>
        <v>#REF!</v>
      </c>
      <c r="E34" s="6" t="e">
        <f>数据库!#REF!</f>
        <v>#REF!</v>
      </c>
      <c r="F34" s="4"/>
      <c r="G34" s="6" t="e">
        <f t="shared" si="1"/>
        <v>#REF!</v>
      </c>
      <c r="H34" s="4"/>
      <c r="I34" s="9"/>
      <c r="J34" s="4"/>
      <c r="K34" s="4"/>
      <c r="L34" s="10"/>
      <c r="M34" s="10" t="str">
        <f>IFERROR(IF(数据库!#REF!=0,"低压区",IF(数据库!#REF!=1,"中压区","高压区")),"Error")</f>
        <v>Error</v>
      </c>
      <c r="N34" s="10"/>
      <c r="O34" s="4"/>
      <c r="P34" s="4"/>
      <c r="Q34" s="18" t="e">
        <f>数据库!#REF!</f>
        <v>#REF!</v>
      </c>
      <c r="AA34" s="18" t="e">
        <f>数据库!#REF!</f>
        <v>#REF!</v>
      </c>
    </row>
    <row r="35" spans="1:27" ht="15">
      <c r="A35" s="4" t="str">
        <f t="shared" si="0"/>
        <v>034</v>
      </c>
      <c r="B35" s="5" t="s">
        <v>33</v>
      </c>
      <c r="C35" s="6" t="e">
        <f>数据库!#REF!&amp;"号楼"</f>
        <v>#REF!</v>
      </c>
      <c r="D35" s="15" t="e">
        <f>NUMBERSTRING(数据库!#REF!,3)&amp;"单元"</f>
        <v>#REF!</v>
      </c>
      <c r="E35" s="6" t="e">
        <f>数据库!#REF!</f>
        <v>#REF!</v>
      </c>
      <c r="F35" s="4"/>
      <c r="G35" s="6" t="e">
        <f t="shared" si="1"/>
        <v>#REF!</v>
      </c>
      <c r="H35" s="4"/>
      <c r="I35" s="9"/>
      <c r="J35" s="4"/>
      <c r="K35" s="4"/>
      <c r="L35" s="10"/>
      <c r="M35" s="10" t="str">
        <f>IFERROR(IF(数据库!#REF!=0,"低压区",IF(数据库!#REF!=1,"中压区","高压区")),"Error")</f>
        <v>Error</v>
      </c>
      <c r="N35" s="10"/>
      <c r="O35" s="4"/>
      <c r="P35" s="4"/>
      <c r="Q35" s="18" t="e">
        <f>数据库!#REF!</f>
        <v>#REF!</v>
      </c>
      <c r="AA35" s="18" t="e">
        <f>数据库!#REF!</f>
        <v>#REF!</v>
      </c>
    </row>
    <row r="36" spans="1:27" ht="15">
      <c r="A36" s="4" t="str">
        <f t="shared" si="0"/>
        <v>035</v>
      </c>
      <c r="B36" s="5" t="s">
        <v>33</v>
      </c>
      <c r="C36" s="6" t="e">
        <f>数据库!#REF!&amp;"号楼"</f>
        <v>#REF!</v>
      </c>
      <c r="D36" s="15" t="e">
        <f>NUMBERSTRING(数据库!#REF!,3)&amp;"单元"</f>
        <v>#REF!</v>
      </c>
      <c r="E36" s="6" t="e">
        <f>数据库!#REF!</f>
        <v>#REF!</v>
      </c>
      <c r="F36" s="4"/>
      <c r="G36" s="6" t="e">
        <f t="shared" si="1"/>
        <v>#REF!</v>
      </c>
      <c r="H36" s="4"/>
      <c r="I36" s="9"/>
      <c r="J36" s="4"/>
      <c r="K36" s="4"/>
      <c r="L36" s="10"/>
      <c r="M36" s="10" t="str">
        <f>IFERROR(IF(数据库!#REF!=0,"低压区",IF(数据库!#REF!=1,"中压区","高压区")),"Error")</f>
        <v>Error</v>
      </c>
      <c r="N36" s="10"/>
      <c r="O36" s="4"/>
      <c r="P36" s="4"/>
      <c r="Q36" s="18" t="e">
        <f>数据库!#REF!</f>
        <v>#REF!</v>
      </c>
      <c r="AA36" s="18" t="e">
        <f>数据库!#REF!</f>
        <v>#REF!</v>
      </c>
    </row>
    <row r="37" spans="1:27" ht="15">
      <c r="A37" s="4" t="str">
        <f t="shared" si="0"/>
        <v>036</v>
      </c>
      <c r="B37" s="5" t="s">
        <v>33</v>
      </c>
      <c r="C37" s="6" t="e">
        <f>数据库!#REF!&amp;"号楼"</f>
        <v>#REF!</v>
      </c>
      <c r="D37" s="15" t="e">
        <f>NUMBERSTRING(数据库!#REF!,3)&amp;"单元"</f>
        <v>#REF!</v>
      </c>
      <c r="E37" s="6" t="e">
        <f>数据库!#REF!</f>
        <v>#REF!</v>
      </c>
      <c r="F37" s="4"/>
      <c r="G37" s="6" t="e">
        <f t="shared" si="1"/>
        <v>#REF!</v>
      </c>
      <c r="H37" s="4"/>
      <c r="I37" s="9"/>
      <c r="J37" s="4"/>
      <c r="K37" s="4"/>
      <c r="L37" s="10"/>
      <c r="M37" s="10" t="str">
        <f>IFERROR(IF(数据库!#REF!=0,"低压区",IF(数据库!#REF!=1,"中压区","高压区")),"Error")</f>
        <v>Error</v>
      </c>
      <c r="N37" s="10"/>
      <c r="O37" s="4"/>
      <c r="P37" s="4"/>
      <c r="Q37" s="18" t="e">
        <f>数据库!#REF!</f>
        <v>#REF!</v>
      </c>
      <c r="AA37" s="18" t="e">
        <f>数据库!#REF!</f>
        <v>#REF!</v>
      </c>
    </row>
    <row r="38" spans="1:27" ht="15">
      <c r="A38" s="4" t="str">
        <f t="shared" si="0"/>
        <v>037</v>
      </c>
      <c r="B38" s="5" t="s">
        <v>33</v>
      </c>
      <c r="C38" s="6" t="e">
        <f>数据库!#REF!&amp;"号楼"</f>
        <v>#REF!</v>
      </c>
      <c r="D38" s="15" t="e">
        <f>NUMBERSTRING(数据库!#REF!,3)&amp;"单元"</f>
        <v>#REF!</v>
      </c>
      <c r="E38" s="6" t="e">
        <f>数据库!#REF!</f>
        <v>#REF!</v>
      </c>
      <c r="F38" s="4"/>
      <c r="G38" s="6" t="e">
        <f t="shared" si="1"/>
        <v>#REF!</v>
      </c>
      <c r="H38" s="4"/>
      <c r="I38" s="9"/>
      <c r="J38" s="4"/>
      <c r="K38" s="4"/>
      <c r="L38" s="10"/>
      <c r="M38" s="10" t="str">
        <f>IFERROR(IF(数据库!#REF!=0,"低压区",IF(数据库!#REF!=1,"中压区","高压区")),"Error")</f>
        <v>Error</v>
      </c>
      <c r="N38" s="10"/>
      <c r="O38" s="4"/>
      <c r="P38" s="4"/>
      <c r="Q38" s="18" t="e">
        <f>数据库!#REF!</f>
        <v>#REF!</v>
      </c>
      <c r="AA38" s="18" t="e">
        <f>数据库!#REF!</f>
        <v>#REF!</v>
      </c>
    </row>
    <row r="39" spans="1:27" ht="15">
      <c r="A39" s="4" t="str">
        <f t="shared" si="0"/>
        <v>038</v>
      </c>
      <c r="B39" s="5" t="s">
        <v>33</v>
      </c>
      <c r="C39" s="6" t="e">
        <f>数据库!#REF!&amp;"号楼"</f>
        <v>#REF!</v>
      </c>
      <c r="D39" s="15" t="e">
        <f>NUMBERSTRING(数据库!#REF!,3)&amp;"单元"</f>
        <v>#REF!</v>
      </c>
      <c r="E39" s="6" t="e">
        <f>数据库!#REF!</f>
        <v>#REF!</v>
      </c>
      <c r="F39" s="4"/>
      <c r="G39" s="6" t="e">
        <f t="shared" si="1"/>
        <v>#REF!</v>
      </c>
      <c r="H39" s="4"/>
      <c r="I39" s="9"/>
      <c r="J39" s="4"/>
      <c r="K39" s="4"/>
      <c r="L39" s="10"/>
      <c r="M39" s="10" t="str">
        <f>IFERROR(IF(数据库!#REF!=0,"低压区",IF(数据库!#REF!=1,"中压区","高压区")),"Error")</f>
        <v>Error</v>
      </c>
      <c r="N39" s="10"/>
      <c r="O39" s="4"/>
      <c r="P39" s="4"/>
      <c r="Q39" s="18" t="e">
        <f>数据库!#REF!</f>
        <v>#REF!</v>
      </c>
      <c r="AA39" s="18" t="e">
        <f>数据库!#REF!</f>
        <v>#REF!</v>
      </c>
    </row>
    <row r="40" spans="1:27" ht="15">
      <c r="A40" s="4" t="str">
        <f t="shared" si="0"/>
        <v>039</v>
      </c>
      <c r="B40" s="5" t="s">
        <v>33</v>
      </c>
      <c r="C40" s="6" t="e">
        <f>数据库!#REF!&amp;"号楼"</f>
        <v>#REF!</v>
      </c>
      <c r="D40" s="15" t="e">
        <f>NUMBERSTRING(数据库!#REF!,3)&amp;"单元"</f>
        <v>#REF!</v>
      </c>
      <c r="E40" s="6" t="e">
        <f>数据库!#REF!</f>
        <v>#REF!</v>
      </c>
      <c r="F40" s="4"/>
      <c r="G40" s="6" t="e">
        <f t="shared" si="1"/>
        <v>#REF!</v>
      </c>
      <c r="H40" s="4"/>
      <c r="I40" s="9"/>
      <c r="J40" s="4"/>
      <c r="K40" s="4"/>
      <c r="L40" s="10"/>
      <c r="M40" s="10" t="str">
        <f>IFERROR(IF(数据库!#REF!=0,"低压区",IF(数据库!#REF!=1,"中压区","高压区")),"Error")</f>
        <v>Error</v>
      </c>
      <c r="N40" s="10"/>
      <c r="O40" s="4"/>
      <c r="P40" s="4"/>
      <c r="Q40" s="18" t="e">
        <f>数据库!#REF!</f>
        <v>#REF!</v>
      </c>
      <c r="AA40" s="18" t="e">
        <f>数据库!#REF!</f>
        <v>#REF!</v>
      </c>
    </row>
    <row r="41" spans="1:27" ht="15">
      <c r="A41" s="4" t="str">
        <f t="shared" si="0"/>
        <v>040</v>
      </c>
      <c r="B41" s="5" t="s">
        <v>33</v>
      </c>
      <c r="C41" s="6" t="e">
        <f>数据库!#REF!&amp;"号楼"</f>
        <v>#REF!</v>
      </c>
      <c r="D41" s="15" t="e">
        <f>NUMBERSTRING(数据库!#REF!,3)&amp;"单元"</f>
        <v>#REF!</v>
      </c>
      <c r="E41" s="6" t="e">
        <f>数据库!#REF!</f>
        <v>#REF!</v>
      </c>
      <c r="F41" s="4"/>
      <c r="G41" s="6" t="e">
        <f t="shared" si="1"/>
        <v>#REF!</v>
      </c>
      <c r="H41" s="4"/>
      <c r="I41" s="9"/>
      <c r="J41" s="4"/>
      <c r="K41" s="4"/>
      <c r="L41" s="10"/>
      <c r="M41" s="10" t="str">
        <f>IFERROR(IF(数据库!#REF!=0,"低压区",IF(数据库!#REF!=1,"中压区","高压区")),"Error")</f>
        <v>Error</v>
      </c>
      <c r="N41" s="10"/>
      <c r="O41" s="4"/>
      <c r="P41" s="4"/>
      <c r="Q41" s="18" t="e">
        <f>数据库!#REF!</f>
        <v>#REF!</v>
      </c>
      <c r="AA41" s="18" t="e">
        <f>数据库!#REF!</f>
        <v>#REF!</v>
      </c>
    </row>
    <row r="42" spans="1:27" ht="15">
      <c r="A42" s="4" t="str">
        <f t="shared" si="0"/>
        <v>041</v>
      </c>
      <c r="B42" s="5" t="s">
        <v>33</v>
      </c>
      <c r="C42" s="6" t="e">
        <f>数据库!#REF!&amp;"号楼"</f>
        <v>#REF!</v>
      </c>
      <c r="D42" s="15" t="e">
        <f>NUMBERSTRING(数据库!#REF!,3)&amp;"单元"</f>
        <v>#REF!</v>
      </c>
      <c r="E42" s="6" t="e">
        <f>数据库!#REF!</f>
        <v>#REF!</v>
      </c>
      <c r="F42" s="4"/>
      <c r="G42" s="6" t="e">
        <f t="shared" si="1"/>
        <v>#REF!</v>
      </c>
      <c r="H42" s="4"/>
      <c r="I42" s="9"/>
      <c r="J42" s="4"/>
      <c r="K42" s="4"/>
      <c r="L42" s="10"/>
      <c r="M42" s="10" t="str">
        <f>IFERROR(IF(数据库!#REF!=0,"低压区",IF(数据库!#REF!=1,"中压区","高压区")),"Error")</f>
        <v>Error</v>
      </c>
      <c r="N42" s="10"/>
      <c r="O42" s="4"/>
      <c r="P42" s="4"/>
      <c r="Q42" s="18" t="e">
        <f>数据库!#REF!</f>
        <v>#REF!</v>
      </c>
      <c r="AA42" s="18" t="e">
        <f>数据库!#REF!</f>
        <v>#REF!</v>
      </c>
    </row>
    <row r="43" spans="1:27" ht="15">
      <c r="A43" s="4" t="str">
        <f t="shared" si="0"/>
        <v>042</v>
      </c>
      <c r="B43" s="5" t="s">
        <v>33</v>
      </c>
      <c r="C43" s="6" t="e">
        <f>数据库!#REF!&amp;"号楼"</f>
        <v>#REF!</v>
      </c>
      <c r="D43" s="15" t="e">
        <f>NUMBERSTRING(数据库!#REF!,3)&amp;"单元"</f>
        <v>#REF!</v>
      </c>
      <c r="E43" s="6" t="e">
        <f>数据库!#REF!</f>
        <v>#REF!</v>
      </c>
      <c r="F43" s="4"/>
      <c r="G43" s="6" t="e">
        <f t="shared" si="1"/>
        <v>#REF!</v>
      </c>
      <c r="H43" s="4"/>
      <c r="I43" s="9"/>
      <c r="J43" s="4"/>
      <c r="K43" s="4"/>
      <c r="L43" s="10"/>
      <c r="M43" s="10" t="str">
        <f>IFERROR(IF(数据库!#REF!=0,"低压区",IF(数据库!#REF!=1,"中压区","高压区")),"Error")</f>
        <v>Error</v>
      </c>
      <c r="N43" s="10"/>
      <c r="O43" s="4"/>
      <c r="P43" s="4"/>
      <c r="Q43" s="18" t="e">
        <f>数据库!#REF!</f>
        <v>#REF!</v>
      </c>
      <c r="AA43" s="18" t="e">
        <f>数据库!#REF!</f>
        <v>#REF!</v>
      </c>
    </row>
    <row r="44" spans="1:27" ht="15">
      <c r="A44" s="4" t="str">
        <f t="shared" si="0"/>
        <v>043</v>
      </c>
      <c r="B44" s="5" t="s">
        <v>33</v>
      </c>
      <c r="C44" s="6" t="e">
        <f>数据库!#REF!&amp;"号楼"</f>
        <v>#REF!</v>
      </c>
      <c r="D44" s="15" t="e">
        <f>NUMBERSTRING(数据库!#REF!,3)&amp;"单元"</f>
        <v>#REF!</v>
      </c>
      <c r="E44" s="6" t="e">
        <f>数据库!#REF!</f>
        <v>#REF!</v>
      </c>
      <c r="F44" s="4"/>
      <c r="G44" s="6" t="e">
        <f t="shared" si="1"/>
        <v>#REF!</v>
      </c>
      <c r="H44" s="4"/>
      <c r="I44" s="9"/>
      <c r="J44" s="4"/>
      <c r="K44" s="4"/>
      <c r="L44" s="10"/>
      <c r="M44" s="10" t="str">
        <f>IFERROR(IF(数据库!#REF!=0,"低压区",IF(数据库!#REF!=1,"中压区","高压区")),"Error")</f>
        <v>Error</v>
      </c>
      <c r="N44" s="10"/>
      <c r="O44" s="4"/>
      <c r="P44" s="4"/>
      <c r="Q44" s="18" t="e">
        <f>数据库!#REF!</f>
        <v>#REF!</v>
      </c>
      <c r="AA44" s="18" t="e">
        <f>数据库!#REF!</f>
        <v>#REF!</v>
      </c>
    </row>
    <row r="45" spans="1:27" ht="15">
      <c r="A45" s="4" t="str">
        <f t="shared" si="0"/>
        <v>044</v>
      </c>
      <c r="B45" s="5" t="s">
        <v>33</v>
      </c>
      <c r="C45" s="6" t="e">
        <f>数据库!#REF!&amp;"号楼"</f>
        <v>#REF!</v>
      </c>
      <c r="D45" s="15" t="e">
        <f>NUMBERSTRING(数据库!#REF!,3)&amp;"单元"</f>
        <v>#REF!</v>
      </c>
      <c r="E45" s="6" t="e">
        <f>数据库!#REF!</f>
        <v>#REF!</v>
      </c>
      <c r="F45" s="4"/>
      <c r="G45" s="6" t="e">
        <f t="shared" si="1"/>
        <v>#REF!</v>
      </c>
      <c r="H45" s="4"/>
      <c r="I45" s="9"/>
      <c r="J45" s="4"/>
      <c r="K45" s="4"/>
      <c r="L45" s="10"/>
      <c r="M45" s="10" t="str">
        <f>IFERROR(IF(数据库!#REF!=0,"低压区",IF(数据库!#REF!=1,"中压区","高压区")),"Error")</f>
        <v>Error</v>
      </c>
      <c r="N45" s="10"/>
      <c r="O45" s="4"/>
      <c r="P45" s="4"/>
      <c r="Q45" s="18" t="e">
        <f>数据库!#REF!</f>
        <v>#REF!</v>
      </c>
      <c r="AA45" s="18" t="e">
        <f>数据库!#REF!</f>
        <v>#REF!</v>
      </c>
    </row>
    <row r="46" spans="1:27" ht="15">
      <c r="A46" s="4" t="str">
        <f t="shared" si="0"/>
        <v>045</v>
      </c>
      <c r="B46" s="5" t="s">
        <v>33</v>
      </c>
      <c r="C46" s="6" t="e">
        <f>数据库!#REF!&amp;"号楼"</f>
        <v>#REF!</v>
      </c>
      <c r="D46" s="15" t="e">
        <f>NUMBERSTRING(数据库!#REF!,3)&amp;"单元"</f>
        <v>#REF!</v>
      </c>
      <c r="E46" s="6" t="e">
        <f>数据库!#REF!</f>
        <v>#REF!</v>
      </c>
      <c r="F46" s="4"/>
      <c r="G46" s="6" t="e">
        <f t="shared" si="1"/>
        <v>#REF!</v>
      </c>
      <c r="H46" s="4"/>
      <c r="I46" s="9"/>
      <c r="J46" s="4"/>
      <c r="K46" s="4"/>
      <c r="L46" s="10"/>
      <c r="M46" s="10" t="str">
        <f>IFERROR(IF(数据库!#REF!=0,"低压区",IF(数据库!#REF!=1,"中压区","高压区")),"Error")</f>
        <v>Error</v>
      </c>
      <c r="N46" s="10"/>
      <c r="O46" s="4"/>
      <c r="P46" s="4"/>
      <c r="Q46" s="18" t="e">
        <f>数据库!#REF!</f>
        <v>#REF!</v>
      </c>
      <c r="AA46" s="18" t="e">
        <f>数据库!#REF!</f>
        <v>#REF!</v>
      </c>
    </row>
    <row r="47" spans="1:27" ht="15">
      <c r="A47" s="4" t="str">
        <f t="shared" si="0"/>
        <v>046</v>
      </c>
      <c r="B47" s="5" t="s">
        <v>33</v>
      </c>
      <c r="C47" s="6" t="e">
        <f>数据库!#REF!&amp;"号楼"</f>
        <v>#REF!</v>
      </c>
      <c r="D47" s="15" t="e">
        <f>NUMBERSTRING(数据库!#REF!,3)&amp;"单元"</f>
        <v>#REF!</v>
      </c>
      <c r="E47" s="6" t="e">
        <f>数据库!#REF!</f>
        <v>#REF!</v>
      </c>
      <c r="F47" s="4"/>
      <c r="G47" s="6" t="e">
        <f t="shared" si="1"/>
        <v>#REF!</v>
      </c>
      <c r="H47" s="4"/>
      <c r="I47" s="9"/>
      <c r="J47" s="4"/>
      <c r="K47" s="4"/>
      <c r="L47" s="10"/>
      <c r="M47" s="10" t="str">
        <f>IFERROR(IF(数据库!#REF!=0,"低压区",IF(数据库!#REF!=1,"中压区","高压区")),"Error")</f>
        <v>Error</v>
      </c>
      <c r="N47" s="10"/>
      <c r="O47" s="4"/>
      <c r="P47" s="4"/>
      <c r="Q47" s="18" t="e">
        <f>数据库!#REF!</f>
        <v>#REF!</v>
      </c>
      <c r="AA47" s="18" t="e">
        <f>数据库!#REF!</f>
        <v>#REF!</v>
      </c>
    </row>
    <row r="48" spans="1:27" ht="15">
      <c r="A48" s="4" t="str">
        <f t="shared" si="0"/>
        <v>047</v>
      </c>
      <c r="B48" s="5" t="s">
        <v>33</v>
      </c>
      <c r="C48" s="6" t="e">
        <f>数据库!#REF!&amp;"号楼"</f>
        <v>#REF!</v>
      </c>
      <c r="D48" s="15" t="e">
        <f>NUMBERSTRING(数据库!#REF!,3)&amp;"单元"</f>
        <v>#REF!</v>
      </c>
      <c r="E48" s="6" t="e">
        <f>数据库!#REF!</f>
        <v>#REF!</v>
      </c>
      <c r="F48" s="4"/>
      <c r="G48" s="6" t="e">
        <f t="shared" si="1"/>
        <v>#REF!</v>
      </c>
      <c r="H48" s="4"/>
      <c r="I48" s="9"/>
      <c r="J48" s="4"/>
      <c r="K48" s="4"/>
      <c r="L48" s="10"/>
      <c r="M48" s="10" t="str">
        <f>IFERROR(IF(数据库!#REF!=0,"低压区",IF(数据库!#REF!=1,"中压区","高压区")),"Error")</f>
        <v>Error</v>
      </c>
      <c r="N48" s="10"/>
      <c r="O48" s="4"/>
      <c r="P48" s="4"/>
      <c r="Q48" s="18" t="e">
        <f>数据库!#REF!</f>
        <v>#REF!</v>
      </c>
      <c r="AA48" s="18" t="e">
        <f>数据库!#REF!</f>
        <v>#REF!</v>
      </c>
    </row>
    <row r="49" spans="1:27" ht="15">
      <c r="A49" s="4" t="str">
        <f t="shared" si="0"/>
        <v>048</v>
      </c>
      <c r="B49" s="5" t="s">
        <v>33</v>
      </c>
      <c r="C49" s="6" t="e">
        <f>数据库!#REF!&amp;"号楼"</f>
        <v>#REF!</v>
      </c>
      <c r="D49" s="15" t="e">
        <f>NUMBERSTRING(数据库!#REF!,3)&amp;"单元"</f>
        <v>#REF!</v>
      </c>
      <c r="E49" s="6" t="e">
        <f>数据库!#REF!</f>
        <v>#REF!</v>
      </c>
      <c r="F49" s="4"/>
      <c r="G49" s="6" t="e">
        <f t="shared" si="1"/>
        <v>#REF!</v>
      </c>
      <c r="H49" s="4"/>
      <c r="I49" s="9"/>
      <c r="J49" s="4"/>
      <c r="K49" s="4"/>
      <c r="L49" s="10"/>
      <c r="M49" s="10" t="str">
        <f>IFERROR(IF(数据库!#REF!=0,"低压区",IF(数据库!#REF!=1,"中压区","高压区")),"Error")</f>
        <v>Error</v>
      </c>
      <c r="N49" s="10"/>
      <c r="O49" s="4"/>
      <c r="P49" s="4"/>
      <c r="Q49" s="18" t="e">
        <f>数据库!#REF!</f>
        <v>#REF!</v>
      </c>
      <c r="AA49" s="18" t="e">
        <f>数据库!#REF!</f>
        <v>#REF!</v>
      </c>
    </row>
    <row r="50" spans="1:27" ht="15">
      <c r="A50" s="4" t="str">
        <f t="shared" si="0"/>
        <v>049</v>
      </c>
      <c r="B50" s="5" t="s">
        <v>33</v>
      </c>
      <c r="C50" s="6" t="e">
        <f>数据库!#REF!&amp;"号楼"</f>
        <v>#REF!</v>
      </c>
      <c r="D50" s="15" t="e">
        <f>NUMBERSTRING(数据库!#REF!,3)&amp;"单元"</f>
        <v>#REF!</v>
      </c>
      <c r="E50" s="6" t="e">
        <f>数据库!#REF!</f>
        <v>#REF!</v>
      </c>
      <c r="F50" s="4"/>
      <c r="G50" s="6" t="e">
        <f t="shared" si="1"/>
        <v>#REF!</v>
      </c>
      <c r="H50" s="4"/>
      <c r="I50" s="9"/>
      <c r="J50" s="4"/>
      <c r="K50" s="4"/>
      <c r="L50" s="10"/>
      <c r="M50" s="10" t="str">
        <f>IFERROR(IF(数据库!#REF!=0,"低压区",IF(数据库!#REF!=1,"中压区","高压区")),"Error")</f>
        <v>Error</v>
      </c>
      <c r="N50" s="10"/>
      <c r="O50" s="4"/>
      <c r="P50" s="4"/>
      <c r="Q50" s="18" t="e">
        <f>数据库!#REF!</f>
        <v>#REF!</v>
      </c>
      <c r="AA50" s="18" t="e">
        <f>数据库!#REF!</f>
        <v>#REF!</v>
      </c>
    </row>
    <row r="51" spans="1:27" ht="15">
      <c r="A51" s="4" t="str">
        <f t="shared" si="0"/>
        <v>050</v>
      </c>
      <c r="B51" s="5" t="s">
        <v>33</v>
      </c>
      <c r="C51" s="6" t="e">
        <f>数据库!#REF!&amp;"号楼"</f>
        <v>#REF!</v>
      </c>
      <c r="D51" s="15" t="e">
        <f>NUMBERSTRING(数据库!#REF!,3)&amp;"单元"</f>
        <v>#REF!</v>
      </c>
      <c r="E51" s="6" t="e">
        <f>数据库!#REF!</f>
        <v>#REF!</v>
      </c>
      <c r="F51" s="4"/>
      <c r="G51" s="6" t="e">
        <f t="shared" si="1"/>
        <v>#REF!</v>
      </c>
      <c r="H51" s="4"/>
      <c r="I51" s="9"/>
      <c r="J51" s="4"/>
      <c r="K51" s="4"/>
      <c r="L51" s="10"/>
      <c r="M51" s="10" t="str">
        <f>IFERROR(IF(数据库!#REF!=0,"低压区",IF(数据库!#REF!=1,"中压区","高压区")),"Error")</f>
        <v>Error</v>
      </c>
      <c r="N51" s="10"/>
      <c r="O51" s="4"/>
      <c r="P51" s="4"/>
      <c r="Q51" s="18" t="e">
        <f>数据库!#REF!</f>
        <v>#REF!</v>
      </c>
      <c r="AA51" s="18" t="e">
        <f>数据库!#REF!</f>
        <v>#REF!</v>
      </c>
    </row>
    <row r="52" spans="1:27" ht="15">
      <c r="A52" s="4" t="str">
        <f t="shared" si="0"/>
        <v>051</v>
      </c>
      <c r="B52" s="5" t="s">
        <v>33</v>
      </c>
      <c r="C52" s="6" t="e">
        <f>数据库!#REF!&amp;"号楼"</f>
        <v>#REF!</v>
      </c>
      <c r="D52" s="15" t="e">
        <f>NUMBERSTRING(数据库!#REF!,3)&amp;"单元"</f>
        <v>#REF!</v>
      </c>
      <c r="E52" s="6" t="e">
        <f>数据库!#REF!</f>
        <v>#REF!</v>
      </c>
      <c r="F52" s="4"/>
      <c r="G52" s="6" t="e">
        <f t="shared" si="1"/>
        <v>#REF!</v>
      </c>
      <c r="H52" s="4"/>
      <c r="I52" s="9"/>
      <c r="J52" s="4"/>
      <c r="K52" s="4"/>
      <c r="L52" s="10"/>
      <c r="M52" s="10" t="str">
        <f>IFERROR(IF(数据库!#REF!=0,"低压区",IF(数据库!#REF!=1,"中压区","高压区")),"Error")</f>
        <v>Error</v>
      </c>
      <c r="N52" s="10"/>
      <c r="O52" s="4"/>
      <c r="P52" s="4"/>
      <c r="Q52" s="18" t="e">
        <f>数据库!#REF!</f>
        <v>#REF!</v>
      </c>
      <c r="AA52" s="18" t="e">
        <f>数据库!#REF!</f>
        <v>#REF!</v>
      </c>
    </row>
    <row r="53" spans="1:27" ht="15">
      <c r="A53" s="4" t="str">
        <f t="shared" si="0"/>
        <v>052</v>
      </c>
      <c r="B53" s="5" t="s">
        <v>33</v>
      </c>
      <c r="C53" s="6" t="e">
        <f>数据库!#REF!&amp;"号楼"</f>
        <v>#REF!</v>
      </c>
      <c r="D53" s="15" t="e">
        <f>NUMBERSTRING(数据库!#REF!,3)&amp;"单元"</f>
        <v>#REF!</v>
      </c>
      <c r="E53" s="6" t="e">
        <f>数据库!#REF!</f>
        <v>#REF!</v>
      </c>
      <c r="F53" s="4"/>
      <c r="G53" s="6" t="e">
        <f t="shared" si="1"/>
        <v>#REF!</v>
      </c>
      <c r="H53" s="4"/>
      <c r="I53" s="9"/>
      <c r="J53" s="4"/>
      <c r="K53" s="4"/>
      <c r="L53" s="10"/>
      <c r="M53" s="10" t="str">
        <f>IFERROR(IF(数据库!#REF!=0,"低压区",IF(数据库!#REF!=1,"中压区","高压区")),"Error")</f>
        <v>Error</v>
      </c>
      <c r="N53" s="10"/>
      <c r="O53" s="4"/>
      <c r="P53" s="4"/>
      <c r="Q53" s="18" t="e">
        <f>数据库!#REF!</f>
        <v>#REF!</v>
      </c>
      <c r="AA53" s="18" t="e">
        <f>数据库!#REF!</f>
        <v>#REF!</v>
      </c>
    </row>
    <row r="54" spans="1:27" ht="15">
      <c r="A54" s="4" t="str">
        <f t="shared" si="0"/>
        <v>053</v>
      </c>
      <c r="B54" s="5" t="s">
        <v>33</v>
      </c>
      <c r="C54" s="6" t="e">
        <f>数据库!#REF!&amp;"号楼"</f>
        <v>#REF!</v>
      </c>
      <c r="D54" s="15" t="e">
        <f>NUMBERSTRING(数据库!#REF!,3)&amp;"单元"</f>
        <v>#REF!</v>
      </c>
      <c r="E54" s="6" t="e">
        <f>数据库!#REF!</f>
        <v>#REF!</v>
      </c>
      <c r="F54" s="4"/>
      <c r="G54" s="6" t="e">
        <f t="shared" si="1"/>
        <v>#REF!</v>
      </c>
      <c r="H54" s="4"/>
      <c r="I54" s="9"/>
      <c r="J54" s="4"/>
      <c r="K54" s="4"/>
      <c r="L54" s="10"/>
      <c r="M54" s="10" t="str">
        <f>IFERROR(IF(数据库!#REF!=0,"低压区",IF(数据库!#REF!=1,"中压区","高压区")),"Error")</f>
        <v>Error</v>
      </c>
      <c r="N54" s="10"/>
      <c r="O54" s="4"/>
      <c r="P54" s="4"/>
      <c r="Q54" s="18" t="e">
        <f>数据库!#REF!</f>
        <v>#REF!</v>
      </c>
      <c r="AA54" s="18" t="e">
        <f>数据库!#REF!</f>
        <v>#REF!</v>
      </c>
    </row>
    <row r="55" spans="1:27" ht="15">
      <c r="A55" s="4" t="str">
        <f t="shared" si="0"/>
        <v>054</v>
      </c>
      <c r="B55" s="5" t="s">
        <v>33</v>
      </c>
      <c r="C55" s="6" t="e">
        <f>数据库!#REF!&amp;"号楼"</f>
        <v>#REF!</v>
      </c>
      <c r="D55" s="15" t="e">
        <f>NUMBERSTRING(数据库!#REF!,3)&amp;"单元"</f>
        <v>#REF!</v>
      </c>
      <c r="E55" s="6" t="e">
        <f>数据库!#REF!</f>
        <v>#REF!</v>
      </c>
      <c r="F55" s="4"/>
      <c r="G55" s="6" t="e">
        <f t="shared" si="1"/>
        <v>#REF!</v>
      </c>
      <c r="H55" s="4"/>
      <c r="I55" s="9"/>
      <c r="J55" s="4"/>
      <c r="K55" s="4"/>
      <c r="L55" s="10"/>
      <c r="M55" s="10" t="str">
        <f>IFERROR(IF(数据库!#REF!=0,"低压区",IF(数据库!#REF!=1,"中压区","高压区")),"Error")</f>
        <v>Error</v>
      </c>
      <c r="N55" s="10"/>
      <c r="O55" s="4"/>
      <c r="P55" s="4"/>
      <c r="Q55" s="18" t="e">
        <f>数据库!#REF!</f>
        <v>#REF!</v>
      </c>
      <c r="AA55" s="18" t="e">
        <f>数据库!#REF!</f>
        <v>#REF!</v>
      </c>
    </row>
    <row r="56" spans="1:27" ht="15">
      <c r="A56" s="4" t="str">
        <f t="shared" si="0"/>
        <v>055</v>
      </c>
      <c r="B56" s="5" t="s">
        <v>33</v>
      </c>
      <c r="C56" s="6" t="e">
        <f>数据库!#REF!&amp;"号楼"</f>
        <v>#REF!</v>
      </c>
      <c r="D56" s="15" t="e">
        <f>NUMBERSTRING(数据库!#REF!,3)&amp;"单元"</f>
        <v>#REF!</v>
      </c>
      <c r="E56" s="6" t="e">
        <f>数据库!#REF!</f>
        <v>#REF!</v>
      </c>
      <c r="F56" s="4"/>
      <c r="G56" s="6" t="e">
        <f t="shared" si="1"/>
        <v>#REF!</v>
      </c>
      <c r="H56" s="4"/>
      <c r="I56" s="9"/>
      <c r="J56" s="4"/>
      <c r="K56" s="4"/>
      <c r="L56" s="10"/>
      <c r="M56" s="10" t="str">
        <f>IFERROR(IF(数据库!#REF!=0,"低压区",IF(数据库!#REF!=1,"中压区","高压区")),"Error")</f>
        <v>Error</v>
      </c>
      <c r="N56" s="10"/>
      <c r="O56" s="4"/>
      <c r="P56" s="4"/>
      <c r="Q56" s="18" t="e">
        <f>数据库!#REF!</f>
        <v>#REF!</v>
      </c>
      <c r="AA56" s="18" t="e">
        <f>数据库!#REF!</f>
        <v>#REF!</v>
      </c>
    </row>
    <row r="57" spans="1:27" ht="15">
      <c r="A57" s="4" t="str">
        <f t="shared" si="0"/>
        <v>056</v>
      </c>
      <c r="B57" s="5" t="s">
        <v>33</v>
      </c>
      <c r="C57" s="6" t="e">
        <f>数据库!#REF!&amp;"号楼"</f>
        <v>#REF!</v>
      </c>
      <c r="D57" s="15" t="e">
        <f>NUMBERSTRING(数据库!#REF!,3)&amp;"单元"</f>
        <v>#REF!</v>
      </c>
      <c r="E57" s="6" t="e">
        <f>数据库!#REF!</f>
        <v>#REF!</v>
      </c>
      <c r="F57" s="4"/>
      <c r="G57" s="6" t="e">
        <f t="shared" si="1"/>
        <v>#REF!</v>
      </c>
      <c r="H57" s="4"/>
      <c r="I57" s="9"/>
      <c r="J57" s="4"/>
      <c r="K57" s="4"/>
      <c r="L57" s="10"/>
      <c r="M57" s="10" t="str">
        <f>IFERROR(IF(数据库!#REF!=0,"低压区",IF(数据库!#REF!=1,"中压区","高压区")),"Error")</f>
        <v>Error</v>
      </c>
      <c r="N57" s="10"/>
      <c r="O57" s="4"/>
      <c r="P57" s="4"/>
      <c r="Q57" s="18" t="e">
        <f>数据库!#REF!</f>
        <v>#REF!</v>
      </c>
      <c r="AA57" s="18" t="e">
        <f>数据库!#REF!</f>
        <v>#REF!</v>
      </c>
    </row>
    <row r="58" spans="1:27" ht="15">
      <c r="A58" s="4" t="str">
        <f t="shared" si="0"/>
        <v>057</v>
      </c>
      <c r="B58" s="5" t="s">
        <v>33</v>
      </c>
      <c r="C58" s="6" t="e">
        <f>数据库!#REF!&amp;"号楼"</f>
        <v>#REF!</v>
      </c>
      <c r="D58" s="15" t="e">
        <f>NUMBERSTRING(数据库!#REF!,3)&amp;"单元"</f>
        <v>#REF!</v>
      </c>
      <c r="E58" s="6" t="e">
        <f>数据库!#REF!</f>
        <v>#REF!</v>
      </c>
      <c r="F58" s="4"/>
      <c r="G58" s="6" t="e">
        <f t="shared" si="1"/>
        <v>#REF!</v>
      </c>
      <c r="H58" s="4"/>
      <c r="I58" s="9"/>
      <c r="J58" s="4"/>
      <c r="K58" s="4"/>
      <c r="L58" s="10"/>
      <c r="M58" s="10" t="str">
        <f>IFERROR(IF(数据库!#REF!=0,"低压区",IF(数据库!#REF!=1,"中压区","高压区")),"Error")</f>
        <v>Error</v>
      </c>
      <c r="N58" s="10"/>
      <c r="O58" s="4"/>
      <c r="P58" s="4"/>
      <c r="Q58" s="18" t="e">
        <f>数据库!#REF!</f>
        <v>#REF!</v>
      </c>
      <c r="AA58" s="18" t="e">
        <f>数据库!#REF!</f>
        <v>#REF!</v>
      </c>
    </row>
    <row r="59" spans="1:27" ht="15">
      <c r="A59" s="4" t="str">
        <f t="shared" si="0"/>
        <v>058</v>
      </c>
      <c r="B59" s="5" t="s">
        <v>33</v>
      </c>
      <c r="C59" s="6" t="e">
        <f>数据库!#REF!&amp;"号楼"</f>
        <v>#REF!</v>
      </c>
      <c r="D59" s="15" t="e">
        <f>NUMBERSTRING(数据库!#REF!,3)&amp;"单元"</f>
        <v>#REF!</v>
      </c>
      <c r="E59" s="6" t="e">
        <f>数据库!#REF!</f>
        <v>#REF!</v>
      </c>
      <c r="F59" s="4"/>
      <c r="G59" s="6" t="e">
        <f t="shared" si="1"/>
        <v>#REF!</v>
      </c>
      <c r="H59" s="4"/>
      <c r="I59" s="9"/>
      <c r="J59" s="4"/>
      <c r="K59" s="4"/>
      <c r="L59" s="10"/>
      <c r="M59" s="10" t="str">
        <f>IFERROR(IF(数据库!#REF!=0,"低压区",IF(数据库!#REF!=1,"中压区","高压区")),"Error")</f>
        <v>Error</v>
      </c>
      <c r="N59" s="10"/>
      <c r="O59" s="4"/>
      <c r="P59" s="4"/>
      <c r="Q59" s="18" t="e">
        <f>数据库!#REF!</f>
        <v>#REF!</v>
      </c>
      <c r="AA59" s="18" t="e">
        <f>数据库!#REF!</f>
        <v>#REF!</v>
      </c>
    </row>
    <row r="60" spans="1:27" ht="15">
      <c r="A60" s="4" t="str">
        <f t="shared" si="0"/>
        <v>059</v>
      </c>
      <c r="B60" s="5" t="s">
        <v>33</v>
      </c>
      <c r="C60" s="6" t="e">
        <f>数据库!#REF!&amp;"号楼"</f>
        <v>#REF!</v>
      </c>
      <c r="D60" s="15" t="e">
        <f>NUMBERSTRING(数据库!#REF!,3)&amp;"单元"</f>
        <v>#REF!</v>
      </c>
      <c r="E60" s="6" t="e">
        <f>数据库!#REF!</f>
        <v>#REF!</v>
      </c>
      <c r="F60" s="4"/>
      <c r="G60" s="6" t="e">
        <f t="shared" si="1"/>
        <v>#REF!</v>
      </c>
      <c r="H60" s="4"/>
      <c r="I60" s="9"/>
      <c r="J60" s="4"/>
      <c r="K60" s="4"/>
      <c r="L60" s="10"/>
      <c r="M60" s="10" t="str">
        <f>IFERROR(IF(数据库!#REF!=0,"低压区",IF(数据库!#REF!=1,"中压区","高压区")),"Error")</f>
        <v>Error</v>
      </c>
      <c r="N60" s="10"/>
      <c r="O60" s="4"/>
      <c r="P60" s="4"/>
      <c r="Q60" s="18" t="e">
        <f>数据库!#REF!</f>
        <v>#REF!</v>
      </c>
      <c r="AA60" s="18" t="e">
        <f>数据库!#REF!</f>
        <v>#REF!</v>
      </c>
    </row>
    <row r="61" spans="1:27" ht="15">
      <c r="A61" s="4" t="str">
        <f t="shared" si="0"/>
        <v>060</v>
      </c>
      <c r="B61" s="5" t="s">
        <v>33</v>
      </c>
      <c r="C61" s="6" t="e">
        <f>数据库!#REF!&amp;"号楼"</f>
        <v>#REF!</v>
      </c>
      <c r="D61" s="15" t="e">
        <f>NUMBERSTRING(数据库!#REF!,3)&amp;"单元"</f>
        <v>#REF!</v>
      </c>
      <c r="E61" s="6" t="e">
        <f>数据库!#REF!</f>
        <v>#REF!</v>
      </c>
      <c r="F61" s="4"/>
      <c r="G61" s="6" t="e">
        <f t="shared" si="1"/>
        <v>#REF!</v>
      </c>
      <c r="H61" s="4"/>
      <c r="I61" s="9"/>
      <c r="J61" s="4"/>
      <c r="K61" s="4"/>
      <c r="L61" s="10"/>
      <c r="M61" s="10" t="str">
        <f>IFERROR(IF(数据库!#REF!=0,"低压区",IF(数据库!#REF!=1,"中压区","高压区")),"Error")</f>
        <v>Error</v>
      </c>
      <c r="N61" s="10"/>
      <c r="O61" s="4"/>
      <c r="P61" s="4"/>
      <c r="Q61" s="18" t="e">
        <f>数据库!#REF!</f>
        <v>#REF!</v>
      </c>
      <c r="AA61" s="18" t="e">
        <f>数据库!#REF!</f>
        <v>#REF!</v>
      </c>
    </row>
    <row r="62" spans="1:27" ht="15">
      <c r="A62" s="4" t="str">
        <f t="shared" si="0"/>
        <v>061</v>
      </c>
      <c r="B62" s="5" t="s">
        <v>33</v>
      </c>
      <c r="C62" s="6" t="e">
        <f>数据库!#REF!&amp;"号楼"</f>
        <v>#REF!</v>
      </c>
      <c r="D62" s="15" t="e">
        <f>NUMBERSTRING(数据库!#REF!,3)&amp;"单元"</f>
        <v>#REF!</v>
      </c>
      <c r="E62" s="6" t="e">
        <f>数据库!#REF!</f>
        <v>#REF!</v>
      </c>
      <c r="F62" s="4"/>
      <c r="G62" s="6" t="e">
        <f t="shared" si="1"/>
        <v>#REF!</v>
      </c>
      <c r="H62" s="4"/>
      <c r="I62" s="9"/>
      <c r="J62" s="4"/>
      <c r="K62" s="4"/>
      <c r="L62" s="10"/>
      <c r="M62" s="10" t="str">
        <f>IFERROR(IF(数据库!#REF!=0,"低压区",IF(数据库!#REF!=1,"中压区","高压区")),"Error")</f>
        <v>Error</v>
      </c>
      <c r="N62" s="10"/>
      <c r="O62" s="4"/>
      <c r="P62" s="4"/>
      <c r="Q62" s="18" t="e">
        <f>数据库!#REF!</f>
        <v>#REF!</v>
      </c>
      <c r="AA62" s="18" t="e">
        <f>数据库!#REF!</f>
        <v>#REF!</v>
      </c>
    </row>
    <row r="63" spans="1:27" ht="15">
      <c r="A63" s="4" t="str">
        <f t="shared" si="0"/>
        <v>062</v>
      </c>
      <c r="B63" s="5" t="s">
        <v>33</v>
      </c>
      <c r="C63" s="6" t="e">
        <f>数据库!#REF!&amp;"号楼"</f>
        <v>#REF!</v>
      </c>
      <c r="D63" s="15" t="e">
        <f>NUMBERSTRING(数据库!#REF!,3)&amp;"单元"</f>
        <v>#REF!</v>
      </c>
      <c r="E63" s="6" t="e">
        <f>数据库!#REF!</f>
        <v>#REF!</v>
      </c>
      <c r="F63" s="4"/>
      <c r="G63" s="6" t="e">
        <f t="shared" si="1"/>
        <v>#REF!</v>
      </c>
      <c r="H63" s="4"/>
      <c r="I63" s="9"/>
      <c r="J63" s="4"/>
      <c r="K63" s="4"/>
      <c r="L63" s="10"/>
      <c r="M63" s="10" t="str">
        <f>IFERROR(IF(数据库!#REF!=0,"低压区",IF(数据库!#REF!=1,"中压区","高压区")),"Error")</f>
        <v>Error</v>
      </c>
      <c r="N63" s="10"/>
      <c r="O63" s="4"/>
      <c r="P63" s="4"/>
      <c r="Q63" s="18" t="e">
        <f>数据库!#REF!</f>
        <v>#REF!</v>
      </c>
      <c r="AA63" s="18" t="e">
        <f>数据库!#REF!</f>
        <v>#REF!</v>
      </c>
    </row>
    <row r="64" spans="1:27" ht="15">
      <c r="A64" s="4" t="str">
        <f t="shared" si="0"/>
        <v>063</v>
      </c>
      <c r="B64" s="5" t="s">
        <v>33</v>
      </c>
      <c r="C64" s="6" t="e">
        <f>数据库!#REF!&amp;"号楼"</f>
        <v>#REF!</v>
      </c>
      <c r="D64" s="15" t="e">
        <f>NUMBERSTRING(数据库!#REF!,3)&amp;"单元"</f>
        <v>#REF!</v>
      </c>
      <c r="E64" s="6" t="e">
        <f>数据库!#REF!</f>
        <v>#REF!</v>
      </c>
      <c r="F64" s="4"/>
      <c r="G64" s="6" t="e">
        <f t="shared" si="1"/>
        <v>#REF!</v>
      </c>
      <c r="H64" s="4"/>
      <c r="I64" s="9"/>
      <c r="J64" s="4"/>
      <c r="K64" s="4"/>
      <c r="L64" s="10"/>
      <c r="M64" s="10" t="str">
        <f>IFERROR(IF(数据库!#REF!=0,"低压区",IF(数据库!#REF!=1,"中压区","高压区")),"Error")</f>
        <v>Error</v>
      </c>
      <c r="N64" s="10"/>
      <c r="O64" s="4"/>
      <c r="P64" s="4"/>
      <c r="Q64" s="18" t="e">
        <f>数据库!#REF!</f>
        <v>#REF!</v>
      </c>
      <c r="AA64" s="18" t="e">
        <f>数据库!#REF!</f>
        <v>#REF!</v>
      </c>
    </row>
    <row r="65" spans="1:27" ht="15">
      <c r="A65" s="4" t="str">
        <f t="shared" si="0"/>
        <v>064</v>
      </c>
      <c r="B65" s="5" t="s">
        <v>33</v>
      </c>
      <c r="C65" s="6" t="e">
        <f>数据库!#REF!&amp;"号楼"</f>
        <v>#REF!</v>
      </c>
      <c r="D65" s="15" t="e">
        <f>NUMBERSTRING(数据库!#REF!,3)&amp;"单元"</f>
        <v>#REF!</v>
      </c>
      <c r="E65" s="6" t="e">
        <f>数据库!#REF!</f>
        <v>#REF!</v>
      </c>
      <c r="F65" s="4"/>
      <c r="G65" s="6" t="e">
        <f t="shared" si="1"/>
        <v>#REF!</v>
      </c>
      <c r="H65" s="4"/>
      <c r="I65" s="9"/>
      <c r="J65" s="4"/>
      <c r="K65" s="4"/>
      <c r="L65" s="10"/>
      <c r="M65" s="10" t="str">
        <f>IFERROR(IF(数据库!#REF!=0,"低压区",IF(数据库!#REF!=1,"中压区","高压区")),"Error")</f>
        <v>Error</v>
      </c>
      <c r="N65" s="10"/>
      <c r="O65" s="4"/>
      <c r="P65" s="4"/>
      <c r="Q65" s="18" t="e">
        <f>数据库!#REF!</f>
        <v>#REF!</v>
      </c>
      <c r="AA65" s="18" t="e">
        <f>数据库!#REF!</f>
        <v>#REF!</v>
      </c>
    </row>
    <row r="66" spans="1:27" ht="15">
      <c r="A66" s="4" t="str">
        <f t="shared" si="0"/>
        <v>065</v>
      </c>
      <c r="B66" s="5" t="s">
        <v>33</v>
      </c>
      <c r="C66" s="6" t="e">
        <f>数据库!#REF!&amp;"号楼"</f>
        <v>#REF!</v>
      </c>
      <c r="D66" s="15" t="e">
        <f>NUMBERSTRING(数据库!#REF!,3)&amp;"单元"</f>
        <v>#REF!</v>
      </c>
      <c r="E66" s="6" t="e">
        <f>数据库!#REF!</f>
        <v>#REF!</v>
      </c>
      <c r="F66" s="4"/>
      <c r="G66" s="6" t="e">
        <f t="shared" si="1"/>
        <v>#REF!</v>
      </c>
      <c r="H66" s="4"/>
      <c r="I66" s="9"/>
      <c r="J66" s="4"/>
      <c r="K66" s="4"/>
      <c r="L66" s="10"/>
      <c r="M66" s="10" t="str">
        <f>IFERROR(IF(数据库!#REF!=0,"低压区",IF(数据库!#REF!=1,"中压区","高压区")),"Error")</f>
        <v>Error</v>
      </c>
      <c r="N66" s="10"/>
      <c r="O66" s="4"/>
      <c r="P66" s="4"/>
      <c r="Q66" s="18" t="e">
        <f>数据库!#REF!</f>
        <v>#REF!</v>
      </c>
      <c r="AA66" s="18" t="e">
        <f>数据库!#REF!</f>
        <v>#REF!</v>
      </c>
    </row>
    <row r="67" spans="1:27" ht="15">
      <c r="A67" s="4" t="str">
        <f t="shared" ref="A67:A130" si="2">TEXT(ROW(A66),"000")</f>
        <v>066</v>
      </c>
      <c r="B67" s="5" t="s">
        <v>33</v>
      </c>
      <c r="C67" s="6" t="e">
        <f>数据库!#REF!&amp;"号楼"</f>
        <v>#REF!</v>
      </c>
      <c r="D67" s="15" t="e">
        <f>NUMBERSTRING(数据库!#REF!,3)&amp;"单元"</f>
        <v>#REF!</v>
      </c>
      <c r="E67" s="6" t="e">
        <f>数据库!#REF!</f>
        <v>#REF!</v>
      </c>
      <c r="F67" s="4"/>
      <c r="G67" s="6" t="e">
        <f t="shared" ref="G67:G130" si="3">E67</f>
        <v>#REF!</v>
      </c>
      <c r="H67" s="4"/>
      <c r="I67" s="9"/>
      <c r="J67" s="4"/>
      <c r="K67" s="4"/>
      <c r="L67" s="10"/>
      <c r="M67" s="10" t="str">
        <f>IFERROR(IF(数据库!#REF!=0,"低压区",IF(数据库!#REF!=1,"中压区","高压区")),"Error")</f>
        <v>Error</v>
      </c>
      <c r="N67" s="10"/>
      <c r="O67" s="4"/>
      <c r="P67" s="4"/>
      <c r="Q67" s="18" t="e">
        <f>数据库!#REF!</f>
        <v>#REF!</v>
      </c>
      <c r="AA67" s="18" t="e">
        <f>数据库!#REF!</f>
        <v>#REF!</v>
      </c>
    </row>
    <row r="68" spans="1:27" ht="15">
      <c r="A68" s="4" t="str">
        <f t="shared" si="2"/>
        <v>067</v>
      </c>
      <c r="B68" s="5" t="s">
        <v>33</v>
      </c>
      <c r="C68" s="6" t="e">
        <f>数据库!#REF!&amp;"号楼"</f>
        <v>#REF!</v>
      </c>
      <c r="D68" s="15" t="e">
        <f>NUMBERSTRING(数据库!#REF!,3)&amp;"单元"</f>
        <v>#REF!</v>
      </c>
      <c r="E68" s="6" t="e">
        <f>数据库!#REF!</f>
        <v>#REF!</v>
      </c>
      <c r="F68" s="4"/>
      <c r="G68" s="6" t="e">
        <f t="shared" si="3"/>
        <v>#REF!</v>
      </c>
      <c r="H68" s="4"/>
      <c r="I68" s="9"/>
      <c r="J68" s="4"/>
      <c r="K68" s="4"/>
      <c r="L68" s="10"/>
      <c r="M68" s="10" t="str">
        <f>IFERROR(IF(数据库!#REF!=0,"低压区",IF(数据库!#REF!=1,"中压区","高压区")),"Error")</f>
        <v>Error</v>
      </c>
      <c r="N68" s="10"/>
      <c r="O68" s="4"/>
      <c r="P68" s="4"/>
      <c r="Q68" s="18" t="e">
        <f>数据库!#REF!</f>
        <v>#REF!</v>
      </c>
      <c r="AA68" s="18" t="e">
        <f>数据库!#REF!</f>
        <v>#REF!</v>
      </c>
    </row>
    <row r="69" spans="1:27" ht="15">
      <c r="A69" s="4" t="str">
        <f t="shared" si="2"/>
        <v>068</v>
      </c>
      <c r="B69" s="5" t="s">
        <v>33</v>
      </c>
      <c r="C69" s="6" t="e">
        <f>数据库!#REF!&amp;"号楼"</f>
        <v>#REF!</v>
      </c>
      <c r="D69" s="15" t="e">
        <f>NUMBERSTRING(数据库!#REF!,3)&amp;"单元"</f>
        <v>#REF!</v>
      </c>
      <c r="E69" s="6" t="e">
        <f>数据库!#REF!</f>
        <v>#REF!</v>
      </c>
      <c r="F69" s="4"/>
      <c r="G69" s="6" t="e">
        <f t="shared" si="3"/>
        <v>#REF!</v>
      </c>
      <c r="H69" s="4"/>
      <c r="I69" s="9"/>
      <c r="J69" s="4"/>
      <c r="K69" s="4"/>
      <c r="L69" s="10"/>
      <c r="M69" s="10" t="str">
        <f>IFERROR(IF(数据库!#REF!=0,"低压区",IF(数据库!#REF!=1,"中压区","高压区")),"Error")</f>
        <v>Error</v>
      </c>
      <c r="N69" s="10"/>
      <c r="O69" s="4"/>
      <c r="P69" s="4"/>
      <c r="Q69" s="18" t="e">
        <f>数据库!#REF!</f>
        <v>#REF!</v>
      </c>
      <c r="AA69" s="18" t="e">
        <f>数据库!#REF!</f>
        <v>#REF!</v>
      </c>
    </row>
    <row r="70" spans="1:27" ht="15">
      <c r="A70" s="4" t="str">
        <f t="shared" si="2"/>
        <v>069</v>
      </c>
      <c r="B70" s="5" t="s">
        <v>33</v>
      </c>
      <c r="C70" s="6" t="e">
        <f>数据库!#REF!&amp;"号楼"</f>
        <v>#REF!</v>
      </c>
      <c r="D70" s="15" t="e">
        <f>NUMBERSTRING(数据库!#REF!,3)&amp;"单元"</f>
        <v>#REF!</v>
      </c>
      <c r="E70" s="6" t="e">
        <f>数据库!#REF!</f>
        <v>#REF!</v>
      </c>
      <c r="F70" s="4"/>
      <c r="G70" s="6" t="e">
        <f t="shared" si="3"/>
        <v>#REF!</v>
      </c>
      <c r="H70" s="4"/>
      <c r="I70" s="9"/>
      <c r="J70" s="4"/>
      <c r="K70" s="4"/>
      <c r="L70" s="10"/>
      <c r="M70" s="10" t="str">
        <f>IFERROR(IF(数据库!#REF!=0,"低压区",IF(数据库!#REF!=1,"中压区","高压区")),"Error")</f>
        <v>Error</v>
      </c>
      <c r="N70" s="10"/>
      <c r="O70" s="4"/>
      <c r="P70" s="4"/>
      <c r="Q70" s="18" t="e">
        <f>数据库!#REF!</f>
        <v>#REF!</v>
      </c>
      <c r="AA70" s="18" t="e">
        <f>数据库!#REF!</f>
        <v>#REF!</v>
      </c>
    </row>
    <row r="71" spans="1:27" ht="15">
      <c r="A71" s="4" t="str">
        <f t="shared" si="2"/>
        <v>070</v>
      </c>
      <c r="B71" s="5" t="s">
        <v>33</v>
      </c>
      <c r="C71" s="6" t="e">
        <f>数据库!#REF!&amp;"号楼"</f>
        <v>#REF!</v>
      </c>
      <c r="D71" s="15" t="e">
        <f>NUMBERSTRING(数据库!#REF!,3)&amp;"单元"</f>
        <v>#REF!</v>
      </c>
      <c r="E71" s="6" t="e">
        <f>数据库!#REF!</f>
        <v>#REF!</v>
      </c>
      <c r="F71" s="4"/>
      <c r="G71" s="6" t="e">
        <f t="shared" si="3"/>
        <v>#REF!</v>
      </c>
      <c r="H71" s="4"/>
      <c r="I71" s="9"/>
      <c r="J71" s="4"/>
      <c r="K71" s="4"/>
      <c r="L71" s="10"/>
      <c r="M71" s="10" t="str">
        <f>IFERROR(IF(数据库!#REF!=0,"低压区",IF(数据库!#REF!=1,"中压区","高压区")),"Error")</f>
        <v>Error</v>
      </c>
      <c r="N71" s="10"/>
      <c r="O71" s="4"/>
      <c r="P71" s="4"/>
      <c r="Q71" s="18" t="e">
        <f>数据库!#REF!</f>
        <v>#REF!</v>
      </c>
      <c r="AA71" s="18" t="e">
        <f>数据库!#REF!</f>
        <v>#REF!</v>
      </c>
    </row>
    <row r="72" spans="1:27" ht="15">
      <c r="A72" s="4" t="str">
        <f t="shared" si="2"/>
        <v>071</v>
      </c>
      <c r="B72" s="5" t="s">
        <v>33</v>
      </c>
      <c r="C72" s="6" t="e">
        <f>数据库!#REF!&amp;"号楼"</f>
        <v>#REF!</v>
      </c>
      <c r="D72" s="15" t="e">
        <f>NUMBERSTRING(数据库!#REF!,3)&amp;"单元"</f>
        <v>#REF!</v>
      </c>
      <c r="E72" s="6" t="e">
        <f>数据库!#REF!</f>
        <v>#REF!</v>
      </c>
      <c r="F72" s="4"/>
      <c r="G72" s="6" t="e">
        <f t="shared" si="3"/>
        <v>#REF!</v>
      </c>
      <c r="H72" s="4"/>
      <c r="I72" s="9"/>
      <c r="J72" s="4"/>
      <c r="K72" s="4"/>
      <c r="L72" s="10"/>
      <c r="M72" s="10" t="str">
        <f>IFERROR(IF(数据库!#REF!=0,"低压区",IF(数据库!#REF!=1,"中压区","高压区")),"Error")</f>
        <v>Error</v>
      </c>
      <c r="N72" s="10"/>
      <c r="O72" s="4"/>
      <c r="P72" s="4"/>
      <c r="Q72" s="18" t="e">
        <f>数据库!#REF!</f>
        <v>#REF!</v>
      </c>
      <c r="AA72" s="18" t="e">
        <f>数据库!#REF!</f>
        <v>#REF!</v>
      </c>
    </row>
    <row r="73" spans="1:27" ht="15">
      <c r="A73" s="4" t="str">
        <f t="shared" si="2"/>
        <v>072</v>
      </c>
      <c r="B73" s="5" t="s">
        <v>33</v>
      </c>
      <c r="C73" s="6" t="e">
        <f>数据库!#REF!&amp;"号楼"</f>
        <v>#REF!</v>
      </c>
      <c r="D73" s="15" t="e">
        <f>NUMBERSTRING(数据库!#REF!,3)&amp;"单元"</f>
        <v>#REF!</v>
      </c>
      <c r="E73" s="6" t="e">
        <f>数据库!#REF!</f>
        <v>#REF!</v>
      </c>
      <c r="F73" s="4"/>
      <c r="G73" s="6" t="e">
        <f t="shared" si="3"/>
        <v>#REF!</v>
      </c>
      <c r="H73" s="4"/>
      <c r="I73" s="9"/>
      <c r="J73" s="4"/>
      <c r="K73" s="4"/>
      <c r="L73" s="10"/>
      <c r="M73" s="10" t="str">
        <f>IFERROR(IF(数据库!#REF!=0,"低压区",IF(数据库!#REF!=1,"中压区","高压区")),"Error")</f>
        <v>Error</v>
      </c>
      <c r="N73" s="10"/>
      <c r="O73" s="4"/>
      <c r="P73" s="4"/>
      <c r="Q73" s="18" t="e">
        <f>数据库!#REF!</f>
        <v>#REF!</v>
      </c>
      <c r="AA73" s="18" t="e">
        <f>数据库!#REF!</f>
        <v>#REF!</v>
      </c>
    </row>
    <row r="74" spans="1:27" ht="15">
      <c r="A74" s="4" t="str">
        <f t="shared" si="2"/>
        <v>073</v>
      </c>
      <c r="B74" s="5" t="s">
        <v>33</v>
      </c>
      <c r="C74" s="6" t="e">
        <f>数据库!#REF!&amp;"号楼"</f>
        <v>#REF!</v>
      </c>
      <c r="D74" s="15" t="e">
        <f>NUMBERSTRING(数据库!#REF!,3)&amp;"单元"</f>
        <v>#REF!</v>
      </c>
      <c r="E74" s="6" t="e">
        <f>数据库!#REF!</f>
        <v>#REF!</v>
      </c>
      <c r="F74" s="4"/>
      <c r="G74" s="6" t="e">
        <f t="shared" si="3"/>
        <v>#REF!</v>
      </c>
      <c r="H74" s="4"/>
      <c r="I74" s="9"/>
      <c r="J74" s="4"/>
      <c r="K74" s="4"/>
      <c r="L74" s="10"/>
      <c r="M74" s="10" t="str">
        <f>IFERROR(IF(数据库!#REF!=0,"低压区",IF(数据库!#REF!=1,"中压区","高压区")),"Error")</f>
        <v>Error</v>
      </c>
      <c r="N74" s="10"/>
      <c r="O74" s="4"/>
      <c r="P74" s="4"/>
      <c r="Q74" s="18" t="e">
        <f>数据库!#REF!</f>
        <v>#REF!</v>
      </c>
      <c r="AA74" s="18" t="e">
        <f>数据库!#REF!</f>
        <v>#REF!</v>
      </c>
    </row>
    <row r="75" spans="1:27" ht="15">
      <c r="A75" s="4" t="str">
        <f t="shared" si="2"/>
        <v>074</v>
      </c>
      <c r="B75" s="5" t="s">
        <v>33</v>
      </c>
      <c r="C75" s="6" t="e">
        <f>数据库!#REF!&amp;"号楼"</f>
        <v>#REF!</v>
      </c>
      <c r="D75" s="15" t="e">
        <f>NUMBERSTRING(数据库!#REF!,3)&amp;"单元"</f>
        <v>#REF!</v>
      </c>
      <c r="E75" s="6" t="e">
        <f>数据库!#REF!</f>
        <v>#REF!</v>
      </c>
      <c r="F75" s="4"/>
      <c r="G75" s="6" t="e">
        <f t="shared" si="3"/>
        <v>#REF!</v>
      </c>
      <c r="H75" s="4"/>
      <c r="I75" s="9"/>
      <c r="J75" s="4"/>
      <c r="K75" s="4"/>
      <c r="L75" s="10"/>
      <c r="M75" s="10" t="str">
        <f>IFERROR(IF(数据库!#REF!=0,"低压区",IF(数据库!#REF!=1,"中压区","高压区")),"Error")</f>
        <v>Error</v>
      </c>
      <c r="N75" s="10"/>
      <c r="O75" s="4"/>
      <c r="P75" s="4"/>
      <c r="Q75" s="18" t="e">
        <f>数据库!#REF!</f>
        <v>#REF!</v>
      </c>
      <c r="AA75" s="18" t="e">
        <f>数据库!#REF!</f>
        <v>#REF!</v>
      </c>
    </row>
    <row r="76" spans="1:27" ht="15">
      <c r="A76" s="4" t="str">
        <f t="shared" si="2"/>
        <v>075</v>
      </c>
      <c r="B76" s="5" t="s">
        <v>33</v>
      </c>
      <c r="C76" s="6" t="e">
        <f>数据库!#REF!&amp;"号楼"</f>
        <v>#REF!</v>
      </c>
      <c r="D76" s="15" t="e">
        <f>NUMBERSTRING(数据库!#REF!,3)&amp;"单元"</f>
        <v>#REF!</v>
      </c>
      <c r="E76" s="6" t="e">
        <f>数据库!#REF!</f>
        <v>#REF!</v>
      </c>
      <c r="F76" s="4"/>
      <c r="G76" s="6" t="e">
        <f t="shared" si="3"/>
        <v>#REF!</v>
      </c>
      <c r="H76" s="4"/>
      <c r="I76" s="9"/>
      <c r="J76" s="4"/>
      <c r="K76" s="4"/>
      <c r="L76" s="10"/>
      <c r="M76" s="10" t="str">
        <f>IFERROR(IF(数据库!#REF!=0,"低压区",IF(数据库!#REF!=1,"中压区","高压区")),"Error")</f>
        <v>Error</v>
      </c>
      <c r="N76" s="10"/>
      <c r="O76" s="4"/>
      <c r="P76" s="4"/>
      <c r="Q76" s="18" t="e">
        <f>数据库!#REF!</f>
        <v>#REF!</v>
      </c>
      <c r="AA76" s="18" t="e">
        <f>数据库!#REF!</f>
        <v>#REF!</v>
      </c>
    </row>
    <row r="77" spans="1:27" ht="15">
      <c r="A77" s="4" t="str">
        <f t="shared" si="2"/>
        <v>076</v>
      </c>
      <c r="B77" s="5" t="s">
        <v>33</v>
      </c>
      <c r="C77" s="6" t="e">
        <f>数据库!#REF!&amp;"号楼"</f>
        <v>#REF!</v>
      </c>
      <c r="D77" s="15" t="e">
        <f>NUMBERSTRING(数据库!#REF!,3)&amp;"单元"</f>
        <v>#REF!</v>
      </c>
      <c r="E77" s="6" t="e">
        <f>数据库!#REF!</f>
        <v>#REF!</v>
      </c>
      <c r="F77" s="4"/>
      <c r="G77" s="6" t="e">
        <f t="shared" si="3"/>
        <v>#REF!</v>
      </c>
      <c r="H77" s="4"/>
      <c r="I77" s="9"/>
      <c r="J77" s="4"/>
      <c r="K77" s="4"/>
      <c r="L77" s="10"/>
      <c r="M77" s="10" t="str">
        <f>IFERROR(IF(数据库!#REF!=0,"低压区",IF(数据库!#REF!=1,"中压区","高压区")),"Error")</f>
        <v>Error</v>
      </c>
      <c r="N77" s="10"/>
      <c r="O77" s="4"/>
      <c r="P77" s="4"/>
      <c r="Q77" s="18" t="e">
        <f>数据库!#REF!</f>
        <v>#REF!</v>
      </c>
      <c r="AA77" s="18" t="e">
        <f>数据库!#REF!</f>
        <v>#REF!</v>
      </c>
    </row>
    <row r="78" spans="1:27" ht="15">
      <c r="A78" s="4" t="str">
        <f t="shared" si="2"/>
        <v>077</v>
      </c>
      <c r="B78" s="5" t="s">
        <v>33</v>
      </c>
      <c r="C78" s="6" t="e">
        <f>数据库!#REF!&amp;"号楼"</f>
        <v>#REF!</v>
      </c>
      <c r="D78" s="15" t="e">
        <f>NUMBERSTRING(数据库!#REF!,3)&amp;"单元"</f>
        <v>#REF!</v>
      </c>
      <c r="E78" s="6" t="e">
        <f>数据库!#REF!</f>
        <v>#REF!</v>
      </c>
      <c r="F78" s="4"/>
      <c r="G78" s="6" t="e">
        <f t="shared" si="3"/>
        <v>#REF!</v>
      </c>
      <c r="H78" s="4"/>
      <c r="I78" s="9"/>
      <c r="J78" s="4"/>
      <c r="K78" s="4"/>
      <c r="L78" s="10"/>
      <c r="M78" s="10" t="str">
        <f>IFERROR(IF(数据库!#REF!=0,"低压区",IF(数据库!#REF!=1,"中压区","高压区")),"Error")</f>
        <v>Error</v>
      </c>
      <c r="N78" s="10"/>
      <c r="O78" s="4"/>
      <c r="P78" s="4"/>
      <c r="Q78" s="18" t="e">
        <f>数据库!#REF!</f>
        <v>#REF!</v>
      </c>
      <c r="AA78" s="18" t="e">
        <f>数据库!#REF!</f>
        <v>#REF!</v>
      </c>
    </row>
    <row r="79" spans="1:27" ht="15">
      <c r="A79" s="4" t="str">
        <f t="shared" si="2"/>
        <v>078</v>
      </c>
      <c r="B79" s="5" t="s">
        <v>33</v>
      </c>
      <c r="C79" s="6" t="e">
        <f>数据库!#REF!&amp;"号楼"</f>
        <v>#REF!</v>
      </c>
      <c r="D79" s="15" t="e">
        <f>NUMBERSTRING(数据库!#REF!,3)&amp;"单元"</f>
        <v>#REF!</v>
      </c>
      <c r="E79" s="6" t="e">
        <f>数据库!#REF!</f>
        <v>#REF!</v>
      </c>
      <c r="F79" s="4"/>
      <c r="G79" s="6" t="e">
        <f t="shared" si="3"/>
        <v>#REF!</v>
      </c>
      <c r="H79" s="4"/>
      <c r="I79" s="9"/>
      <c r="J79" s="4"/>
      <c r="K79" s="4"/>
      <c r="L79" s="10"/>
      <c r="M79" s="10" t="str">
        <f>IFERROR(IF(数据库!#REF!=0,"低压区",IF(数据库!#REF!=1,"中压区","高压区")),"Error")</f>
        <v>Error</v>
      </c>
      <c r="N79" s="10"/>
      <c r="O79" s="4"/>
      <c r="P79" s="4"/>
      <c r="Q79" s="18" t="e">
        <f>数据库!#REF!</f>
        <v>#REF!</v>
      </c>
      <c r="AA79" s="18" t="e">
        <f>数据库!#REF!</f>
        <v>#REF!</v>
      </c>
    </row>
    <row r="80" spans="1:27" ht="15">
      <c r="A80" s="4" t="str">
        <f t="shared" si="2"/>
        <v>079</v>
      </c>
      <c r="B80" s="5" t="s">
        <v>33</v>
      </c>
      <c r="C80" s="6" t="e">
        <f>数据库!#REF!&amp;"号楼"</f>
        <v>#REF!</v>
      </c>
      <c r="D80" s="15" t="e">
        <f>NUMBERSTRING(数据库!#REF!,3)&amp;"单元"</f>
        <v>#REF!</v>
      </c>
      <c r="E80" s="6" t="e">
        <f>数据库!#REF!</f>
        <v>#REF!</v>
      </c>
      <c r="F80" s="4"/>
      <c r="G80" s="6" t="e">
        <f t="shared" si="3"/>
        <v>#REF!</v>
      </c>
      <c r="H80" s="4"/>
      <c r="I80" s="9"/>
      <c r="J80" s="4"/>
      <c r="K80" s="4"/>
      <c r="L80" s="10"/>
      <c r="M80" s="10" t="str">
        <f>IFERROR(IF(数据库!#REF!=0,"低压区",IF(数据库!#REF!=1,"中压区","高压区")),"Error")</f>
        <v>Error</v>
      </c>
      <c r="N80" s="10"/>
      <c r="O80" s="4"/>
      <c r="P80" s="4"/>
      <c r="Q80" s="18" t="e">
        <f>数据库!#REF!</f>
        <v>#REF!</v>
      </c>
      <c r="AA80" s="18" t="e">
        <f>数据库!#REF!</f>
        <v>#REF!</v>
      </c>
    </row>
    <row r="81" spans="1:27" ht="15">
      <c r="A81" s="4" t="str">
        <f t="shared" si="2"/>
        <v>080</v>
      </c>
      <c r="B81" s="5" t="s">
        <v>33</v>
      </c>
      <c r="C81" s="6" t="e">
        <f>数据库!#REF!&amp;"号楼"</f>
        <v>#REF!</v>
      </c>
      <c r="D81" s="15" t="e">
        <f>NUMBERSTRING(数据库!#REF!,3)&amp;"单元"</f>
        <v>#REF!</v>
      </c>
      <c r="E81" s="6" t="e">
        <f>数据库!#REF!</f>
        <v>#REF!</v>
      </c>
      <c r="F81" s="4"/>
      <c r="G81" s="6" t="e">
        <f t="shared" si="3"/>
        <v>#REF!</v>
      </c>
      <c r="H81" s="4"/>
      <c r="I81" s="9"/>
      <c r="J81" s="4"/>
      <c r="K81" s="4"/>
      <c r="L81" s="10"/>
      <c r="M81" s="10" t="str">
        <f>IFERROR(IF(数据库!#REF!=0,"低压区",IF(数据库!#REF!=1,"中压区","高压区")),"Error")</f>
        <v>Error</v>
      </c>
      <c r="N81" s="10"/>
      <c r="O81" s="4"/>
      <c r="P81" s="4"/>
      <c r="Q81" s="18" t="e">
        <f>数据库!#REF!</f>
        <v>#REF!</v>
      </c>
      <c r="AA81" s="18" t="e">
        <f>数据库!#REF!</f>
        <v>#REF!</v>
      </c>
    </row>
    <row r="82" spans="1:27" ht="15">
      <c r="A82" s="4" t="str">
        <f t="shared" si="2"/>
        <v>081</v>
      </c>
      <c r="B82" s="5" t="s">
        <v>33</v>
      </c>
      <c r="C82" s="6" t="e">
        <f>数据库!#REF!&amp;"号楼"</f>
        <v>#REF!</v>
      </c>
      <c r="D82" s="15" t="e">
        <f>NUMBERSTRING(数据库!#REF!,3)&amp;"单元"</f>
        <v>#REF!</v>
      </c>
      <c r="E82" s="6" t="e">
        <f>数据库!#REF!</f>
        <v>#REF!</v>
      </c>
      <c r="F82" s="4"/>
      <c r="G82" s="6" t="e">
        <f t="shared" si="3"/>
        <v>#REF!</v>
      </c>
      <c r="H82" s="4"/>
      <c r="I82" s="9"/>
      <c r="J82" s="4"/>
      <c r="K82" s="4"/>
      <c r="L82" s="10"/>
      <c r="M82" s="10" t="str">
        <f>IFERROR(IF(数据库!#REF!=0,"低压区",IF(数据库!#REF!=1,"中压区","高压区")),"Error")</f>
        <v>Error</v>
      </c>
      <c r="N82" s="10"/>
      <c r="O82" s="4"/>
      <c r="P82" s="4"/>
      <c r="Q82" s="18" t="e">
        <f>数据库!#REF!</f>
        <v>#REF!</v>
      </c>
      <c r="AA82" s="18" t="e">
        <f>数据库!#REF!</f>
        <v>#REF!</v>
      </c>
    </row>
    <row r="83" spans="1:27" ht="15">
      <c r="A83" s="4" t="str">
        <f t="shared" si="2"/>
        <v>082</v>
      </c>
      <c r="B83" s="5" t="s">
        <v>33</v>
      </c>
      <c r="C83" s="6" t="e">
        <f>数据库!#REF!&amp;"号楼"</f>
        <v>#REF!</v>
      </c>
      <c r="D83" s="15" t="e">
        <f>NUMBERSTRING(数据库!#REF!,3)&amp;"单元"</f>
        <v>#REF!</v>
      </c>
      <c r="E83" s="6" t="e">
        <f>数据库!#REF!</f>
        <v>#REF!</v>
      </c>
      <c r="F83" s="4"/>
      <c r="G83" s="6" t="e">
        <f t="shared" si="3"/>
        <v>#REF!</v>
      </c>
      <c r="H83" s="4"/>
      <c r="I83" s="9"/>
      <c r="J83" s="4"/>
      <c r="K83" s="4"/>
      <c r="L83" s="10"/>
      <c r="M83" s="10" t="str">
        <f>IFERROR(IF(数据库!#REF!=0,"低压区",IF(数据库!#REF!=1,"中压区","高压区")),"Error")</f>
        <v>Error</v>
      </c>
      <c r="N83" s="10"/>
      <c r="O83" s="4"/>
      <c r="P83" s="4"/>
      <c r="Q83" s="18" t="e">
        <f>数据库!#REF!</f>
        <v>#REF!</v>
      </c>
      <c r="AA83" s="18" t="e">
        <f>数据库!#REF!</f>
        <v>#REF!</v>
      </c>
    </row>
    <row r="84" spans="1:27" ht="15">
      <c r="A84" s="4" t="str">
        <f t="shared" si="2"/>
        <v>083</v>
      </c>
      <c r="B84" s="5" t="s">
        <v>33</v>
      </c>
      <c r="C84" s="6" t="e">
        <f>数据库!#REF!&amp;"号楼"</f>
        <v>#REF!</v>
      </c>
      <c r="D84" s="15" t="e">
        <f>NUMBERSTRING(数据库!#REF!,3)&amp;"单元"</f>
        <v>#REF!</v>
      </c>
      <c r="E84" s="6" t="e">
        <f>数据库!#REF!</f>
        <v>#REF!</v>
      </c>
      <c r="F84" s="4"/>
      <c r="G84" s="6" t="e">
        <f t="shared" si="3"/>
        <v>#REF!</v>
      </c>
      <c r="H84" s="4"/>
      <c r="I84" s="9"/>
      <c r="J84" s="4"/>
      <c r="K84" s="4"/>
      <c r="L84" s="10"/>
      <c r="M84" s="10" t="str">
        <f>IFERROR(IF(数据库!#REF!=0,"低压区",IF(数据库!#REF!=1,"中压区","高压区")),"Error")</f>
        <v>Error</v>
      </c>
      <c r="N84" s="10"/>
      <c r="O84" s="4"/>
      <c r="P84" s="4"/>
      <c r="Q84" s="18" t="e">
        <f>数据库!#REF!</f>
        <v>#REF!</v>
      </c>
      <c r="AA84" s="18" t="e">
        <f>数据库!#REF!</f>
        <v>#REF!</v>
      </c>
    </row>
    <row r="85" spans="1:27" ht="15">
      <c r="A85" s="4" t="str">
        <f t="shared" si="2"/>
        <v>084</v>
      </c>
      <c r="B85" s="5" t="s">
        <v>33</v>
      </c>
      <c r="C85" s="6" t="e">
        <f>数据库!#REF!&amp;"号楼"</f>
        <v>#REF!</v>
      </c>
      <c r="D85" s="15" t="e">
        <f>NUMBERSTRING(数据库!#REF!,3)&amp;"单元"</f>
        <v>#REF!</v>
      </c>
      <c r="E85" s="6" t="e">
        <f>数据库!#REF!</f>
        <v>#REF!</v>
      </c>
      <c r="F85" s="4"/>
      <c r="G85" s="6" t="e">
        <f t="shared" si="3"/>
        <v>#REF!</v>
      </c>
      <c r="H85" s="4"/>
      <c r="I85" s="9"/>
      <c r="J85" s="4"/>
      <c r="K85" s="4"/>
      <c r="L85" s="10"/>
      <c r="M85" s="10" t="str">
        <f>IFERROR(IF(数据库!#REF!=0,"低压区",IF(数据库!#REF!=1,"中压区","高压区")),"Error")</f>
        <v>Error</v>
      </c>
      <c r="N85" s="10"/>
      <c r="O85" s="4"/>
      <c r="P85" s="4"/>
      <c r="Q85" s="18" t="e">
        <f>数据库!#REF!</f>
        <v>#REF!</v>
      </c>
      <c r="AA85" s="18" t="e">
        <f>数据库!#REF!</f>
        <v>#REF!</v>
      </c>
    </row>
    <row r="86" spans="1:27" ht="15">
      <c r="A86" s="4" t="str">
        <f t="shared" si="2"/>
        <v>085</v>
      </c>
      <c r="B86" s="5" t="s">
        <v>33</v>
      </c>
      <c r="C86" s="6" t="e">
        <f>数据库!#REF!&amp;"号楼"</f>
        <v>#REF!</v>
      </c>
      <c r="D86" s="15" t="e">
        <f>NUMBERSTRING(数据库!#REF!,3)&amp;"单元"</f>
        <v>#REF!</v>
      </c>
      <c r="E86" s="6" t="e">
        <f>数据库!#REF!</f>
        <v>#REF!</v>
      </c>
      <c r="F86" s="4"/>
      <c r="G86" s="6" t="e">
        <f t="shared" si="3"/>
        <v>#REF!</v>
      </c>
      <c r="H86" s="4"/>
      <c r="I86" s="9"/>
      <c r="J86" s="4"/>
      <c r="K86" s="4"/>
      <c r="L86" s="10"/>
      <c r="M86" s="10" t="str">
        <f>IFERROR(IF(数据库!#REF!=0,"低压区",IF(数据库!#REF!=1,"中压区","高压区")),"Error")</f>
        <v>Error</v>
      </c>
      <c r="N86" s="10"/>
      <c r="O86" s="4"/>
      <c r="P86" s="4"/>
      <c r="Q86" s="18" t="e">
        <f>数据库!#REF!</f>
        <v>#REF!</v>
      </c>
      <c r="AA86" s="18" t="e">
        <f>数据库!#REF!</f>
        <v>#REF!</v>
      </c>
    </row>
    <row r="87" spans="1:27" ht="15">
      <c r="A87" s="4" t="str">
        <f t="shared" si="2"/>
        <v>086</v>
      </c>
      <c r="B87" s="5" t="s">
        <v>33</v>
      </c>
      <c r="C87" s="6" t="e">
        <f>数据库!#REF!&amp;"号楼"</f>
        <v>#REF!</v>
      </c>
      <c r="D87" s="15" t="e">
        <f>NUMBERSTRING(数据库!#REF!,3)&amp;"单元"</f>
        <v>#REF!</v>
      </c>
      <c r="E87" s="6" t="e">
        <f>数据库!#REF!</f>
        <v>#REF!</v>
      </c>
      <c r="F87" s="4"/>
      <c r="G87" s="6" t="e">
        <f t="shared" si="3"/>
        <v>#REF!</v>
      </c>
      <c r="H87" s="4"/>
      <c r="I87" s="9"/>
      <c r="J87" s="4"/>
      <c r="K87" s="4"/>
      <c r="L87" s="10"/>
      <c r="M87" s="10" t="str">
        <f>IFERROR(IF(数据库!#REF!=0,"低压区",IF(数据库!#REF!=1,"中压区","高压区")),"Error")</f>
        <v>Error</v>
      </c>
      <c r="N87" s="10"/>
      <c r="O87" s="4"/>
      <c r="P87" s="4"/>
      <c r="Q87" s="18" t="e">
        <f>数据库!#REF!</f>
        <v>#REF!</v>
      </c>
      <c r="AA87" s="18" t="e">
        <f>数据库!#REF!</f>
        <v>#REF!</v>
      </c>
    </row>
    <row r="88" spans="1:27" ht="15">
      <c r="A88" s="4" t="str">
        <f t="shared" si="2"/>
        <v>087</v>
      </c>
      <c r="B88" s="5" t="s">
        <v>33</v>
      </c>
      <c r="C88" s="6" t="e">
        <f>数据库!#REF!&amp;"号楼"</f>
        <v>#REF!</v>
      </c>
      <c r="D88" s="15" t="e">
        <f>NUMBERSTRING(数据库!#REF!,3)&amp;"单元"</f>
        <v>#REF!</v>
      </c>
      <c r="E88" s="6" t="e">
        <f>数据库!#REF!</f>
        <v>#REF!</v>
      </c>
      <c r="F88" s="4"/>
      <c r="G88" s="6" t="e">
        <f t="shared" si="3"/>
        <v>#REF!</v>
      </c>
      <c r="H88" s="4"/>
      <c r="I88" s="9"/>
      <c r="J88" s="4"/>
      <c r="K88" s="4"/>
      <c r="L88" s="10"/>
      <c r="M88" s="10" t="str">
        <f>IFERROR(IF(数据库!#REF!=0,"低压区",IF(数据库!#REF!=1,"中压区","高压区")),"Error")</f>
        <v>Error</v>
      </c>
      <c r="N88" s="10"/>
      <c r="O88" s="4"/>
      <c r="P88" s="4"/>
      <c r="Q88" s="18" t="e">
        <f>数据库!#REF!</f>
        <v>#REF!</v>
      </c>
      <c r="AA88" s="18" t="e">
        <f>数据库!#REF!</f>
        <v>#REF!</v>
      </c>
    </row>
    <row r="89" spans="1:27" ht="15">
      <c r="A89" s="4" t="str">
        <f t="shared" si="2"/>
        <v>088</v>
      </c>
      <c r="B89" s="5" t="s">
        <v>33</v>
      </c>
      <c r="C89" s="6" t="e">
        <f>数据库!#REF!&amp;"号楼"</f>
        <v>#REF!</v>
      </c>
      <c r="D89" s="15" t="e">
        <f>NUMBERSTRING(数据库!#REF!,3)&amp;"单元"</f>
        <v>#REF!</v>
      </c>
      <c r="E89" s="6" t="e">
        <f>数据库!#REF!</f>
        <v>#REF!</v>
      </c>
      <c r="F89" s="4"/>
      <c r="G89" s="6" t="e">
        <f t="shared" si="3"/>
        <v>#REF!</v>
      </c>
      <c r="H89" s="4"/>
      <c r="I89" s="9"/>
      <c r="J89" s="4"/>
      <c r="K89" s="4"/>
      <c r="L89" s="10"/>
      <c r="M89" s="10" t="str">
        <f>IFERROR(IF(数据库!#REF!=0,"低压区",IF(数据库!#REF!=1,"中压区","高压区")),"Error")</f>
        <v>Error</v>
      </c>
      <c r="N89" s="10"/>
      <c r="O89" s="4"/>
      <c r="P89" s="4"/>
      <c r="Q89" s="18" t="e">
        <f>数据库!#REF!</f>
        <v>#REF!</v>
      </c>
      <c r="AA89" s="18" t="e">
        <f>数据库!#REF!</f>
        <v>#REF!</v>
      </c>
    </row>
    <row r="90" spans="1:27" ht="15">
      <c r="A90" s="4" t="str">
        <f t="shared" si="2"/>
        <v>089</v>
      </c>
      <c r="B90" s="5" t="s">
        <v>33</v>
      </c>
      <c r="C90" s="6" t="e">
        <f>数据库!#REF!&amp;"号楼"</f>
        <v>#REF!</v>
      </c>
      <c r="D90" s="15" t="e">
        <f>NUMBERSTRING(数据库!#REF!,3)&amp;"单元"</f>
        <v>#REF!</v>
      </c>
      <c r="E90" s="6" t="e">
        <f>数据库!#REF!</f>
        <v>#REF!</v>
      </c>
      <c r="F90" s="4"/>
      <c r="G90" s="6" t="e">
        <f t="shared" si="3"/>
        <v>#REF!</v>
      </c>
      <c r="H90" s="4"/>
      <c r="I90" s="9"/>
      <c r="J90" s="4"/>
      <c r="K90" s="4"/>
      <c r="L90" s="10"/>
      <c r="M90" s="10" t="str">
        <f>IFERROR(IF(数据库!#REF!=0,"低压区",IF(数据库!#REF!=1,"中压区","高压区")),"Error")</f>
        <v>Error</v>
      </c>
      <c r="N90" s="10"/>
      <c r="O90" s="4"/>
      <c r="P90" s="4"/>
      <c r="Q90" s="18" t="e">
        <f>数据库!#REF!</f>
        <v>#REF!</v>
      </c>
      <c r="AA90" s="18" t="e">
        <f>数据库!#REF!</f>
        <v>#REF!</v>
      </c>
    </row>
    <row r="91" spans="1:27" ht="15">
      <c r="A91" s="4" t="str">
        <f t="shared" si="2"/>
        <v>090</v>
      </c>
      <c r="B91" s="5" t="s">
        <v>33</v>
      </c>
      <c r="C91" s="6" t="e">
        <f>数据库!#REF!&amp;"号楼"</f>
        <v>#REF!</v>
      </c>
      <c r="D91" s="15" t="e">
        <f>NUMBERSTRING(数据库!#REF!,3)&amp;"单元"</f>
        <v>#REF!</v>
      </c>
      <c r="E91" s="6" t="e">
        <f>数据库!#REF!</f>
        <v>#REF!</v>
      </c>
      <c r="F91" s="4"/>
      <c r="G91" s="6" t="e">
        <f t="shared" si="3"/>
        <v>#REF!</v>
      </c>
      <c r="H91" s="4"/>
      <c r="I91" s="9"/>
      <c r="J91" s="4"/>
      <c r="K91" s="4"/>
      <c r="L91" s="10"/>
      <c r="M91" s="10" t="str">
        <f>IFERROR(IF(数据库!#REF!=0,"低压区",IF(数据库!#REF!=1,"中压区","高压区")),"Error")</f>
        <v>Error</v>
      </c>
      <c r="N91" s="10"/>
      <c r="O91" s="4"/>
      <c r="P91" s="4"/>
      <c r="Q91" s="18" t="e">
        <f>数据库!#REF!</f>
        <v>#REF!</v>
      </c>
      <c r="AA91" s="18" t="e">
        <f>数据库!#REF!</f>
        <v>#REF!</v>
      </c>
    </row>
    <row r="92" spans="1:27" ht="15">
      <c r="A92" s="4" t="str">
        <f t="shared" si="2"/>
        <v>091</v>
      </c>
      <c r="B92" s="5" t="s">
        <v>33</v>
      </c>
      <c r="C92" s="6" t="e">
        <f>数据库!#REF!&amp;"号楼"</f>
        <v>#REF!</v>
      </c>
      <c r="D92" s="15" t="e">
        <f>NUMBERSTRING(数据库!#REF!,3)&amp;"单元"</f>
        <v>#REF!</v>
      </c>
      <c r="E92" s="6" t="e">
        <f>数据库!#REF!</f>
        <v>#REF!</v>
      </c>
      <c r="F92" s="4"/>
      <c r="G92" s="6" t="e">
        <f t="shared" si="3"/>
        <v>#REF!</v>
      </c>
      <c r="H92" s="4"/>
      <c r="I92" s="9"/>
      <c r="J92" s="4"/>
      <c r="K92" s="4"/>
      <c r="L92" s="10"/>
      <c r="M92" s="10" t="str">
        <f>IFERROR(IF(数据库!#REF!=0,"低压区",IF(数据库!#REF!=1,"中压区","高压区")),"Error")</f>
        <v>Error</v>
      </c>
      <c r="N92" s="10"/>
      <c r="O92" s="4"/>
      <c r="P92" s="4"/>
      <c r="Q92" s="18" t="e">
        <f>数据库!#REF!</f>
        <v>#REF!</v>
      </c>
      <c r="AA92" s="18" t="e">
        <f>数据库!#REF!</f>
        <v>#REF!</v>
      </c>
    </row>
    <row r="93" spans="1:27" ht="15">
      <c r="A93" s="4" t="str">
        <f t="shared" si="2"/>
        <v>092</v>
      </c>
      <c r="B93" s="5" t="s">
        <v>33</v>
      </c>
      <c r="C93" s="6" t="e">
        <f>数据库!#REF!&amp;"号楼"</f>
        <v>#REF!</v>
      </c>
      <c r="D93" s="15" t="e">
        <f>NUMBERSTRING(数据库!#REF!,3)&amp;"单元"</f>
        <v>#REF!</v>
      </c>
      <c r="E93" s="6" t="e">
        <f>数据库!#REF!</f>
        <v>#REF!</v>
      </c>
      <c r="F93" s="4"/>
      <c r="G93" s="6" t="e">
        <f t="shared" si="3"/>
        <v>#REF!</v>
      </c>
      <c r="H93" s="4"/>
      <c r="I93" s="9"/>
      <c r="J93" s="4"/>
      <c r="K93" s="4"/>
      <c r="L93" s="10"/>
      <c r="M93" s="10" t="str">
        <f>IFERROR(IF(数据库!#REF!=0,"低压区",IF(数据库!#REF!=1,"中压区","高压区")),"Error")</f>
        <v>Error</v>
      </c>
      <c r="N93" s="10"/>
      <c r="O93" s="4"/>
      <c r="P93" s="4"/>
      <c r="Q93" s="18" t="e">
        <f>数据库!#REF!</f>
        <v>#REF!</v>
      </c>
      <c r="AA93" s="18" t="e">
        <f>数据库!#REF!</f>
        <v>#REF!</v>
      </c>
    </row>
    <row r="94" spans="1:27" ht="15">
      <c r="A94" s="4" t="str">
        <f t="shared" si="2"/>
        <v>093</v>
      </c>
      <c r="B94" s="5" t="s">
        <v>33</v>
      </c>
      <c r="C94" s="6" t="e">
        <f>数据库!#REF!&amp;"号楼"</f>
        <v>#REF!</v>
      </c>
      <c r="D94" s="15" t="e">
        <f>NUMBERSTRING(数据库!#REF!,3)&amp;"单元"</f>
        <v>#REF!</v>
      </c>
      <c r="E94" s="6" t="e">
        <f>数据库!#REF!</f>
        <v>#REF!</v>
      </c>
      <c r="F94" s="4"/>
      <c r="G94" s="6" t="e">
        <f t="shared" si="3"/>
        <v>#REF!</v>
      </c>
      <c r="H94" s="4"/>
      <c r="I94" s="9"/>
      <c r="J94" s="4"/>
      <c r="K94" s="4"/>
      <c r="L94" s="10"/>
      <c r="M94" s="10" t="str">
        <f>IFERROR(IF(数据库!#REF!=0,"低压区",IF(数据库!#REF!=1,"中压区","高压区")),"Error")</f>
        <v>Error</v>
      </c>
      <c r="N94" s="10"/>
      <c r="O94" s="4"/>
      <c r="P94" s="4"/>
      <c r="Q94" s="18" t="e">
        <f>数据库!#REF!</f>
        <v>#REF!</v>
      </c>
      <c r="AA94" s="18" t="e">
        <f>数据库!#REF!</f>
        <v>#REF!</v>
      </c>
    </row>
    <row r="95" spans="1:27" ht="15">
      <c r="A95" s="4" t="str">
        <f t="shared" si="2"/>
        <v>094</v>
      </c>
      <c r="B95" s="5" t="s">
        <v>33</v>
      </c>
      <c r="C95" s="6" t="e">
        <f>数据库!#REF!&amp;"号楼"</f>
        <v>#REF!</v>
      </c>
      <c r="D95" s="15" t="e">
        <f>NUMBERSTRING(数据库!#REF!,3)&amp;"单元"</f>
        <v>#REF!</v>
      </c>
      <c r="E95" s="6" t="e">
        <f>数据库!#REF!</f>
        <v>#REF!</v>
      </c>
      <c r="F95" s="4"/>
      <c r="G95" s="6" t="e">
        <f t="shared" si="3"/>
        <v>#REF!</v>
      </c>
      <c r="H95" s="4"/>
      <c r="I95" s="9"/>
      <c r="J95" s="4"/>
      <c r="K95" s="4"/>
      <c r="L95" s="10"/>
      <c r="M95" s="10" t="str">
        <f>IFERROR(IF(数据库!#REF!=0,"低压区",IF(数据库!#REF!=1,"中压区","高压区")),"Error")</f>
        <v>Error</v>
      </c>
      <c r="N95" s="10"/>
      <c r="O95" s="4"/>
      <c r="P95" s="4"/>
      <c r="Q95" s="18" t="e">
        <f>数据库!#REF!</f>
        <v>#REF!</v>
      </c>
      <c r="AA95" s="18" t="e">
        <f>数据库!#REF!</f>
        <v>#REF!</v>
      </c>
    </row>
    <row r="96" spans="1:27" ht="15">
      <c r="A96" s="4" t="str">
        <f t="shared" si="2"/>
        <v>095</v>
      </c>
      <c r="B96" s="5" t="s">
        <v>33</v>
      </c>
      <c r="C96" s="6" t="e">
        <f>数据库!#REF!&amp;"号楼"</f>
        <v>#REF!</v>
      </c>
      <c r="D96" s="15" t="e">
        <f>NUMBERSTRING(数据库!#REF!,3)&amp;"单元"</f>
        <v>#REF!</v>
      </c>
      <c r="E96" s="6" t="e">
        <f>数据库!#REF!</f>
        <v>#REF!</v>
      </c>
      <c r="F96" s="4"/>
      <c r="G96" s="6" t="e">
        <f t="shared" si="3"/>
        <v>#REF!</v>
      </c>
      <c r="H96" s="4"/>
      <c r="I96" s="9"/>
      <c r="J96" s="4"/>
      <c r="K96" s="4"/>
      <c r="L96" s="10"/>
      <c r="M96" s="10" t="str">
        <f>IFERROR(IF(数据库!#REF!=0,"低压区",IF(数据库!#REF!=1,"中压区","高压区")),"Error")</f>
        <v>Error</v>
      </c>
      <c r="N96" s="10"/>
      <c r="O96" s="4"/>
      <c r="P96" s="4"/>
      <c r="Q96" s="18" t="e">
        <f>数据库!#REF!</f>
        <v>#REF!</v>
      </c>
      <c r="AA96" s="18" t="e">
        <f>数据库!#REF!</f>
        <v>#REF!</v>
      </c>
    </row>
    <row r="97" spans="1:27" ht="15">
      <c r="A97" s="4" t="str">
        <f t="shared" si="2"/>
        <v>096</v>
      </c>
      <c r="B97" s="5" t="s">
        <v>33</v>
      </c>
      <c r="C97" s="6" t="e">
        <f>数据库!#REF!&amp;"号楼"</f>
        <v>#REF!</v>
      </c>
      <c r="D97" s="15" t="e">
        <f>NUMBERSTRING(数据库!#REF!,3)&amp;"单元"</f>
        <v>#REF!</v>
      </c>
      <c r="E97" s="6" t="e">
        <f>数据库!#REF!</f>
        <v>#REF!</v>
      </c>
      <c r="F97" s="4"/>
      <c r="G97" s="6" t="e">
        <f t="shared" si="3"/>
        <v>#REF!</v>
      </c>
      <c r="H97" s="4"/>
      <c r="I97" s="9"/>
      <c r="J97" s="4"/>
      <c r="K97" s="4"/>
      <c r="L97" s="10"/>
      <c r="M97" s="10" t="str">
        <f>IFERROR(IF(数据库!#REF!=0,"低压区",IF(数据库!#REF!=1,"中压区","高压区")),"Error")</f>
        <v>Error</v>
      </c>
      <c r="N97" s="10"/>
      <c r="O97" s="4"/>
      <c r="P97" s="4"/>
      <c r="Q97" s="18" t="e">
        <f>数据库!#REF!</f>
        <v>#REF!</v>
      </c>
      <c r="AA97" s="18" t="e">
        <f>数据库!#REF!</f>
        <v>#REF!</v>
      </c>
    </row>
    <row r="98" spans="1:27" ht="15">
      <c r="A98" s="4" t="str">
        <f t="shared" si="2"/>
        <v>097</v>
      </c>
      <c r="B98" s="5" t="s">
        <v>33</v>
      </c>
      <c r="C98" s="6" t="e">
        <f>数据库!#REF!&amp;"号楼"</f>
        <v>#REF!</v>
      </c>
      <c r="D98" s="15" t="e">
        <f>NUMBERSTRING(数据库!#REF!,3)&amp;"单元"</f>
        <v>#REF!</v>
      </c>
      <c r="E98" s="6" t="e">
        <f>数据库!#REF!</f>
        <v>#REF!</v>
      </c>
      <c r="F98" s="4"/>
      <c r="G98" s="6" t="e">
        <f t="shared" si="3"/>
        <v>#REF!</v>
      </c>
      <c r="H98" s="4"/>
      <c r="I98" s="9"/>
      <c r="J98" s="4"/>
      <c r="K98" s="4"/>
      <c r="L98" s="10"/>
      <c r="M98" s="10" t="str">
        <f>IFERROR(IF(数据库!#REF!=0,"低压区",IF(数据库!#REF!=1,"中压区","高压区")),"Error")</f>
        <v>Error</v>
      </c>
      <c r="N98" s="10"/>
      <c r="O98" s="4"/>
      <c r="P98" s="4"/>
      <c r="Q98" s="18" t="e">
        <f>数据库!#REF!</f>
        <v>#REF!</v>
      </c>
      <c r="AA98" s="18" t="e">
        <f>数据库!#REF!</f>
        <v>#REF!</v>
      </c>
    </row>
    <row r="99" spans="1:27" ht="15">
      <c r="A99" s="4" t="str">
        <f t="shared" si="2"/>
        <v>098</v>
      </c>
      <c r="B99" s="5" t="s">
        <v>33</v>
      </c>
      <c r="C99" s="6" t="e">
        <f>数据库!#REF!&amp;"号楼"</f>
        <v>#REF!</v>
      </c>
      <c r="D99" s="15" t="e">
        <f>NUMBERSTRING(数据库!#REF!,3)&amp;"单元"</f>
        <v>#REF!</v>
      </c>
      <c r="E99" s="6" t="e">
        <f>数据库!#REF!</f>
        <v>#REF!</v>
      </c>
      <c r="F99" s="4"/>
      <c r="G99" s="6" t="e">
        <f t="shared" si="3"/>
        <v>#REF!</v>
      </c>
      <c r="H99" s="4"/>
      <c r="I99" s="9"/>
      <c r="J99" s="4"/>
      <c r="K99" s="4"/>
      <c r="L99" s="10"/>
      <c r="M99" s="10" t="str">
        <f>IFERROR(IF(数据库!#REF!=0,"低压区",IF(数据库!#REF!=1,"中压区","高压区")),"Error")</f>
        <v>Error</v>
      </c>
      <c r="N99" s="10"/>
      <c r="O99" s="4"/>
      <c r="P99" s="4"/>
      <c r="Q99" s="18" t="e">
        <f>数据库!#REF!</f>
        <v>#REF!</v>
      </c>
      <c r="AA99" s="18" t="e">
        <f>数据库!#REF!</f>
        <v>#REF!</v>
      </c>
    </row>
    <row r="100" spans="1:27" ht="15">
      <c r="A100" s="4" t="str">
        <f t="shared" si="2"/>
        <v>099</v>
      </c>
      <c r="B100" s="5" t="s">
        <v>33</v>
      </c>
      <c r="C100" s="6" t="e">
        <f>数据库!#REF!&amp;"号楼"</f>
        <v>#REF!</v>
      </c>
      <c r="D100" s="15" t="e">
        <f>NUMBERSTRING(数据库!#REF!,3)&amp;"单元"</f>
        <v>#REF!</v>
      </c>
      <c r="E100" s="6" t="e">
        <f>数据库!#REF!</f>
        <v>#REF!</v>
      </c>
      <c r="F100" s="4"/>
      <c r="G100" s="6" t="e">
        <f t="shared" si="3"/>
        <v>#REF!</v>
      </c>
      <c r="H100" s="4"/>
      <c r="I100" s="9"/>
      <c r="J100" s="4"/>
      <c r="K100" s="4"/>
      <c r="L100" s="10"/>
      <c r="M100" s="10" t="str">
        <f>IFERROR(IF(数据库!#REF!=0,"低压区",IF(数据库!#REF!=1,"中压区","高压区")),"Error")</f>
        <v>Error</v>
      </c>
      <c r="N100" s="10"/>
      <c r="O100" s="4"/>
      <c r="P100" s="4"/>
      <c r="Q100" s="18" t="e">
        <f>数据库!#REF!</f>
        <v>#REF!</v>
      </c>
      <c r="AA100" s="18" t="e">
        <f>数据库!#REF!</f>
        <v>#REF!</v>
      </c>
    </row>
    <row r="101" spans="1:27" ht="15">
      <c r="A101" s="4" t="str">
        <f t="shared" si="2"/>
        <v>100</v>
      </c>
      <c r="B101" s="5" t="s">
        <v>33</v>
      </c>
      <c r="C101" s="6" t="e">
        <f>数据库!#REF!&amp;"号楼"</f>
        <v>#REF!</v>
      </c>
      <c r="D101" s="15" t="e">
        <f>NUMBERSTRING(数据库!#REF!,3)&amp;"单元"</f>
        <v>#REF!</v>
      </c>
      <c r="E101" s="6" t="e">
        <f>数据库!#REF!</f>
        <v>#REF!</v>
      </c>
      <c r="F101" s="4"/>
      <c r="G101" s="6" t="e">
        <f t="shared" si="3"/>
        <v>#REF!</v>
      </c>
      <c r="H101" s="4"/>
      <c r="I101" s="9"/>
      <c r="J101" s="4"/>
      <c r="K101" s="4"/>
      <c r="L101" s="10"/>
      <c r="M101" s="10" t="str">
        <f>IFERROR(IF(数据库!#REF!=0,"低压区",IF(数据库!#REF!=1,"中压区","高压区")),"Error")</f>
        <v>Error</v>
      </c>
      <c r="N101" s="10"/>
      <c r="O101" s="4"/>
      <c r="P101" s="4"/>
      <c r="Q101" s="18" t="e">
        <f>数据库!#REF!</f>
        <v>#REF!</v>
      </c>
      <c r="AA101" s="18" t="e">
        <f>数据库!#REF!</f>
        <v>#REF!</v>
      </c>
    </row>
    <row r="102" spans="1:27" ht="15">
      <c r="A102" s="4" t="str">
        <f t="shared" si="2"/>
        <v>101</v>
      </c>
      <c r="B102" s="5" t="s">
        <v>33</v>
      </c>
      <c r="C102" s="6" t="e">
        <f>数据库!#REF!&amp;"号楼"</f>
        <v>#REF!</v>
      </c>
      <c r="D102" s="15" t="e">
        <f>NUMBERSTRING(数据库!#REF!,3)&amp;"单元"</f>
        <v>#REF!</v>
      </c>
      <c r="E102" s="6" t="e">
        <f>数据库!#REF!</f>
        <v>#REF!</v>
      </c>
      <c r="F102" s="4"/>
      <c r="G102" s="6" t="e">
        <f t="shared" si="3"/>
        <v>#REF!</v>
      </c>
      <c r="H102" s="4"/>
      <c r="I102" s="9"/>
      <c r="J102" s="4"/>
      <c r="K102" s="4"/>
      <c r="L102" s="10"/>
      <c r="M102" s="10" t="str">
        <f>IFERROR(IF(数据库!#REF!=0,"低压区",IF(数据库!#REF!=1,"中压区","高压区")),"Error")</f>
        <v>Error</v>
      </c>
      <c r="N102" s="10"/>
      <c r="O102" s="4"/>
      <c r="P102" s="4"/>
      <c r="Q102" s="18" t="e">
        <f>数据库!#REF!</f>
        <v>#REF!</v>
      </c>
      <c r="AA102" s="18" t="e">
        <f>数据库!#REF!</f>
        <v>#REF!</v>
      </c>
    </row>
    <row r="103" spans="1:27" ht="15">
      <c r="A103" s="4" t="str">
        <f t="shared" si="2"/>
        <v>102</v>
      </c>
      <c r="B103" s="5" t="s">
        <v>33</v>
      </c>
      <c r="C103" s="6" t="e">
        <f>数据库!#REF!&amp;"号楼"</f>
        <v>#REF!</v>
      </c>
      <c r="D103" s="15" t="e">
        <f>NUMBERSTRING(数据库!#REF!,3)&amp;"单元"</f>
        <v>#REF!</v>
      </c>
      <c r="E103" s="6" t="e">
        <f>数据库!#REF!</f>
        <v>#REF!</v>
      </c>
      <c r="F103" s="4"/>
      <c r="G103" s="6" t="e">
        <f t="shared" si="3"/>
        <v>#REF!</v>
      </c>
      <c r="H103" s="4"/>
      <c r="I103" s="9"/>
      <c r="J103" s="4"/>
      <c r="K103" s="4"/>
      <c r="L103" s="10"/>
      <c r="M103" s="10" t="str">
        <f>IFERROR(IF(数据库!#REF!=0,"低压区",IF(数据库!#REF!=1,"中压区","高压区")),"Error")</f>
        <v>Error</v>
      </c>
      <c r="N103" s="10"/>
      <c r="O103" s="4"/>
      <c r="P103" s="4"/>
      <c r="Q103" s="18" t="e">
        <f>数据库!#REF!</f>
        <v>#REF!</v>
      </c>
      <c r="AA103" s="18" t="e">
        <f>数据库!#REF!</f>
        <v>#REF!</v>
      </c>
    </row>
    <row r="104" spans="1:27" ht="15">
      <c r="A104" s="4" t="str">
        <f t="shared" si="2"/>
        <v>103</v>
      </c>
      <c r="B104" s="5" t="s">
        <v>33</v>
      </c>
      <c r="C104" s="6" t="e">
        <f>数据库!#REF!&amp;"号楼"</f>
        <v>#REF!</v>
      </c>
      <c r="D104" s="15" t="e">
        <f>NUMBERSTRING(数据库!#REF!,3)&amp;"单元"</f>
        <v>#REF!</v>
      </c>
      <c r="E104" s="6" t="e">
        <f>数据库!#REF!</f>
        <v>#REF!</v>
      </c>
      <c r="F104" s="4"/>
      <c r="G104" s="6" t="e">
        <f t="shared" si="3"/>
        <v>#REF!</v>
      </c>
      <c r="H104" s="4"/>
      <c r="I104" s="9"/>
      <c r="J104" s="4"/>
      <c r="K104" s="4"/>
      <c r="L104" s="10"/>
      <c r="M104" s="10" t="str">
        <f>IFERROR(IF(数据库!#REF!=0,"低压区",IF(数据库!#REF!=1,"中压区","高压区")),"Error")</f>
        <v>Error</v>
      </c>
      <c r="N104" s="10"/>
      <c r="O104" s="4"/>
      <c r="P104" s="4"/>
      <c r="Q104" s="18" t="e">
        <f>数据库!#REF!</f>
        <v>#REF!</v>
      </c>
      <c r="AA104" s="18" t="e">
        <f>数据库!#REF!</f>
        <v>#REF!</v>
      </c>
    </row>
    <row r="105" spans="1:27" ht="15">
      <c r="A105" s="4" t="str">
        <f t="shared" si="2"/>
        <v>104</v>
      </c>
      <c r="B105" s="5" t="s">
        <v>33</v>
      </c>
      <c r="C105" s="6" t="e">
        <f>数据库!#REF!&amp;"号楼"</f>
        <v>#REF!</v>
      </c>
      <c r="D105" s="15" t="e">
        <f>NUMBERSTRING(数据库!#REF!,3)&amp;"单元"</f>
        <v>#REF!</v>
      </c>
      <c r="E105" s="6" t="e">
        <f>数据库!#REF!</f>
        <v>#REF!</v>
      </c>
      <c r="F105" s="4"/>
      <c r="G105" s="6" t="e">
        <f t="shared" si="3"/>
        <v>#REF!</v>
      </c>
      <c r="H105" s="4"/>
      <c r="I105" s="9"/>
      <c r="J105" s="4"/>
      <c r="K105" s="4"/>
      <c r="L105" s="10"/>
      <c r="M105" s="10" t="str">
        <f>IFERROR(IF(数据库!#REF!=0,"低压区",IF(数据库!#REF!=1,"中压区","高压区")),"Error")</f>
        <v>Error</v>
      </c>
      <c r="N105" s="10"/>
      <c r="O105" s="4"/>
      <c r="P105" s="4"/>
      <c r="Q105" s="18" t="e">
        <f>数据库!#REF!</f>
        <v>#REF!</v>
      </c>
      <c r="AA105" s="18" t="e">
        <f>数据库!#REF!</f>
        <v>#REF!</v>
      </c>
    </row>
    <row r="106" spans="1:27" ht="15">
      <c r="A106" s="4" t="str">
        <f t="shared" si="2"/>
        <v>105</v>
      </c>
      <c r="B106" s="5" t="s">
        <v>33</v>
      </c>
      <c r="C106" s="6" t="e">
        <f>数据库!#REF!&amp;"号楼"</f>
        <v>#REF!</v>
      </c>
      <c r="D106" s="15" t="e">
        <f>NUMBERSTRING(数据库!#REF!,3)&amp;"单元"</f>
        <v>#REF!</v>
      </c>
      <c r="E106" s="6" t="e">
        <f>数据库!#REF!</f>
        <v>#REF!</v>
      </c>
      <c r="F106" s="4"/>
      <c r="G106" s="6" t="e">
        <f t="shared" si="3"/>
        <v>#REF!</v>
      </c>
      <c r="H106" s="4"/>
      <c r="I106" s="9"/>
      <c r="J106" s="4"/>
      <c r="K106" s="4"/>
      <c r="L106" s="10"/>
      <c r="M106" s="10" t="str">
        <f>IFERROR(IF(数据库!#REF!=0,"低压区",IF(数据库!#REF!=1,"中压区","高压区")),"Error")</f>
        <v>Error</v>
      </c>
      <c r="N106" s="10"/>
      <c r="O106" s="4"/>
      <c r="P106" s="4"/>
      <c r="Q106" s="18" t="e">
        <f>数据库!#REF!</f>
        <v>#REF!</v>
      </c>
      <c r="AA106" s="18" t="e">
        <f>数据库!#REF!</f>
        <v>#REF!</v>
      </c>
    </row>
    <row r="107" spans="1:27" ht="15">
      <c r="A107" s="4" t="str">
        <f t="shared" si="2"/>
        <v>106</v>
      </c>
      <c r="B107" s="5" t="s">
        <v>33</v>
      </c>
      <c r="C107" s="6" t="e">
        <f>数据库!#REF!&amp;"号楼"</f>
        <v>#REF!</v>
      </c>
      <c r="D107" s="15" t="e">
        <f>NUMBERSTRING(数据库!#REF!,3)&amp;"单元"</f>
        <v>#REF!</v>
      </c>
      <c r="E107" s="6" t="e">
        <f>数据库!#REF!</f>
        <v>#REF!</v>
      </c>
      <c r="F107" s="4"/>
      <c r="G107" s="6" t="e">
        <f t="shared" si="3"/>
        <v>#REF!</v>
      </c>
      <c r="H107" s="4"/>
      <c r="I107" s="9"/>
      <c r="J107" s="4"/>
      <c r="K107" s="4"/>
      <c r="L107" s="10"/>
      <c r="M107" s="10" t="str">
        <f>IFERROR(IF(数据库!#REF!=0,"低压区",IF(数据库!#REF!=1,"中压区","高压区")),"Error")</f>
        <v>Error</v>
      </c>
      <c r="N107" s="10"/>
      <c r="O107" s="4"/>
      <c r="P107" s="4"/>
      <c r="Q107" s="18" t="e">
        <f>数据库!#REF!</f>
        <v>#REF!</v>
      </c>
      <c r="AA107" s="18" t="e">
        <f>数据库!#REF!</f>
        <v>#REF!</v>
      </c>
    </row>
    <row r="108" spans="1:27" ht="15">
      <c r="A108" s="4" t="str">
        <f t="shared" si="2"/>
        <v>107</v>
      </c>
      <c r="B108" s="5" t="s">
        <v>33</v>
      </c>
      <c r="C108" s="6" t="e">
        <f>数据库!#REF!&amp;"号楼"</f>
        <v>#REF!</v>
      </c>
      <c r="D108" s="15" t="e">
        <f>NUMBERSTRING(数据库!#REF!,3)&amp;"单元"</f>
        <v>#REF!</v>
      </c>
      <c r="E108" s="6" t="e">
        <f>数据库!#REF!</f>
        <v>#REF!</v>
      </c>
      <c r="F108" s="4"/>
      <c r="G108" s="6" t="e">
        <f t="shared" si="3"/>
        <v>#REF!</v>
      </c>
      <c r="H108" s="4"/>
      <c r="I108" s="9"/>
      <c r="J108" s="4"/>
      <c r="K108" s="4"/>
      <c r="L108" s="10"/>
      <c r="M108" s="10" t="str">
        <f>IFERROR(IF(数据库!#REF!=0,"低压区",IF(数据库!#REF!=1,"中压区","高压区")),"Error")</f>
        <v>Error</v>
      </c>
      <c r="N108" s="10"/>
      <c r="O108" s="4"/>
      <c r="P108" s="4"/>
      <c r="Q108" s="18" t="e">
        <f>数据库!#REF!</f>
        <v>#REF!</v>
      </c>
      <c r="AA108" s="18" t="e">
        <f>数据库!#REF!</f>
        <v>#REF!</v>
      </c>
    </row>
    <row r="109" spans="1:27" ht="15">
      <c r="A109" s="4" t="str">
        <f t="shared" si="2"/>
        <v>108</v>
      </c>
      <c r="B109" s="5" t="s">
        <v>33</v>
      </c>
      <c r="C109" s="6" t="e">
        <f>数据库!#REF!&amp;"号楼"</f>
        <v>#REF!</v>
      </c>
      <c r="D109" s="15" t="e">
        <f>NUMBERSTRING(数据库!#REF!,3)&amp;"单元"</f>
        <v>#REF!</v>
      </c>
      <c r="E109" s="6" t="e">
        <f>数据库!#REF!</f>
        <v>#REF!</v>
      </c>
      <c r="F109" s="4"/>
      <c r="G109" s="6" t="e">
        <f t="shared" si="3"/>
        <v>#REF!</v>
      </c>
      <c r="H109" s="4"/>
      <c r="I109" s="9"/>
      <c r="J109" s="4"/>
      <c r="K109" s="4"/>
      <c r="L109" s="10"/>
      <c r="M109" s="10" t="str">
        <f>IFERROR(IF(数据库!#REF!=0,"低压区",IF(数据库!#REF!=1,"中压区","高压区")),"Error")</f>
        <v>Error</v>
      </c>
      <c r="N109" s="10"/>
      <c r="O109" s="4"/>
      <c r="P109" s="4"/>
      <c r="Q109" s="18" t="e">
        <f>数据库!#REF!</f>
        <v>#REF!</v>
      </c>
      <c r="AA109" s="18" t="e">
        <f>数据库!#REF!</f>
        <v>#REF!</v>
      </c>
    </row>
    <row r="110" spans="1:27" ht="15">
      <c r="A110" s="4" t="str">
        <f t="shared" si="2"/>
        <v>109</v>
      </c>
      <c r="B110" s="5" t="s">
        <v>33</v>
      </c>
      <c r="C110" s="6" t="e">
        <f>数据库!#REF!&amp;"号楼"</f>
        <v>#REF!</v>
      </c>
      <c r="D110" s="15" t="e">
        <f>NUMBERSTRING(数据库!#REF!,3)&amp;"单元"</f>
        <v>#REF!</v>
      </c>
      <c r="E110" s="6" t="e">
        <f>数据库!#REF!</f>
        <v>#REF!</v>
      </c>
      <c r="F110" s="4"/>
      <c r="G110" s="6" t="e">
        <f t="shared" si="3"/>
        <v>#REF!</v>
      </c>
      <c r="H110" s="4"/>
      <c r="I110" s="9"/>
      <c r="J110" s="4"/>
      <c r="K110" s="4"/>
      <c r="L110" s="10"/>
      <c r="M110" s="10" t="str">
        <f>IFERROR(IF(数据库!#REF!=0,"低压区",IF(数据库!#REF!=1,"中压区","高压区")),"Error")</f>
        <v>Error</v>
      </c>
      <c r="N110" s="10"/>
      <c r="O110" s="4"/>
      <c r="P110" s="4"/>
      <c r="Q110" s="18" t="e">
        <f>数据库!#REF!</f>
        <v>#REF!</v>
      </c>
      <c r="AA110" s="18" t="e">
        <f>数据库!#REF!</f>
        <v>#REF!</v>
      </c>
    </row>
    <row r="111" spans="1:27" ht="15">
      <c r="A111" s="4" t="str">
        <f t="shared" si="2"/>
        <v>110</v>
      </c>
      <c r="B111" s="5" t="s">
        <v>33</v>
      </c>
      <c r="C111" s="6" t="e">
        <f>数据库!#REF!&amp;"号楼"</f>
        <v>#REF!</v>
      </c>
      <c r="D111" s="15" t="e">
        <f>NUMBERSTRING(数据库!#REF!,3)&amp;"单元"</f>
        <v>#REF!</v>
      </c>
      <c r="E111" s="6" t="e">
        <f>数据库!#REF!</f>
        <v>#REF!</v>
      </c>
      <c r="F111" s="4"/>
      <c r="G111" s="6" t="e">
        <f t="shared" si="3"/>
        <v>#REF!</v>
      </c>
      <c r="H111" s="4"/>
      <c r="I111" s="9"/>
      <c r="J111" s="4"/>
      <c r="K111" s="4"/>
      <c r="L111" s="10"/>
      <c r="M111" s="10" t="str">
        <f>IFERROR(IF(数据库!#REF!=0,"低压区",IF(数据库!#REF!=1,"中压区","高压区")),"Error")</f>
        <v>Error</v>
      </c>
      <c r="N111" s="10"/>
      <c r="O111" s="4"/>
      <c r="P111" s="4"/>
      <c r="Q111" s="18" t="e">
        <f>数据库!#REF!</f>
        <v>#REF!</v>
      </c>
      <c r="AA111" s="18" t="e">
        <f>数据库!#REF!</f>
        <v>#REF!</v>
      </c>
    </row>
    <row r="112" spans="1:27" ht="15">
      <c r="A112" s="4" t="str">
        <f t="shared" si="2"/>
        <v>111</v>
      </c>
      <c r="B112" s="5" t="s">
        <v>33</v>
      </c>
      <c r="C112" s="6" t="e">
        <f>数据库!#REF!&amp;"号楼"</f>
        <v>#REF!</v>
      </c>
      <c r="D112" s="15" t="e">
        <f>NUMBERSTRING(数据库!#REF!,3)&amp;"单元"</f>
        <v>#REF!</v>
      </c>
      <c r="E112" s="6" t="e">
        <f>数据库!#REF!</f>
        <v>#REF!</v>
      </c>
      <c r="F112" s="4"/>
      <c r="G112" s="6" t="e">
        <f t="shared" si="3"/>
        <v>#REF!</v>
      </c>
      <c r="H112" s="4"/>
      <c r="I112" s="9"/>
      <c r="J112" s="4"/>
      <c r="K112" s="4"/>
      <c r="L112" s="10"/>
      <c r="M112" s="10" t="str">
        <f>IFERROR(IF(数据库!#REF!=0,"低压区",IF(数据库!#REF!=1,"中压区","高压区")),"Error")</f>
        <v>Error</v>
      </c>
      <c r="N112" s="10"/>
      <c r="O112" s="4"/>
      <c r="P112" s="4"/>
      <c r="Q112" s="18" t="e">
        <f>数据库!#REF!</f>
        <v>#REF!</v>
      </c>
      <c r="AA112" s="18" t="e">
        <f>数据库!#REF!</f>
        <v>#REF!</v>
      </c>
    </row>
    <row r="113" spans="1:27" ht="15">
      <c r="A113" s="4" t="str">
        <f t="shared" si="2"/>
        <v>112</v>
      </c>
      <c r="B113" s="5" t="s">
        <v>33</v>
      </c>
      <c r="C113" s="6" t="e">
        <f>数据库!#REF!&amp;"号楼"</f>
        <v>#REF!</v>
      </c>
      <c r="D113" s="15" t="e">
        <f>NUMBERSTRING(数据库!#REF!,3)&amp;"单元"</f>
        <v>#REF!</v>
      </c>
      <c r="E113" s="6" t="e">
        <f>数据库!#REF!</f>
        <v>#REF!</v>
      </c>
      <c r="F113" s="4"/>
      <c r="G113" s="6" t="e">
        <f t="shared" si="3"/>
        <v>#REF!</v>
      </c>
      <c r="H113" s="4"/>
      <c r="I113" s="9"/>
      <c r="J113" s="4"/>
      <c r="K113" s="4"/>
      <c r="L113" s="10"/>
      <c r="M113" s="10" t="str">
        <f>IFERROR(IF(数据库!#REF!=0,"低压区",IF(数据库!#REF!=1,"中压区","高压区")),"Error")</f>
        <v>Error</v>
      </c>
      <c r="N113" s="10"/>
      <c r="O113" s="4"/>
      <c r="P113" s="4"/>
      <c r="Q113" s="18" t="e">
        <f>数据库!#REF!</f>
        <v>#REF!</v>
      </c>
      <c r="AA113" s="18" t="e">
        <f>数据库!#REF!</f>
        <v>#REF!</v>
      </c>
    </row>
    <row r="114" spans="1:27" ht="15">
      <c r="A114" s="4" t="str">
        <f t="shared" si="2"/>
        <v>113</v>
      </c>
      <c r="B114" s="5" t="s">
        <v>33</v>
      </c>
      <c r="C114" s="6" t="e">
        <f>数据库!#REF!&amp;"号楼"</f>
        <v>#REF!</v>
      </c>
      <c r="D114" s="15" t="e">
        <f>NUMBERSTRING(数据库!#REF!,3)&amp;"单元"</f>
        <v>#REF!</v>
      </c>
      <c r="E114" s="6" t="e">
        <f>数据库!#REF!</f>
        <v>#REF!</v>
      </c>
      <c r="F114" s="4"/>
      <c r="G114" s="6" t="e">
        <f t="shared" si="3"/>
        <v>#REF!</v>
      </c>
      <c r="H114" s="4"/>
      <c r="I114" s="9"/>
      <c r="J114" s="4"/>
      <c r="K114" s="4"/>
      <c r="L114" s="10"/>
      <c r="M114" s="10" t="str">
        <f>IFERROR(IF(数据库!#REF!=0,"低压区",IF(数据库!#REF!=1,"中压区","高压区")),"Error")</f>
        <v>Error</v>
      </c>
      <c r="N114" s="10"/>
      <c r="O114" s="4"/>
      <c r="P114" s="4"/>
      <c r="Q114" s="18" t="e">
        <f>数据库!#REF!</f>
        <v>#REF!</v>
      </c>
      <c r="AA114" s="18" t="e">
        <f>数据库!#REF!</f>
        <v>#REF!</v>
      </c>
    </row>
    <row r="115" spans="1:27" ht="15">
      <c r="A115" s="4" t="str">
        <f t="shared" si="2"/>
        <v>114</v>
      </c>
      <c r="B115" s="5" t="s">
        <v>33</v>
      </c>
      <c r="C115" s="6" t="e">
        <f>数据库!#REF!&amp;"号楼"</f>
        <v>#REF!</v>
      </c>
      <c r="D115" s="15" t="e">
        <f>NUMBERSTRING(数据库!#REF!,3)&amp;"单元"</f>
        <v>#REF!</v>
      </c>
      <c r="E115" s="6" t="e">
        <f>数据库!#REF!</f>
        <v>#REF!</v>
      </c>
      <c r="F115" s="4"/>
      <c r="G115" s="6" t="e">
        <f t="shared" si="3"/>
        <v>#REF!</v>
      </c>
      <c r="H115" s="4"/>
      <c r="I115" s="9"/>
      <c r="J115" s="4"/>
      <c r="K115" s="4"/>
      <c r="L115" s="10"/>
      <c r="M115" s="10" t="str">
        <f>IFERROR(IF(数据库!#REF!=0,"低压区",IF(数据库!#REF!=1,"中压区","高压区")),"Error")</f>
        <v>Error</v>
      </c>
      <c r="N115" s="10"/>
      <c r="O115" s="4"/>
      <c r="P115" s="4"/>
      <c r="Q115" s="18" t="e">
        <f>数据库!#REF!</f>
        <v>#REF!</v>
      </c>
      <c r="AA115" s="18" t="e">
        <f>数据库!#REF!</f>
        <v>#REF!</v>
      </c>
    </row>
    <row r="116" spans="1:27" ht="15">
      <c r="A116" s="4" t="str">
        <f t="shared" si="2"/>
        <v>115</v>
      </c>
      <c r="B116" s="5" t="s">
        <v>33</v>
      </c>
      <c r="C116" s="6" t="e">
        <f>数据库!#REF!&amp;"号楼"</f>
        <v>#REF!</v>
      </c>
      <c r="D116" s="15" t="e">
        <f>NUMBERSTRING(数据库!#REF!,3)&amp;"单元"</f>
        <v>#REF!</v>
      </c>
      <c r="E116" s="6" t="e">
        <f>数据库!#REF!</f>
        <v>#REF!</v>
      </c>
      <c r="F116" s="4"/>
      <c r="G116" s="6" t="e">
        <f t="shared" si="3"/>
        <v>#REF!</v>
      </c>
      <c r="H116" s="4"/>
      <c r="I116" s="9"/>
      <c r="J116" s="4"/>
      <c r="K116" s="4"/>
      <c r="L116" s="10"/>
      <c r="M116" s="10" t="str">
        <f>IFERROR(IF(数据库!#REF!=0,"低压区",IF(数据库!#REF!=1,"中压区","高压区")),"Error")</f>
        <v>Error</v>
      </c>
      <c r="N116" s="10"/>
      <c r="O116" s="4"/>
      <c r="P116" s="4"/>
      <c r="Q116" s="18" t="e">
        <f>数据库!#REF!</f>
        <v>#REF!</v>
      </c>
      <c r="AA116" s="18" t="e">
        <f>数据库!#REF!</f>
        <v>#REF!</v>
      </c>
    </row>
    <row r="117" spans="1:27" ht="15">
      <c r="A117" s="4" t="str">
        <f t="shared" si="2"/>
        <v>116</v>
      </c>
      <c r="B117" s="5" t="s">
        <v>33</v>
      </c>
      <c r="C117" s="6" t="e">
        <f>数据库!#REF!&amp;"号楼"</f>
        <v>#REF!</v>
      </c>
      <c r="D117" s="15" t="e">
        <f>NUMBERSTRING(数据库!#REF!,3)&amp;"单元"</f>
        <v>#REF!</v>
      </c>
      <c r="E117" s="6" t="e">
        <f>数据库!#REF!</f>
        <v>#REF!</v>
      </c>
      <c r="F117" s="4"/>
      <c r="G117" s="6" t="e">
        <f t="shared" si="3"/>
        <v>#REF!</v>
      </c>
      <c r="H117" s="4"/>
      <c r="I117" s="9"/>
      <c r="J117" s="4"/>
      <c r="K117" s="4"/>
      <c r="L117" s="10"/>
      <c r="M117" s="10" t="str">
        <f>IFERROR(IF(数据库!#REF!=0,"低压区",IF(数据库!#REF!=1,"中压区","高压区")),"Error")</f>
        <v>Error</v>
      </c>
      <c r="N117" s="10"/>
      <c r="O117" s="4"/>
      <c r="P117" s="4"/>
      <c r="Q117" s="18" t="e">
        <f>数据库!#REF!</f>
        <v>#REF!</v>
      </c>
      <c r="AA117" s="18" t="e">
        <f>数据库!#REF!</f>
        <v>#REF!</v>
      </c>
    </row>
    <row r="118" spans="1:27" ht="15">
      <c r="A118" s="4" t="str">
        <f t="shared" si="2"/>
        <v>117</v>
      </c>
      <c r="B118" s="5" t="s">
        <v>33</v>
      </c>
      <c r="C118" s="6" t="e">
        <f>数据库!#REF!&amp;"号楼"</f>
        <v>#REF!</v>
      </c>
      <c r="D118" s="15" t="e">
        <f>NUMBERSTRING(数据库!#REF!,3)&amp;"单元"</f>
        <v>#REF!</v>
      </c>
      <c r="E118" s="6" t="e">
        <f>数据库!#REF!</f>
        <v>#REF!</v>
      </c>
      <c r="F118" s="4"/>
      <c r="G118" s="6" t="e">
        <f t="shared" si="3"/>
        <v>#REF!</v>
      </c>
      <c r="H118" s="4"/>
      <c r="I118" s="9"/>
      <c r="J118" s="4"/>
      <c r="K118" s="4"/>
      <c r="L118" s="10"/>
      <c r="M118" s="10" t="str">
        <f>IFERROR(IF(数据库!#REF!=0,"低压区",IF(数据库!#REF!=1,"中压区","高压区")),"Error")</f>
        <v>Error</v>
      </c>
      <c r="N118" s="10"/>
      <c r="O118" s="4"/>
      <c r="P118" s="4"/>
      <c r="Q118" s="18" t="e">
        <f>数据库!#REF!</f>
        <v>#REF!</v>
      </c>
      <c r="AA118" s="18" t="e">
        <f>数据库!#REF!</f>
        <v>#REF!</v>
      </c>
    </row>
    <row r="119" spans="1:27" ht="15">
      <c r="A119" s="4" t="str">
        <f t="shared" si="2"/>
        <v>118</v>
      </c>
      <c r="B119" s="5" t="s">
        <v>33</v>
      </c>
      <c r="C119" s="6" t="e">
        <f>数据库!#REF!&amp;"号楼"</f>
        <v>#REF!</v>
      </c>
      <c r="D119" s="15" t="e">
        <f>NUMBERSTRING(数据库!#REF!,3)&amp;"单元"</f>
        <v>#REF!</v>
      </c>
      <c r="E119" s="6" t="e">
        <f>数据库!#REF!</f>
        <v>#REF!</v>
      </c>
      <c r="F119" s="4"/>
      <c r="G119" s="6" t="e">
        <f t="shared" si="3"/>
        <v>#REF!</v>
      </c>
      <c r="H119" s="4"/>
      <c r="I119" s="9"/>
      <c r="J119" s="4"/>
      <c r="K119" s="4"/>
      <c r="L119" s="10"/>
      <c r="M119" s="10" t="str">
        <f>IFERROR(IF(数据库!#REF!=0,"低压区",IF(数据库!#REF!=1,"中压区","高压区")),"Error")</f>
        <v>Error</v>
      </c>
      <c r="N119" s="10"/>
      <c r="O119" s="4"/>
      <c r="P119" s="4"/>
      <c r="Q119" s="18" t="e">
        <f>数据库!#REF!</f>
        <v>#REF!</v>
      </c>
      <c r="AA119" s="18" t="e">
        <f>数据库!#REF!</f>
        <v>#REF!</v>
      </c>
    </row>
    <row r="120" spans="1:27" ht="15">
      <c r="A120" s="4" t="str">
        <f t="shared" si="2"/>
        <v>119</v>
      </c>
      <c r="B120" s="5" t="s">
        <v>33</v>
      </c>
      <c r="C120" s="6" t="e">
        <f>数据库!#REF!&amp;"号楼"</f>
        <v>#REF!</v>
      </c>
      <c r="D120" s="15" t="e">
        <f>NUMBERSTRING(数据库!#REF!,3)&amp;"单元"</f>
        <v>#REF!</v>
      </c>
      <c r="E120" s="6" t="e">
        <f>数据库!#REF!</f>
        <v>#REF!</v>
      </c>
      <c r="F120" s="4"/>
      <c r="G120" s="6" t="e">
        <f t="shared" si="3"/>
        <v>#REF!</v>
      </c>
      <c r="H120" s="4"/>
      <c r="I120" s="9"/>
      <c r="J120" s="4"/>
      <c r="K120" s="4"/>
      <c r="L120" s="10"/>
      <c r="M120" s="10" t="str">
        <f>IFERROR(IF(数据库!#REF!=0,"低压区",IF(数据库!#REF!=1,"中压区","高压区")),"Error")</f>
        <v>Error</v>
      </c>
      <c r="N120" s="10"/>
      <c r="O120" s="4"/>
      <c r="P120" s="4"/>
      <c r="Q120" s="18" t="e">
        <f>数据库!#REF!</f>
        <v>#REF!</v>
      </c>
      <c r="AA120" s="18" t="e">
        <f>数据库!#REF!</f>
        <v>#REF!</v>
      </c>
    </row>
    <row r="121" spans="1:27" ht="15">
      <c r="A121" s="4" t="str">
        <f t="shared" si="2"/>
        <v>120</v>
      </c>
      <c r="B121" s="5" t="s">
        <v>33</v>
      </c>
      <c r="C121" s="6" t="e">
        <f>数据库!#REF!&amp;"号楼"</f>
        <v>#REF!</v>
      </c>
      <c r="D121" s="15" t="e">
        <f>NUMBERSTRING(数据库!#REF!,3)&amp;"单元"</f>
        <v>#REF!</v>
      </c>
      <c r="E121" s="6" t="e">
        <f>数据库!#REF!</f>
        <v>#REF!</v>
      </c>
      <c r="F121" s="4"/>
      <c r="G121" s="6" t="e">
        <f t="shared" si="3"/>
        <v>#REF!</v>
      </c>
      <c r="H121" s="4"/>
      <c r="I121" s="9"/>
      <c r="J121" s="4"/>
      <c r="K121" s="4"/>
      <c r="L121" s="10"/>
      <c r="M121" s="10" t="str">
        <f>IFERROR(IF(数据库!#REF!=0,"低压区",IF(数据库!#REF!=1,"中压区","高压区")),"Error")</f>
        <v>Error</v>
      </c>
      <c r="N121" s="10"/>
      <c r="O121" s="4"/>
      <c r="P121" s="4"/>
      <c r="Q121" s="18" t="e">
        <f>数据库!#REF!</f>
        <v>#REF!</v>
      </c>
      <c r="AA121" s="18" t="e">
        <f>数据库!#REF!</f>
        <v>#REF!</v>
      </c>
    </row>
    <row r="122" spans="1:27" ht="15">
      <c r="A122" s="4" t="str">
        <f t="shared" si="2"/>
        <v>121</v>
      </c>
      <c r="B122" s="5" t="s">
        <v>33</v>
      </c>
      <c r="C122" s="6" t="e">
        <f>数据库!#REF!&amp;"号楼"</f>
        <v>#REF!</v>
      </c>
      <c r="D122" s="15" t="e">
        <f>NUMBERSTRING(数据库!#REF!,3)&amp;"单元"</f>
        <v>#REF!</v>
      </c>
      <c r="E122" s="6" t="e">
        <f>数据库!#REF!</f>
        <v>#REF!</v>
      </c>
      <c r="F122" s="4"/>
      <c r="G122" s="6" t="e">
        <f t="shared" si="3"/>
        <v>#REF!</v>
      </c>
      <c r="H122" s="4"/>
      <c r="I122" s="9"/>
      <c r="J122" s="4"/>
      <c r="K122" s="4"/>
      <c r="L122" s="10"/>
      <c r="M122" s="10" t="str">
        <f>IFERROR(IF(数据库!#REF!=0,"低压区",IF(数据库!#REF!=1,"中压区","高压区")),"Error")</f>
        <v>Error</v>
      </c>
      <c r="N122" s="10"/>
      <c r="O122" s="4"/>
      <c r="P122" s="4"/>
      <c r="Q122" s="18" t="e">
        <f>数据库!#REF!</f>
        <v>#REF!</v>
      </c>
      <c r="AA122" s="18" t="e">
        <f>数据库!#REF!</f>
        <v>#REF!</v>
      </c>
    </row>
    <row r="123" spans="1:27" ht="15">
      <c r="A123" s="4" t="str">
        <f t="shared" si="2"/>
        <v>122</v>
      </c>
      <c r="B123" s="5" t="s">
        <v>33</v>
      </c>
      <c r="C123" s="6" t="e">
        <f>数据库!#REF!&amp;"号楼"</f>
        <v>#REF!</v>
      </c>
      <c r="D123" s="15" t="e">
        <f>NUMBERSTRING(数据库!#REF!,3)&amp;"单元"</f>
        <v>#REF!</v>
      </c>
      <c r="E123" s="6" t="e">
        <f>数据库!#REF!</f>
        <v>#REF!</v>
      </c>
      <c r="F123" s="4"/>
      <c r="G123" s="6" t="e">
        <f t="shared" si="3"/>
        <v>#REF!</v>
      </c>
      <c r="H123" s="4"/>
      <c r="I123" s="9"/>
      <c r="J123" s="4"/>
      <c r="K123" s="4"/>
      <c r="L123" s="10"/>
      <c r="M123" s="10" t="str">
        <f>IFERROR(IF(数据库!#REF!=0,"低压区",IF(数据库!#REF!=1,"中压区","高压区")),"Error")</f>
        <v>Error</v>
      </c>
      <c r="N123" s="10"/>
      <c r="O123" s="4"/>
      <c r="P123" s="4"/>
      <c r="Q123" s="18" t="e">
        <f>数据库!#REF!</f>
        <v>#REF!</v>
      </c>
      <c r="AA123" s="18" t="e">
        <f>数据库!#REF!</f>
        <v>#REF!</v>
      </c>
    </row>
    <row r="124" spans="1:27" ht="15">
      <c r="A124" s="4" t="str">
        <f t="shared" si="2"/>
        <v>123</v>
      </c>
      <c r="B124" s="5" t="s">
        <v>33</v>
      </c>
      <c r="C124" s="6" t="e">
        <f>数据库!#REF!&amp;"号楼"</f>
        <v>#REF!</v>
      </c>
      <c r="D124" s="15" t="e">
        <f>NUMBERSTRING(数据库!#REF!,3)&amp;"单元"</f>
        <v>#REF!</v>
      </c>
      <c r="E124" s="6" t="e">
        <f>数据库!#REF!</f>
        <v>#REF!</v>
      </c>
      <c r="F124" s="4"/>
      <c r="G124" s="6" t="e">
        <f t="shared" si="3"/>
        <v>#REF!</v>
      </c>
      <c r="H124" s="4"/>
      <c r="I124" s="9"/>
      <c r="J124" s="4"/>
      <c r="K124" s="4"/>
      <c r="L124" s="10"/>
      <c r="M124" s="10" t="str">
        <f>IFERROR(IF(数据库!#REF!=0,"低压区",IF(数据库!#REF!=1,"中压区","高压区")),"Error")</f>
        <v>Error</v>
      </c>
      <c r="N124" s="10"/>
      <c r="O124" s="4"/>
      <c r="P124" s="4"/>
      <c r="Q124" s="18" t="e">
        <f>数据库!#REF!</f>
        <v>#REF!</v>
      </c>
      <c r="AA124" s="18" t="e">
        <f>数据库!#REF!</f>
        <v>#REF!</v>
      </c>
    </row>
    <row r="125" spans="1:27" ht="15">
      <c r="A125" s="4" t="str">
        <f t="shared" si="2"/>
        <v>124</v>
      </c>
      <c r="B125" s="5" t="s">
        <v>33</v>
      </c>
      <c r="C125" s="6" t="e">
        <f>数据库!#REF!&amp;"号楼"</f>
        <v>#REF!</v>
      </c>
      <c r="D125" s="15" t="e">
        <f>NUMBERSTRING(数据库!#REF!,3)&amp;"单元"</f>
        <v>#REF!</v>
      </c>
      <c r="E125" s="6" t="e">
        <f>数据库!#REF!</f>
        <v>#REF!</v>
      </c>
      <c r="F125" s="4"/>
      <c r="G125" s="6" t="e">
        <f t="shared" si="3"/>
        <v>#REF!</v>
      </c>
      <c r="H125" s="4"/>
      <c r="I125" s="9"/>
      <c r="J125" s="4"/>
      <c r="K125" s="4"/>
      <c r="L125" s="10"/>
      <c r="M125" s="10" t="str">
        <f>IFERROR(IF(数据库!#REF!=0,"低压区",IF(数据库!#REF!=1,"中压区","高压区")),"Error")</f>
        <v>Error</v>
      </c>
      <c r="N125" s="10"/>
      <c r="O125" s="4"/>
      <c r="P125" s="4"/>
      <c r="Q125" s="18" t="e">
        <f>数据库!#REF!</f>
        <v>#REF!</v>
      </c>
      <c r="AA125" s="18" t="e">
        <f>数据库!#REF!</f>
        <v>#REF!</v>
      </c>
    </row>
    <row r="126" spans="1:27" ht="15">
      <c r="A126" s="4" t="str">
        <f t="shared" si="2"/>
        <v>125</v>
      </c>
      <c r="B126" s="5" t="s">
        <v>33</v>
      </c>
      <c r="C126" s="6" t="e">
        <f>数据库!#REF!&amp;"号楼"</f>
        <v>#REF!</v>
      </c>
      <c r="D126" s="15" t="e">
        <f>NUMBERSTRING(数据库!#REF!,3)&amp;"单元"</f>
        <v>#REF!</v>
      </c>
      <c r="E126" s="6" t="e">
        <f>数据库!#REF!</f>
        <v>#REF!</v>
      </c>
      <c r="F126" s="4"/>
      <c r="G126" s="6" t="e">
        <f t="shared" si="3"/>
        <v>#REF!</v>
      </c>
      <c r="H126" s="4"/>
      <c r="I126" s="9"/>
      <c r="J126" s="4"/>
      <c r="K126" s="4"/>
      <c r="L126" s="10"/>
      <c r="M126" s="10" t="str">
        <f>IFERROR(IF(数据库!#REF!=0,"低压区",IF(数据库!#REF!=1,"中压区","高压区")),"Error")</f>
        <v>Error</v>
      </c>
      <c r="N126" s="10"/>
      <c r="O126" s="4"/>
      <c r="P126" s="4"/>
      <c r="Q126" s="18" t="e">
        <f>数据库!#REF!</f>
        <v>#REF!</v>
      </c>
      <c r="AA126" s="18" t="e">
        <f>数据库!#REF!</f>
        <v>#REF!</v>
      </c>
    </row>
    <row r="127" spans="1:27" ht="15">
      <c r="A127" s="4" t="str">
        <f t="shared" si="2"/>
        <v>126</v>
      </c>
      <c r="B127" s="5" t="s">
        <v>33</v>
      </c>
      <c r="C127" s="6" t="e">
        <f>数据库!#REF!&amp;"号楼"</f>
        <v>#REF!</v>
      </c>
      <c r="D127" s="15" t="e">
        <f>NUMBERSTRING(数据库!#REF!,3)&amp;"单元"</f>
        <v>#REF!</v>
      </c>
      <c r="E127" s="6" t="e">
        <f>数据库!#REF!</f>
        <v>#REF!</v>
      </c>
      <c r="F127" s="4"/>
      <c r="G127" s="6" t="e">
        <f t="shared" si="3"/>
        <v>#REF!</v>
      </c>
      <c r="H127" s="4"/>
      <c r="I127" s="9"/>
      <c r="J127" s="4"/>
      <c r="K127" s="4"/>
      <c r="L127" s="10"/>
      <c r="M127" s="10" t="str">
        <f>IFERROR(IF(数据库!#REF!=0,"低压区",IF(数据库!#REF!=1,"中压区","高压区")),"Error")</f>
        <v>Error</v>
      </c>
      <c r="N127" s="10"/>
      <c r="O127" s="4"/>
      <c r="P127" s="4"/>
      <c r="Q127" s="18" t="e">
        <f>数据库!#REF!</f>
        <v>#REF!</v>
      </c>
      <c r="AA127" s="18" t="e">
        <f>数据库!#REF!</f>
        <v>#REF!</v>
      </c>
    </row>
    <row r="128" spans="1:27" ht="15">
      <c r="A128" s="4" t="str">
        <f t="shared" si="2"/>
        <v>127</v>
      </c>
      <c r="B128" s="5" t="s">
        <v>33</v>
      </c>
      <c r="C128" s="6" t="e">
        <f>数据库!#REF!&amp;"号楼"</f>
        <v>#REF!</v>
      </c>
      <c r="D128" s="15" t="e">
        <f>NUMBERSTRING(数据库!#REF!,3)&amp;"单元"</f>
        <v>#REF!</v>
      </c>
      <c r="E128" s="6" t="e">
        <f>数据库!#REF!</f>
        <v>#REF!</v>
      </c>
      <c r="F128" s="4"/>
      <c r="G128" s="6" t="e">
        <f t="shared" si="3"/>
        <v>#REF!</v>
      </c>
      <c r="H128" s="4"/>
      <c r="I128" s="9"/>
      <c r="J128" s="4"/>
      <c r="K128" s="4"/>
      <c r="L128" s="10"/>
      <c r="M128" s="10" t="str">
        <f>IFERROR(IF(数据库!#REF!=0,"低压区",IF(数据库!#REF!=1,"中压区","高压区")),"Error")</f>
        <v>Error</v>
      </c>
      <c r="N128" s="10"/>
      <c r="O128" s="4"/>
      <c r="P128" s="4"/>
      <c r="Q128" s="18" t="e">
        <f>数据库!#REF!</f>
        <v>#REF!</v>
      </c>
      <c r="AA128" s="18" t="e">
        <f>数据库!#REF!</f>
        <v>#REF!</v>
      </c>
    </row>
    <row r="129" spans="1:27" ht="15">
      <c r="A129" s="4" t="str">
        <f t="shared" si="2"/>
        <v>128</v>
      </c>
      <c r="B129" s="5" t="s">
        <v>33</v>
      </c>
      <c r="C129" s="6" t="e">
        <f>数据库!#REF!&amp;"号楼"</f>
        <v>#REF!</v>
      </c>
      <c r="D129" s="15" t="e">
        <f>NUMBERSTRING(数据库!#REF!,3)&amp;"单元"</f>
        <v>#REF!</v>
      </c>
      <c r="E129" s="6" t="e">
        <f>数据库!#REF!</f>
        <v>#REF!</v>
      </c>
      <c r="F129" s="4"/>
      <c r="G129" s="6" t="e">
        <f t="shared" si="3"/>
        <v>#REF!</v>
      </c>
      <c r="H129" s="4"/>
      <c r="I129" s="9"/>
      <c r="J129" s="4"/>
      <c r="K129" s="4"/>
      <c r="L129" s="10"/>
      <c r="M129" s="10" t="str">
        <f>IFERROR(IF(数据库!#REF!=0,"低压区",IF(数据库!#REF!=1,"中压区","高压区")),"Error")</f>
        <v>Error</v>
      </c>
      <c r="N129" s="10"/>
      <c r="O129" s="4"/>
      <c r="P129" s="4"/>
      <c r="Q129" s="18" t="e">
        <f>数据库!#REF!</f>
        <v>#REF!</v>
      </c>
      <c r="AA129" s="18" t="e">
        <f>数据库!#REF!</f>
        <v>#REF!</v>
      </c>
    </row>
    <row r="130" spans="1:27" ht="15">
      <c r="A130" s="4" t="str">
        <f t="shared" si="2"/>
        <v>129</v>
      </c>
      <c r="B130" s="5" t="s">
        <v>33</v>
      </c>
      <c r="C130" s="6" t="e">
        <f>数据库!#REF!&amp;"号楼"</f>
        <v>#REF!</v>
      </c>
      <c r="D130" s="15" t="e">
        <f>NUMBERSTRING(数据库!#REF!,3)&amp;"单元"</f>
        <v>#REF!</v>
      </c>
      <c r="E130" s="6" t="e">
        <f>数据库!#REF!</f>
        <v>#REF!</v>
      </c>
      <c r="F130" s="4"/>
      <c r="G130" s="6" t="e">
        <f t="shared" si="3"/>
        <v>#REF!</v>
      </c>
      <c r="H130" s="4"/>
      <c r="I130" s="9"/>
      <c r="J130" s="4"/>
      <c r="K130" s="4"/>
      <c r="L130" s="10"/>
      <c r="M130" s="10" t="str">
        <f>IFERROR(IF(数据库!#REF!=0,"低压区",IF(数据库!#REF!=1,"中压区","高压区")),"Error")</f>
        <v>Error</v>
      </c>
      <c r="N130" s="10"/>
      <c r="O130" s="4"/>
      <c r="P130" s="4"/>
      <c r="Q130" s="18" t="e">
        <f>数据库!#REF!</f>
        <v>#REF!</v>
      </c>
      <c r="AA130" s="18" t="e">
        <f>数据库!#REF!</f>
        <v>#REF!</v>
      </c>
    </row>
    <row r="131" spans="1:27" ht="15">
      <c r="A131" s="4" t="str">
        <f t="shared" ref="A131:A151" si="4">TEXT(ROW(A130),"000")</f>
        <v>130</v>
      </c>
      <c r="B131" s="5" t="s">
        <v>33</v>
      </c>
      <c r="C131" s="6" t="e">
        <f>数据库!#REF!&amp;"号楼"</f>
        <v>#REF!</v>
      </c>
      <c r="D131" s="15" t="e">
        <f>NUMBERSTRING(数据库!#REF!,3)&amp;"单元"</f>
        <v>#REF!</v>
      </c>
      <c r="E131" s="6" t="e">
        <f>数据库!#REF!</f>
        <v>#REF!</v>
      </c>
      <c r="F131" s="4"/>
      <c r="G131" s="6" t="e">
        <f t="shared" ref="G131:G151" si="5">E131</f>
        <v>#REF!</v>
      </c>
      <c r="H131" s="4"/>
      <c r="I131" s="9"/>
      <c r="J131" s="4"/>
      <c r="K131" s="4"/>
      <c r="L131" s="10"/>
      <c r="M131" s="10" t="str">
        <f>IFERROR(IF(数据库!#REF!=0,"低压区",IF(数据库!#REF!=1,"中压区","高压区")),"Error")</f>
        <v>Error</v>
      </c>
      <c r="N131" s="10"/>
      <c r="O131" s="4"/>
      <c r="P131" s="4"/>
      <c r="Q131" s="18" t="e">
        <f>数据库!#REF!</f>
        <v>#REF!</v>
      </c>
      <c r="AA131" s="18" t="e">
        <f>数据库!#REF!</f>
        <v>#REF!</v>
      </c>
    </row>
    <row r="132" spans="1:27" ht="15">
      <c r="A132" s="4" t="str">
        <f t="shared" si="4"/>
        <v>131</v>
      </c>
      <c r="B132" s="5" t="s">
        <v>33</v>
      </c>
      <c r="C132" s="6" t="e">
        <f>数据库!#REF!&amp;"号楼"</f>
        <v>#REF!</v>
      </c>
      <c r="D132" s="15" t="e">
        <f>NUMBERSTRING(数据库!#REF!,3)&amp;"单元"</f>
        <v>#REF!</v>
      </c>
      <c r="E132" s="6" t="e">
        <f>数据库!#REF!</f>
        <v>#REF!</v>
      </c>
      <c r="F132" s="4"/>
      <c r="G132" s="6" t="e">
        <f t="shared" si="5"/>
        <v>#REF!</v>
      </c>
      <c r="H132" s="4"/>
      <c r="I132" s="9"/>
      <c r="J132" s="4"/>
      <c r="K132" s="4"/>
      <c r="L132" s="10"/>
      <c r="M132" s="10" t="str">
        <f>IFERROR(IF(数据库!#REF!=0,"低压区",IF(数据库!#REF!=1,"中压区","高压区")),"Error")</f>
        <v>Error</v>
      </c>
      <c r="N132" s="10"/>
      <c r="O132" s="4"/>
      <c r="P132" s="4"/>
      <c r="Q132" s="18" t="e">
        <f>数据库!#REF!</f>
        <v>#REF!</v>
      </c>
      <c r="AA132" s="18" t="e">
        <f>数据库!#REF!</f>
        <v>#REF!</v>
      </c>
    </row>
    <row r="133" spans="1:27" ht="15">
      <c r="A133" s="4" t="str">
        <f t="shared" si="4"/>
        <v>132</v>
      </c>
      <c r="B133" s="5" t="s">
        <v>33</v>
      </c>
      <c r="C133" s="6" t="e">
        <f>数据库!#REF!&amp;"号楼"</f>
        <v>#REF!</v>
      </c>
      <c r="D133" s="15" t="e">
        <f>NUMBERSTRING(数据库!#REF!,3)&amp;"单元"</f>
        <v>#REF!</v>
      </c>
      <c r="E133" s="6" t="e">
        <f>数据库!#REF!</f>
        <v>#REF!</v>
      </c>
      <c r="F133" s="4"/>
      <c r="G133" s="6" t="e">
        <f t="shared" si="5"/>
        <v>#REF!</v>
      </c>
      <c r="H133" s="4"/>
      <c r="I133" s="9"/>
      <c r="J133" s="4"/>
      <c r="K133" s="4"/>
      <c r="L133" s="10"/>
      <c r="M133" s="10" t="str">
        <f>IFERROR(IF(数据库!#REF!=0,"低压区",IF(数据库!#REF!=1,"中压区","高压区")),"Error")</f>
        <v>Error</v>
      </c>
      <c r="N133" s="10"/>
      <c r="O133" s="4"/>
      <c r="P133" s="4"/>
      <c r="Q133" s="18" t="e">
        <f>数据库!#REF!</f>
        <v>#REF!</v>
      </c>
      <c r="AA133" s="18" t="e">
        <f>数据库!#REF!</f>
        <v>#REF!</v>
      </c>
    </row>
    <row r="134" spans="1:27" ht="15">
      <c r="A134" s="4" t="str">
        <f t="shared" si="4"/>
        <v>133</v>
      </c>
      <c r="B134" s="5" t="s">
        <v>33</v>
      </c>
      <c r="C134" s="6" t="e">
        <f>数据库!#REF!&amp;"号楼"</f>
        <v>#REF!</v>
      </c>
      <c r="D134" s="15" t="e">
        <f>NUMBERSTRING(数据库!#REF!,3)&amp;"单元"</f>
        <v>#REF!</v>
      </c>
      <c r="E134" s="6" t="e">
        <f>数据库!#REF!</f>
        <v>#REF!</v>
      </c>
      <c r="F134" s="4"/>
      <c r="G134" s="6" t="e">
        <f t="shared" si="5"/>
        <v>#REF!</v>
      </c>
      <c r="H134" s="4"/>
      <c r="I134" s="9"/>
      <c r="J134" s="4"/>
      <c r="K134" s="4"/>
      <c r="L134" s="10"/>
      <c r="M134" s="10" t="str">
        <f>IFERROR(IF(数据库!#REF!=0,"低压区",IF(数据库!#REF!=1,"中压区","高压区")),"Error")</f>
        <v>Error</v>
      </c>
      <c r="N134" s="10"/>
      <c r="O134" s="4"/>
      <c r="P134" s="4"/>
      <c r="Q134" s="18" t="e">
        <f>数据库!#REF!</f>
        <v>#REF!</v>
      </c>
      <c r="AA134" s="18" t="e">
        <f>数据库!#REF!</f>
        <v>#REF!</v>
      </c>
    </row>
    <row r="135" spans="1:27" ht="15">
      <c r="A135" s="4" t="str">
        <f t="shared" si="4"/>
        <v>134</v>
      </c>
      <c r="B135" s="5" t="s">
        <v>33</v>
      </c>
      <c r="C135" s="6" t="e">
        <f>数据库!#REF!&amp;"号楼"</f>
        <v>#REF!</v>
      </c>
      <c r="D135" s="15" t="e">
        <f>NUMBERSTRING(数据库!#REF!,3)&amp;"单元"</f>
        <v>#REF!</v>
      </c>
      <c r="E135" s="6" t="e">
        <f>数据库!#REF!</f>
        <v>#REF!</v>
      </c>
      <c r="F135" s="4"/>
      <c r="G135" s="6" t="e">
        <f t="shared" si="5"/>
        <v>#REF!</v>
      </c>
      <c r="H135" s="4"/>
      <c r="I135" s="9"/>
      <c r="J135" s="4"/>
      <c r="K135" s="4"/>
      <c r="L135" s="10"/>
      <c r="M135" s="10" t="str">
        <f>IFERROR(IF(数据库!#REF!=0,"低压区",IF(数据库!#REF!=1,"中压区","高压区")),"Error")</f>
        <v>Error</v>
      </c>
      <c r="N135" s="10"/>
      <c r="O135" s="4"/>
      <c r="P135" s="4"/>
      <c r="Q135" s="18" t="e">
        <f>数据库!#REF!</f>
        <v>#REF!</v>
      </c>
      <c r="AA135" s="18" t="e">
        <f>数据库!#REF!</f>
        <v>#REF!</v>
      </c>
    </row>
    <row r="136" spans="1:27" ht="15">
      <c r="A136" s="4" t="str">
        <f t="shared" si="4"/>
        <v>135</v>
      </c>
      <c r="B136" s="5" t="s">
        <v>33</v>
      </c>
      <c r="C136" s="6" t="e">
        <f>数据库!#REF!&amp;"号楼"</f>
        <v>#REF!</v>
      </c>
      <c r="D136" s="15" t="e">
        <f>NUMBERSTRING(数据库!#REF!,3)&amp;"单元"</f>
        <v>#REF!</v>
      </c>
      <c r="E136" s="6" t="e">
        <f>数据库!#REF!</f>
        <v>#REF!</v>
      </c>
      <c r="F136" s="4"/>
      <c r="G136" s="6" t="e">
        <f t="shared" si="5"/>
        <v>#REF!</v>
      </c>
      <c r="H136" s="4"/>
      <c r="I136" s="9"/>
      <c r="J136" s="4"/>
      <c r="K136" s="4"/>
      <c r="L136" s="10"/>
      <c r="M136" s="10" t="str">
        <f>IFERROR(IF(数据库!#REF!=0,"低压区",IF(数据库!#REF!=1,"中压区","高压区")),"Error")</f>
        <v>Error</v>
      </c>
      <c r="N136" s="10"/>
      <c r="O136" s="4"/>
      <c r="P136" s="4"/>
      <c r="Q136" s="18" t="e">
        <f>数据库!#REF!</f>
        <v>#REF!</v>
      </c>
      <c r="AA136" s="18" t="e">
        <f>数据库!#REF!</f>
        <v>#REF!</v>
      </c>
    </row>
    <row r="137" spans="1:27" ht="15">
      <c r="A137" s="4" t="str">
        <f t="shared" si="4"/>
        <v>136</v>
      </c>
      <c r="B137" s="5" t="s">
        <v>33</v>
      </c>
      <c r="C137" s="6" t="e">
        <f>数据库!#REF!&amp;"号楼"</f>
        <v>#REF!</v>
      </c>
      <c r="D137" s="15" t="e">
        <f>NUMBERSTRING(数据库!#REF!,3)&amp;"单元"</f>
        <v>#REF!</v>
      </c>
      <c r="E137" s="6" t="e">
        <f>数据库!#REF!</f>
        <v>#REF!</v>
      </c>
      <c r="F137" s="4"/>
      <c r="G137" s="6" t="e">
        <f t="shared" si="5"/>
        <v>#REF!</v>
      </c>
      <c r="H137" s="4"/>
      <c r="I137" s="9"/>
      <c r="J137" s="4"/>
      <c r="K137" s="4"/>
      <c r="L137" s="10"/>
      <c r="M137" s="10" t="str">
        <f>IFERROR(IF(数据库!#REF!=0,"低压区",IF(数据库!#REF!=1,"中压区","高压区")),"Error")</f>
        <v>Error</v>
      </c>
      <c r="N137" s="10"/>
      <c r="O137" s="4"/>
      <c r="P137" s="4"/>
      <c r="Q137" s="18" t="e">
        <f>数据库!#REF!</f>
        <v>#REF!</v>
      </c>
      <c r="AA137" s="18" t="e">
        <f>数据库!#REF!</f>
        <v>#REF!</v>
      </c>
    </row>
    <row r="138" spans="1:27" ht="15">
      <c r="A138" s="4" t="str">
        <f t="shared" si="4"/>
        <v>137</v>
      </c>
      <c r="B138" s="5" t="s">
        <v>33</v>
      </c>
      <c r="C138" s="6" t="e">
        <f>数据库!#REF!&amp;"号楼"</f>
        <v>#REF!</v>
      </c>
      <c r="D138" s="15" t="e">
        <f>NUMBERSTRING(数据库!#REF!,3)&amp;"单元"</f>
        <v>#REF!</v>
      </c>
      <c r="E138" s="6" t="e">
        <f>数据库!#REF!</f>
        <v>#REF!</v>
      </c>
      <c r="F138" s="4"/>
      <c r="G138" s="6" t="e">
        <f t="shared" si="5"/>
        <v>#REF!</v>
      </c>
      <c r="H138" s="4"/>
      <c r="I138" s="9"/>
      <c r="J138" s="4"/>
      <c r="K138" s="4"/>
      <c r="L138" s="10"/>
      <c r="M138" s="10" t="str">
        <f>IFERROR(IF(数据库!#REF!=0,"低压区",IF(数据库!#REF!=1,"中压区","高压区")),"Error")</f>
        <v>Error</v>
      </c>
      <c r="N138" s="10"/>
      <c r="O138" s="4"/>
      <c r="P138" s="4"/>
      <c r="Q138" s="18" t="e">
        <f>数据库!#REF!</f>
        <v>#REF!</v>
      </c>
      <c r="AA138" s="18" t="e">
        <f>数据库!#REF!</f>
        <v>#REF!</v>
      </c>
    </row>
    <row r="139" spans="1:27" ht="15">
      <c r="A139" s="4" t="str">
        <f t="shared" si="4"/>
        <v>138</v>
      </c>
      <c r="B139" s="5" t="s">
        <v>33</v>
      </c>
      <c r="C139" s="6" t="e">
        <f>数据库!#REF!&amp;"号楼"</f>
        <v>#REF!</v>
      </c>
      <c r="D139" s="15" t="e">
        <f>NUMBERSTRING(数据库!#REF!,3)&amp;"单元"</f>
        <v>#REF!</v>
      </c>
      <c r="E139" s="6" t="e">
        <f>数据库!#REF!</f>
        <v>#REF!</v>
      </c>
      <c r="F139" s="4"/>
      <c r="G139" s="6" t="e">
        <f t="shared" si="5"/>
        <v>#REF!</v>
      </c>
      <c r="H139" s="4"/>
      <c r="I139" s="9"/>
      <c r="J139" s="4"/>
      <c r="K139" s="4"/>
      <c r="L139" s="10"/>
      <c r="M139" s="10" t="str">
        <f>IFERROR(IF(数据库!#REF!=0,"低压区",IF(数据库!#REF!=1,"中压区","高压区")),"Error")</f>
        <v>Error</v>
      </c>
      <c r="N139" s="10"/>
      <c r="O139" s="4"/>
      <c r="P139" s="4"/>
      <c r="Q139" s="18" t="e">
        <f>数据库!#REF!</f>
        <v>#REF!</v>
      </c>
      <c r="AA139" s="18" t="e">
        <f>数据库!#REF!</f>
        <v>#REF!</v>
      </c>
    </row>
    <row r="140" spans="1:27" ht="15">
      <c r="A140" s="4" t="str">
        <f t="shared" si="4"/>
        <v>139</v>
      </c>
      <c r="B140" s="5" t="s">
        <v>33</v>
      </c>
      <c r="C140" s="6" t="e">
        <f>数据库!#REF!&amp;"号楼"</f>
        <v>#REF!</v>
      </c>
      <c r="D140" s="15" t="e">
        <f>NUMBERSTRING(数据库!#REF!,3)&amp;"单元"</f>
        <v>#REF!</v>
      </c>
      <c r="E140" s="6" t="e">
        <f>数据库!#REF!</f>
        <v>#REF!</v>
      </c>
      <c r="F140" s="4"/>
      <c r="G140" s="6" t="e">
        <f t="shared" si="5"/>
        <v>#REF!</v>
      </c>
      <c r="H140" s="4"/>
      <c r="I140" s="9"/>
      <c r="J140" s="4"/>
      <c r="K140" s="4"/>
      <c r="L140" s="10"/>
      <c r="M140" s="10" t="str">
        <f>IFERROR(IF(数据库!#REF!=0,"低压区",IF(数据库!#REF!=1,"中压区","高压区")),"Error")</f>
        <v>Error</v>
      </c>
      <c r="N140" s="10"/>
      <c r="O140" s="4"/>
      <c r="P140" s="4"/>
      <c r="Q140" s="18" t="e">
        <f>数据库!#REF!</f>
        <v>#REF!</v>
      </c>
      <c r="AA140" s="18" t="e">
        <f>数据库!#REF!</f>
        <v>#REF!</v>
      </c>
    </row>
    <row r="141" spans="1:27" ht="15">
      <c r="A141" s="4" t="str">
        <f t="shared" si="4"/>
        <v>140</v>
      </c>
      <c r="B141" s="5" t="s">
        <v>33</v>
      </c>
      <c r="C141" s="6" t="e">
        <f>数据库!#REF!&amp;"号楼"</f>
        <v>#REF!</v>
      </c>
      <c r="D141" s="15" t="e">
        <f>NUMBERSTRING(数据库!#REF!,3)&amp;"单元"</f>
        <v>#REF!</v>
      </c>
      <c r="E141" s="6" t="e">
        <f>数据库!#REF!</f>
        <v>#REF!</v>
      </c>
      <c r="F141" s="4"/>
      <c r="G141" s="6" t="e">
        <f t="shared" si="5"/>
        <v>#REF!</v>
      </c>
      <c r="H141" s="4"/>
      <c r="I141" s="9"/>
      <c r="J141" s="4"/>
      <c r="K141" s="4"/>
      <c r="L141" s="10"/>
      <c r="M141" s="10" t="str">
        <f>IFERROR(IF(数据库!#REF!=0,"低压区",IF(数据库!#REF!=1,"中压区","高压区")),"Error")</f>
        <v>Error</v>
      </c>
      <c r="N141" s="10"/>
      <c r="O141" s="4"/>
      <c r="P141" s="4"/>
      <c r="Q141" s="18" t="e">
        <f>数据库!#REF!</f>
        <v>#REF!</v>
      </c>
      <c r="AA141" s="18" t="e">
        <f>数据库!#REF!</f>
        <v>#REF!</v>
      </c>
    </row>
    <row r="142" spans="1:27" ht="15">
      <c r="A142" s="4" t="str">
        <f t="shared" si="4"/>
        <v>141</v>
      </c>
      <c r="B142" s="5" t="s">
        <v>33</v>
      </c>
      <c r="C142" s="6" t="e">
        <f>数据库!#REF!&amp;"号楼"</f>
        <v>#REF!</v>
      </c>
      <c r="D142" s="15" t="e">
        <f>NUMBERSTRING(数据库!#REF!,3)&amp;"单元"</f>
        <v>#REF!</v>
      </c>
      <c r="E142" s="6" t="e">
        <f>数据库!#REF!</f>
        <v>#REF!</v>
      </c>
      <c r="F142" s="4"/>
      <c r="G142" s="6" t="e">
        <f t="shared" si="5"/>
        <v>#REF!</v>
      </c>
      <c r="H142" s="4"/>
      <c r="I142" s="9"/>
      <c r="J142" s="4"/>
      <c r="K142" s="4"/>
      <c r="L142" s="10"/>
      <c r="M142" s="10" t="str">
        <f>IFERROR(IF(数据库!#REF!=0,"低压区",IF(数据库!#REF!=1,"中压区","高压区")),"Error")</f>
        <v>Error</v>
      </c>
      <c r="N142" s="10"/>
      <c r="O142" s="4"/>
      <c r="P142" s="4"/>
      <c r="Q142" s="18" t="e">
        <f>数据库!#REF!</f>
        <v>#REF!</v>
      </c>
      <c r="AA142" s="18" t="e">
        <f>数据库!#REF!</f>
        <v>#REF!</v>
      </c>
    </row>
    <row r="143" spans="1:27" ht="15">
      <c r="A143" s="4" t="str">
        <f t="shared" si="4"/>
        <v>142</v>
      </c>
      <c r="B143" s="5" t="s">
        <v>33</v>
      </c>
      <c r="C143" s="6" t="e">
        <f>数据库!#REF!&amp;"号楼"</f>
        <v>#REF!</v>
      </c>
      <c r="D143" s="15" t="e">
        <f>NUMBERSTRING(数据库!#REF!,3)&amp;"单元"</f>
        <v>#REF!</v>
      </c>
      <c r="E143" s="6" t="e">
        <f>数据库!#REF!</f>
        <v>#REF!</v>
      </c>
      <c r="F143" s="4"/>
      <c r="G143" s="6" t="e">
        <f t="shared" si="5"/>
        <v>#REF!</v>
      </c>
      <c r="H143" s="4"/>
      <c r="I143" s="9"/>
      <c r="J143" s="4"/>
      <c r="K143" s="4"/>
      <c r="L143" s="10"/>
      <c r="M143" s="10" t="str">
        <f>IFERROR(IF(数据库!#REF!=0,"低压区",IF(数据库!#REF!=1,"中压区","高压区")),"Error")</f>
        <v>Error</v>
      </c>
      <c r="N143" s="10"/>
      <c r="O143" s="4"/>
      <c r="P143" s="4"/>
      <c r="Q143" s="18" t="e">
        <f>数据库!#REF!</f>
        <v>#REF!</v>
      </c>
      <c r="AA143" s="18" t="e">
        <f>数据库!#REF!</f>
        <v>#REF!</v>
      </c>
    </row>
    <row r="144" spans="1:27" ht="15">
      <c r="A144" s="4" t="str">
        <f t="shared" si="4"/>
        <v>143</v>
      </c>
      <c r="B144" s="5" t="s">
        <v>33</v>
      </c>
      <c r="C144" s="6" t="e">
        <f>数据库!#REF!&amp;"号楼"</f>
        <v>#REF!</v>
      </c>
      <c r="D144" s="15" t="e">
        <f>NUMBERSTRING(数据库!#REF!,3)&amp;"单元"</f>
        <v>#REF!</v>
      </c>
      <c r="E144" s="6" t="e">
        <f>数据库!#REF!</f>
        <v>#REF!</v>
      </c>
      <c r="F144" s="4"/>
      <c r="G144" s="6" t="e">
        <f t="shared" si="5"/>
        <v>#REF!</v>
      </c>
      <c r="H144" s="4"/>
      <c r="I144" s="9"/>
      <c r="J144" s="4"/>
      <c r="K144" s="4"/>
      <c r="L144" s="10"/>
      <c r="M144" s="10" t="str">
        <f>IFERROR(IF(数据库!#REF!=0,"低压区",IF(数据库!#REF!=1,"中压区","高压区")),"Error")</f>
        <v>Error</v>
      </c>
      <c r="N144" s="10"/>
      <c r="O144" s="4"/>
      <c r="P144" s="4"/>
      <c r="Q144" s="18" t="e">
        <f>数据库!#REF!</f>
        <v>#REF!</v>
      </c>
      <c r="AA144" s="18" t="e">
        <f>数据库!#REF!</f>
        <v>#REF!</v>
      </c>
    </row>
    <row r="145" spans="1:27" ht="15">
      <c r="A145" s="4" t="str">
        <f t="shared" si="4"/>
        <v>144</v>
      </c>
      <c r="B145" s="5" t="s">
        <v>33</v>
      </c>
      <c r="C145" s="6" t="e">
        <f>数据库!#REF!&amp;"号楼"</f>
        <v>#REF!</v>
      </c>
      <c r="D145" s="15" t="e">
        <f>NUMBERSTRING(数据库!#REF!,3)&amp;"单元"</f>
        <v>#REF!</v>
      </c>
      <c r="E145" s="6" t="e">
        <f>数据库!#REF!</f>
        <v>#REF!</v>
      </c>
      <c r="F145" s="4"/>
      <c r="G145" s="6" t="e">
        <f t="shared" si="5"/>
        <v>#REF!</v>
      </c>
      <c r="H145" s="4"/>
      <c r="I145" s="9"/>
      <c r="J145" s="4"/>
      <c r="K145" s="4"/>
      <c r="L145" s="10"/>
      <c r="M145" s="10" t="str">
        <f>IFERROR(IF(数据库!#REF!=0,"低压区",IF(数据库!#REF!=1,"中压区","高压区")),"Error")</f>
        <v>Error</v>
      </c>
      <c r="N145" s="10"/>
      <c r="O145" s="4"/>
      <c r="P145" s="4"/>
      <c r="Q145" s="18" t="e">
        <f>数据库!#REF!</f>
        <v>#REF!</v>
      </c>
      <c r="AA145" s="18" t="e">
        <f>数据库!#REF!</f>
        <v>#REF!</v>
      </c>
    </row>
    <row r="146" spans="1:27" ht="15">
      <c r="A146" s="4" t="str">
        <f t="shared" si="4"/>
        <v>145</v>
      </c>
      <c r="B146" s="5" t="s">
        <v>33</v>
      </c>
      <c r="C146" s="6" t="e">
        <f>数据库!#REF!&amp;"号楼"</f>
        <v>#REF!</v>
      </c>
      <c r="D146" s="15" t="e">
        <f>NUMBERSTRING(数据库!#REF!,3)&amp;"单元"</f>
        <v>#REF!</v>
      </c>
      <c r="E146" s="6" t="e">
        <f>数据库!#REF!</f>
        <v>#REF!</v>
      </c>
      <c r="F146" s="4"/>
      <c r="G146" s="6" t="e">
        <f t="shared" si="5"/>
        <v>#REF!</v>
      </c>
      <c r="H146" s="4"/>
      <c r="I146" s="9"/>
      <c r="J146" s="4"/>
      <c r="K146" s="4"/>
      <c r="L146" s="10"/>
      <c r="M146" s="10" t="str">
        <f>IFERROR(IF(数据库!#REF!=0,"低压区",IF(数据库!#REF!=1,"中压区","高压区")),"Error")</f>
        <v>Error</v>
      </c>
      <c r="N146" s="10"/>
      <c r="O146" s="4"/>
      <c r="P146" s="4"/>
      <c r="Q146" s="18" t="e">
        <f>数据库!#REF!</f>
        <v>#REF!</v>
      </c>
      <c r="AA146" s="18" t="e">
        <f>数据库!#REF!</f>
        <v>#REF!</v>
      </c>
    </row>
    <row r="147" spans="1:27" ht="15">
      <c r="A147" s="4" t="str">
        <f t="shared" si="4"/>
        <v>146</v>
      </c>
      <c r="B147" s="5" t="s">
        <v>33</v>
      </c>
      <c r="C147" s="6" t="e">
        <f>数据库!#REF!&amp;"号楼"</f>
        <v>#REF!</v>
      </c>
      <c r="D147" s="15" t="e">
        <f>NUMBERSTRING(数据库!#REF!,3)&amp;"单元"</f>
        <v>#REF!</v>
      </c>
      <c r="E147" s="6" t="e">
        <f>数据库!#REF!</f>
        <v>#REF!</v>
      </c>
      <c r="F147" s="4"/>
      <c r="G147" s="6" t="e">
        <f t="shared" si="5"/>
        <v>#REF!</v>
      </c>
      <c r="H147" s="4"/>
      <c r="I147" s="9"/>
      <c r="J147" s="4"/>
      <c r="K147" s="4"/>
      <c r="L147" s="10"/>
      <c r="M147" s="10" t="str">
        <f>IFERROR(IF(数据库!#REF!=0,"低压区",IF(数据库!#REF!=1,"中压区","高压区")),"Error")</f>
        <v>Error</v>
      </c>
      <c r="N147" s="10"/>
      <c r="O147" s="4"/>
      <c r="P147" s="4"/>
      <c r="Q147" s="18" t="e">
        <f>数据库!#REF!</f>
        <v>#REF!</v>
      </c>
      <c r="AA147" s="18" t="e">
        <f>数据库!#REF!</f>
        <v>#REF!</v>
      </c>
    </row>
    <row r="148" spans="1:27" ht="15">
      <c r="A148" s="4" t="str">
        <f t="shared" si="4"/>
        <v>147</v>
      </c>
      <c r="B148" s="5" t="s">
        <v>33</v>
      </c>
      <c r="C148" s="6" t="e">
        <f>数据库!#REF!&amp;"号楼"</f>
        <v>#REF!</v>
      </c>
      <c r="D148" s="15" t="e">
        <f>NUMBERSTRING(数据库!#REF!,3)&amp;"单元"</f>
        <v>#REF!</v>
      </c>
      <c r="E148" s="6" t="e">
        <f>数据库!#REF!</f>
        <v>#REF!</v>
      </c>
      <c r="F148" s="4"/>
      <c r="G148" s="6" t="e">
        <f t="shared" si="5"/>
        <v>#REF!</v>
      </c>
      <c r="H148" s="4"/>
      <c r="I148" s="9"/>
      <c r="J148" s="4"/>
      <c r="K148" s="4"/>
      <c r="L148" s="10"/>
      <c r="M148" s="10" t="str">
        <f>IFERROR(IF(数据库!#REF!=0,"低压区",IF(数据库!#REF!=1,"中压区","高压区")),"Error")</f>
        <v>Error</v>
      </c>
      <c r="N148" s="10"/>
      <c r="O148" s="4"/>
      <c r="P148" s="4"/>
      <c r="Q148" s="18" t="e">
        <f>数据库!#REF!</f>
        <v>#REF!</v>
      </c>
      <c r="AA148" s="18" t="e">
        <f>数据库!#REF!</f>
        <v>#REF!</v>
      </c>
    </row>
    <row r="149" spans="1:27" ht="15">
      <c r="A149" s="4" t="str">
        <f t="shared" si="4"/>
        <v>148</v>
      </c>
      <c r="B149" s="5" t="s">
        <v>33</v>
      </c>
      <c r="C149" s="6" t="e">
        <f>数据库!#REF!&amp;"号楼"</f>
        <v>#REF!</v>
      </c>
      <c r="D149" s="15" t="e">
        <f>NUMBERSTRING(数据库!#REF!,3)&amp;"单元"</f>
        <v>#REF!</v>
      </c>
      <c r="E149" s="6" t="e">
        <f>数据库!#REF!</f>
        <v>#REF!</v>
      </c>
      <c r="F149" s="4"/>
      <c r="G149" s="6" t="e">
        <f t="shared" si="5"/>
        <v>#REF!</v>
      </c>
      <c r="H149" s="4"/>
      <c r="I149" s="9"/>
      <c r="J149" s="4"/>
      <c r="K149" s="4"/>
      <c r="L149" s="10"/>
      <c r="M149" s="10" t="str">
        <f>IFERROR(IF(数据库!#REF!=0,"低压区",IF(数据库!#REF!=1,"中压区","高压区")),"Error")</f>
        <v>Error</v>
      </c>
      <c r="N149" s="10"/>
      <c r="O149" s="4"/>
      <c r="P149" s="4"/>
      <c r="Q149" s="18" t="e">
        <f>数据库!#REF!</f>
        <v>#REF!</v>
      </c>
      <c r="AA149" s="18" t="e">
        <f>数据库!#REF!</f>
        <v>#REF!</v>
      </c>
    </row>
    <row r="150" spans="1:27" ht="15">
      <c r="A150" s="4" t="str">
        <f t="shared" si="4"/>
        <v>149</v>
      </c>
      <c r="B150" s="5" t="s">
        <v>33</v>
      </c>
      <c r="C150" s="6" t="e">
        <f>数据库!#REF!&amp;"号楼"</f>
        <v>#REF!</v>
      </c>
      <c r="D150" s="15" t="e">
        <f>NUMBERSTRING(数据库!#REF!,3)&amp;"单元"</f>
        <v>#REF!</v>
      </c>
      <c r="E150" s="6" t="e">
        <f>数据库!#REF!</f>
        <v>#REF!</v>
      </c>
      <c r="F150" s="4"/>
      <c r="G150" s="6" t="e">
        <f t="shared" si="5"/>
        <v>#REF!</v>
      </c>
      <c r="H150" s="4"/>
      <c r="I150" s="9"/>
      <c r="J150" s="4"/>
      <c r="K150" s="4"/>
      <c r="L150" s="10"/>
      <c r="M150" s="10" t="str">
        <f>IFERROR(IF(数据库!#REF!=0,"低压区",IF(数据库!#REF!=1,"中压区","高压区")),"Error")</f>
        <v>Error</v>
      </c>
      <c r="N150" s="10"/>
      <c r="O150" s="4"/>
      <c r="P150" s="4"/>
      <c r="Q150" s="18" t="e">
        <f>数据库!#REF!</f>
        <v>#REF!</v>
      </c>
      <c r="AA150" s="18" t="e">
        <f>数据库!#REF!</f>
        <v>#REF!</v>
      </c>
    </row>
    <row r="151" spans="1:27" ht="15">
      <c r="A151" s="4" t="str">
        <f t="shared" si="4"/>
        <v>150</v>
      </c>
      <c r="B151" s="5" t="s">
        <v>33</v>
      </c>
      <c r="C151" s="6" t="e">
        <f>数据库!#REF!&amp;"号楼"</f>
        <v>#REF!</v>
      </c>
      <c r="D151" s="15" t="e">
        <f>NUMBERSTRING(数据库!#REF!,3)&amp;"单元"</f>
        <v>#REF!</v>
      </c>
      <c r="E151" s="6" t="e">
        <f>数据库!#REF!</f>
        <v>#REF!</v>
      </c>
      <c r="F151" s="4"/>
      <c r="G151" s="6" t="e">
        <f t="shared" si="5"/>
        <v>#REF!</v>
      </c>
      <c r="H151" s="4"/>
      <c r="I151" s="9"/>
      <c r="J151" s="4"/>
      <c r="K151" s="4"/>
      <c r="L151" s="10"/>
      <c r="M151" s="10" t="str">
        <f>IFERROR(IF(数据库!#REF!=0,"低压区",IF(数据库!#REF!=1,"中压区","高压区")),"Error")</f>
        <v>Error</v>
      </c>
      <c r="N151" s="10"/>
      <c r="O151" s="4"/>
      <c r="P151" s="4"/>
      <c r="Q151" s="18" t="e">
        <f>数据库!#REF!</f>
        <v>#REF!</v>
      </c>
      <c r="AA151" s="18" t="e">
        <f>数据库!#REF!</f>
        <v>#REF!</v>
      </c>
    </row>
  </sheetData>
  <phoneticPr fontId="6" type="noConversion"/>
  <conditionalFormatting sqref="M1:M1048576">
    <cfRule type="cellIs" dxfId="2" priority="1" operator="equal">
      <formula>"Error"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725C-CF99-4700-93B7-1C3961BB0137}">
  <dimension ref="A1:H982"/>
  <sheetViews>
    <sheetView tabSelected="1" zoomScaleNormal="100" workbookViewId="0">
      <selection sqref="A1:H1048576"/>
    </sheetView>
  </sheetViews>
  <sheetFormatPr defaultRowHeight="13.5"/>
  <cols>
    <col min="1" max="1" width="5.75" style="43" bestFit="1" customWidth="1"/>
    <col min="2" max="3" width="5.75" style="44" bestFit="1" customWidth="1"/>
    <col min="4" max="4" width="10.25" style="44" customWidth="1"/>
    <col min="5" max="5" width="9" style="43"/>
    <col min="6" max="6" width="15.125" style="43" customWidth="1"/>
    <col min="7" max="8" width="11.75" style="45" customWidth="1"/>
    <col min="9" max="16384" width="9" style="1"/>
  </cols>
  <sheetData>
    <row r="1" spans="1:8">
      <c r="A1" s="34" t="s">
        <v>34</v>
      </c>
      <c r="B1" s="35" t="s">
        <v>2</v>
      </c>
      <c r="C1" s="35" t="s">
        <v>685</v>
      </c>
      <c r="D1" s="35" t="s">
        <v>884</v>
      </c>
      <c r="E1" s="35" t="s">
        <v>16</v>
      </c>
      <c r="F1" s="36" t="s">
        <v>12</v>
      </c>
      <c r="G1" s="37" t="s">
        <v>36</v>
      </c>
      <c r="H1" s="37" t="s">
        <v>37</v>
      </c>
    </row>
    <row r="2" spans="1:8" ht="15">
      <c r="A2" s="38">
        <v>1</v>
      </c>
      <c r="B2" s="39">
        <v>1</v>
      </c>
      <c r="C2" s="40">
        <v>1</v>
      </c>
      <c r="D2" s="39">
        <v>2001</v>
      </c>
      <c r="E2" s="38" t="str">
        <f>G2&amp;H2</f>
        <v>24090376</v>
      </c>
      <c r="F2" s="38">
        <f>IFERROR(IF(VALUE(LEFT(D2,LEN(D2)-2))&lt;10,0,IF(VALUE(LEFT(D2,LEN(D2)-2))&lt;20,1,2)),D2)</f>
        <v>2</v>
      </c>
      <c r="G2" s="41" t="s">
        <v>885</v>
      </c>
      <c r="H2" s="41" t="s">
        <v>886</v>
      </c>
    </row>
    <row r="3" spans="1:8" ht="15">
      <c r="A3" s="38">
        <v>2</v>
      </c>
      <c r="B3" s="39">
        <v>1</v>
      </c>
      <c r="C3" s="40">
        <v>1</v>
      </c>
      <c r="D3" s="39">
        <v>2002</v>
      </c>
      <c r="E3" s="38" t="str">
        <f t="shared" ref="E3:E66" si="0">G3&amp;H3</f>
        <v>24090513</v>
      </c>
      <c r="F3" s="38">
        <f t="shared" ref="F3:F66" si="1">IFERROR(IF(VALUE(LEFT(D3,LEN(D3)-2))&lt;10,0,IF(VALUE(LEFT(D3,LEN(D3)-2))&lt;20,1,2)),D3)</f>
        <v>2</v>
      </c>
      <c r="G3" s="41" t="s">
        <v>885</v>
      </c>
      <c r="H3" s="41" t="s">
        <v>887</v>
      </c>
    </row>
    <row r="4" spans="1:8" ht="15">
      <c r="A4" s="38">
        <v>3</v>
      </c>
      <c r="B4" s="39">
        <v>1</v>
      </c>
      <c r="C4" s="40">
        <v>1</v>
      </c>
      <c r="D4" s="39">
        <v>2003</v>
      </c>
      <c r="E4" s="38" t="str">
        <f t="shared" si="0"/>
        <v>24090512</v>
      </c>
      <c r="F4" s="38">
        <f t="shared" si="1"/>
        <v>2</v>
      </c>
      <c r="G4" s="41" t="s">
        <v>885</v>
      </c>
      <c r="H4" s="41" t="s">
        <v>888</v>
      </c>
    </row>
    <row r="5" spans="1:8" ht="15">
      <c r="A5" s="38">
        <v>4</v>
      </c>
      <c r="B5" s="39">
        <v>1</v>
      </c>
      <c r="C5" s="40">
        <v>1</v>
      </c>
      <c r="D5" s="39">
        <v>2004</v>
      </c>
      <c r="E5" s="38" t="str">
        <f t="shared" si="0"/>
        <v>24090358</v>
      </c>
      <c r="F5" s="38">
        <f t="shared" si="1"/>
        <v>2</v>
      </c>
      <c r="G5" s="41" t="s">
        <v>885</v>
      </c>
      <c r="H5" s="41" t="s">
        <v>889</v>
      </c>
    </row>
    <row r="6" spans="1:8" ht="15">
      <c r="A6" s="38">
        <v>5</v>
      </c>
      <c r="B6" s="39">
        <v>1</v>
      </c>
      <c r="C6" s="40">
        <v>1</v>
      </c>
      <c r="D6" s="39">
        <v>1901</v>
      </c>
      <c r="E6" s="38" t="str">
        <f t="shared" si="0"/>
        <v>24090351</v>
      </c>
      <c r="F6" s="38">
        <f t="shared" si="1"/>
        <v>1</v>
      </c>
      <c r="G6" s="41" t="s">
        <v>885</v>
      </c>
      <c r="H6" s="41" t="s">
        <v>890</v>
      </c>
    </row>
    <row r="7" spans="1:8" ht="15">
      <c r="A7" s="38">
        <v>6</v>
      </c>
      <c r="B7" s="39">
        <v>1</v>
      </c>
      <c r="C7" s="40">
        <v>1</v>
      </c>
      <c r="D7" s="39">
        <v>1902</v>
      </c>
      <c r="E7" s="38" t="str">
        <f t="shared" si="0"/>
        <v>24090535</v>
      </c>
      <c r="F7" s="38">
        <f t="shared" si="1"/>
        <v>1</v>
      </c>
      <c r="G7" s="41" t="s">
        <v>885</v>
      </c>
      <c r="H7" s="41" t="s">
        <v>891</v>
      </c>
    </row>
    <row r="8" spans="1:8" ht="15">
      <c r="A8" s="38">
        <v>7</v>
      </c>
      <c r="B8" s="39">
        <v>1</v>
      </c>
      <c r="C8" s="40">
        <v>1</v>
      </c>
      <c r="D8" s="39">
        <v>1903</v>
      </c>
      <c r="E8" s="38" t="str">
        <f t="shared" si="0"/>
        <v>24090526</v>
      </c>
      <c r="F8" s="38">
        <f t="shared" si="1"/>
        <v>1</v>
      </c>
      <c r="G8" s="41" t="s">
        <v>885</v>
      </c>
      <c r="H8" s="41" t="s">
        <v>892</v>
      </c>
    </row>
    <row r="9" spans="1:8" ht="15">
      <c r="A9" s="38">
        <v>8</v>
      </c>
      <c r="B9" s="39">
        <v>1</v>
      </c>
      <c r="C9" s="40">
        <v>1</v>
      </c>
      <c r="D9" s="39">
        <v>1904</v>
      </c>
      <c r="E9" s="38" t="str">
        <f t="shared" si="0"/>
        <v>24090413</v>
      </c>
      <c r="F9" s="38">
        <f t="shared" si="1"/>
        <v>1</v>
      </c>
      <c r="G9" s="41" t="s">
        <v>885</v>
      </c>
      <c r="H9" s="41" t="s">
        <v>893</v>
      </c>
    </row>
    <row r="10" spans="1:8" ht="15">
      <c r="A10" s="38">
        <v>9</v>
      </c>
      <c r="B10" s="39">
        <v>1</v>
      </c>
      <c r="C10" s="40">
        <v>1</v>
      </c>
      <c r="D10" s="39">
        <v>1801</v>
      </c>
      <c r="E10" s="38" t="str">
        <f t="shared" si="0"/>
        <v>24090341</v>
      </c>
      <c r="F10" s="38">
        <f t="shared" si="1"/>
        <v>1</v>
      </c>
      <c r="G10" s="41" t="s">
        <v>885</v>
      </c>
      <c r="H10" s="41" t="s">
        <v>894</v>
      </c>
    </row>
    <row r="11" spans="1:8" ht="15">
      <c r="A11" s="38">
        <v>10</v>
      </c>
      <c r="B11" s="39">
        <v>1</v>
      </c>
      <c r="C11" s="40">
        <v>1</v>
      </c>
      <c r="D11" s="39">
        <v>1802</v>
      </c>
      <c r="E11" s="38" t="str">
        <f t="shared" si="0"/>
        <v>24090355</v>
      </c>
      <c r="F11" s="38">
        <f t="shared" si="1"/>
        <v>1</v>
      </c>
      <c r="G11" s="41" t="s">
        <v>885</v>
      </c>
      <c r="H11" s="41" t="s">
        <v>895</v>
      </c>
    </row>
    <row r="12" spans="1:8" ht="15">
      <c r="A12" s="38">
        <v>11</v>
      </c>
      <c r="B12" s="39">
        <v>1</v>
      </c>
      <c r="C12" s="40">
        <v>1</v>
      </c>
      <c r="D12" s="39">
        <v>1803</v>
      </c>
      <c r="E12" s="38" t="str">
        <f t="shared" si="0"/>
        <v>24090337</v>
      </c>
      <c r="F12" s="38">
        <f t="shared" si="1"/>
        <v>1</v>
      </c>
      <c r="G12" s="41" t="s">
        <v>885</v>
      </c>
      <c r="H12" s="41" t="s">
        <v>896</v>
      </c>
    </row>
    <row r="13" spans="1:8" ht="15">
      <c r="A13" s="38">
        <v>12</v>
      </c>
      <c r="B13" s="39">
        <v>1</v>
      </c>
      <c r="C13" s="40">
        <v>1</v>
      </c>
      <c r="D13" s="39">
        <v>1804</v>
      </c>
      <c r="E13" s="38" t="str">
        <f t="shared" si="0"/>
        <v>24090363</v>
      </c>
      <c r="F13" s="38">
        <f t="shared" si="1"/>
        <v>1</v>
      </c>
      <c r="G13" s="41" t="s">
        <v>885</v>
      </c>
      <c r="H13" s="41" t="s">
        <v>897</v>
      </c>
    </row>
    <row r="14" spans="1:8" ht="15">
      <c r="A14" s="38">
        <v>13</v>
      </c>
      <c r="B14" s="39">
        <v>1</v>
      </c>
      <c r="C14" s="40">
        <v>1</v>
      </c>
      <c r="D14" s="39">
        <v>1701</v>
      </c>
      <c r="E14" s="38" t="str">
        <f t="shared" si="0"/>
        <v>24090534</v>
      </c>
      <c r="F14" s="38">
        <f t="shared" si="1"/>
        <v>1</v>
      </c>
      <c r="G14" s="41" t="s">
        <v>885</v>
      </c>
      <c r="H14" s="41" t="s">
        <v>898</v>
      </c>
    </row>
    <row r="15" spans="1:8" ht="15">
      <c r="A15" s="38">
        <v>14</v>
      </c>
      <c r="B15" s="39">
        <v>1</v>
      </c>
      <c r="C15" s="40">
        <v>1</v>
      </c>
      <c r="D15" s="39">
        <v>1702</v>
      </c>
      <c r="E15" s="38" t="str">
        <f t="shared" si="0"/>
        <v>24090518</v>
      </c>
      <c r="F15" s="38">
        <f t="shared" si="1"/>
        <v>1</v>
      </c>
      <c r="G15" s="41" t="s">
        <v>885</v>
      </c>
      <c r="H15" s="41" t="s">
        <v>899</v>
      </c>
    </row>
    <row r="16" spans="1:8" ht="15">
      <c r="A16" s="38">
        <v>15</v>
      </c>
      <c r="B16" s="39">
        <v>1</v>
      </c>
      <c r="C16" s="40">
        <v>1</v>
      </c>
      <c r="D16" s="39">
        <v>1703</v>
      </c>
      <c r="E16" s="38" t="str">
        <f t="shared" si="0"/>
        <v>24090349</v>
      </c>
      <c r="F16" s="38">
        <f t="shared" si="1"/>
        <v>1</v>
      </c>
      <c r="G16" s="41" t="s">
        <v>885</v>
      </c>
      <c r="H16" s="41" t="s">
        <v>900</v>
      </c>
    </row>
    <row r="17" spans="1:8" ht="15">
      <c r="A17" s="38">
        <v>16</v>
      </c>
      <c r="B17" s="39">
        <v>1</v>
      </c>
      <c r="C17" s="40">
        <v>1</v>
      </c>
      <c r="D17" s="39">
        <v>1704</v>
      </c>
      <c r="E17" s="38" t="str">
        <f t="shared" si="0"/>
        <v>24090537</v>
      </c>
      <c r="F17" s="38">
        <f t="shared" si="1"/>
        <v>1</v>
      </c>
      <c r="G17" s="41" t="s">
        <v>885</v>
      </c>
      <c r="H17" s="41" t="s">
        <v>901</v>
      </c>
    </row>
    <row r="18" spans="1:8" ht="15">
      <c r="A18" s="38">
        <v>17</v>
      </c>
      <c r="B18" s="39">
        <v>1</v>
      </c>
      <c r="C18" s="40">
        <v>1</v>
      </c>
      <c r="D18" s="39">
        <v>1601</v>
      </c>
      <c r="E18" s="38" t="str">
        <f t="shared" si="0"/>
        <v>24090429</v>
      </c>
      <c r="F18" s="38">
        <f t="shared" si="1"/>
        <v>1</v>
      </c>
      <c r="G18" s="41" t="s">
        <v>885</v>
      </c>
      <c r="H18" s="41" t="s">
        <v>902</v>
      </c>
    </row>
    <row r="19" spans="1:8" ht="15">
      <c r="A19" s="38">
        <v>18</v>
      </c>
      <c r="B19" s="39">
        <v>1</v>
      </c>
      <c r="C19" s="40">
        <v>1</v>
      </c>
      <c r="D19" s="39">
        <v>1602</v>
      </c>
      <c r="E19" s="38" t="str">
        <f t="shared" si="0"/>
        <v>24090416</v>
      </c>
      <c r="F19" s="38">
        <f t="shared" si="1"/>
        <v>1</v>
      </c>
      <c r="G19" s="41" t="s">
        <v>885</v>
      </c>
      <c r="H19" s="41" t="s">
        <v>903</v>
      </c>
    </row>
    <row r="20" spans="1:8" ht="15">
      <c r="A20" s="38">
        <v>19</v>
      </c>
      <c r="B20" s="39">
        <v>1</v>
      </c>
      <c r="C20" s="40">
        <v>1</v>
      </c>
      <c r="D20" s="39">
        <v>1603</v>
      </c>
      <c r="E20" s="38" t="str">
        <f t="shared" si="0"/>
        <v>24090452</v>
      </c>
      <c r="F20" s="38">
        <f t="shared" si="1"/>
        <v>1</v>
      </c>
      <c r="G20" s="41" t="s">
        <v>885</v>
      </c>
      <c r="H20" s="41" t="s">
        <v>904</v>
      </c>
    </row>
    <row r="21" spans="1:8" ht="15">
      <c r="A21" s="38">
        <v>20</v>
      </c>
      <c r="B21" s="39">
        <v>1</v>
      </c>
      <c r="C21" s="40">
        <v>1</v>
      </c>
      <c r="D21" s="39">
        <v>1604</v>
      </c>
      <c r="E21" s="38" t="str">
        <f t="shared" si="0"/>
        <v>24090471</v>
      </c>
      <c r="F21" s="38">
        <f t="shared" si="1"/>
        <v>1</v>
      </c>
      <c r="G21" s="41" t="s">
        <v>885</v>
      </c>
      <c r="H21" s="41" t="s">
        <v>905</v>
      </c>
    </row>
    <row r="22" spans="1:8" ht="15">
      <c r="A22" s="38">
        <v>21</v>
      </c>
      <c r="B22" s="39">
        <v>1</v>
      </c>
      <c r="C22" s="40">
        <v>1</v>
      </c>
      <c r="D22" s="39">
        <v>1501</v>
      </c>
      <c r="E22" s="38" t="str">
        <f t="shared" si="0"/>
        <v>24090492</v>
      </c>
      <c r="F22" s="38">
        <f t="shared" si="1"/>
        <v>1</v>
      </c>
      <c r="G22" s="41" t="s">
        <v>885</v>
      </c>
      <c r="H22" s="41" t="s">
        <v>906</v>
      </c>
    </row>
    <row r="23" spans="1:8" ht="15">
      <c r="A23" s="38">
        <v>22</v>
      </c>
      <c r="B23" s="39">
        <v>1</v>
      </c>
      <c r="C23" s="40">
        <v>1</v>
      </c>
      <c r="D23" s="39">
        <v>1502</v>
      </c>
      <c r="E23" s="38" t="str">
        <f t="shared" si="0"/>
        <v>24090472</v>
      </c>
      <c r="F23" s="38">
        <f t="shared" si="1"/>
        <v>1</v>
      </c>
      <c r="G23" s="41" t="s">
        <v>885</v>
      </c>
      <c r="H23" s="41" t="s">
        <v>907</v>
      </c>
    </row>
    <row r="24" spans="1:8" ht="15">
      <c r="A24" s="38">
        <v>23</v>
      </c>
      <c r="B24" s="39">
        <v>1</v>
      </c>
      <c r="C24" s="40">
        <v>1</v>
      </c>
      <c r="D24" s="39">
        <v>1503</v>
      </c>
      <c r="E24" s="38" t="str">
        <f t="shared" si="0"/>
        <v>24090459</v>
      </c>
      <c r="F24" s="38">
        <f t="shared" si="1"/>
        <v>1</v>
      </c>
      <c r="G24" s="41" t="s">
        <v>885</v>
      </c>
      <c r="H24" s="41" t="s">
        <v>908</v>
      </c>
    </row>
    <row r="25" spans="1:8" ht="15">
      <c r="A25" s="38">
        <v>24</v>
      </c>
      <c r="B25" s="39">
        <v>1</v>
      </c>
      <c r="C25" s="40">
        <v>1</v>
      </c>
      <c r="D25" s="39">
        <v>1504</v>
      </c>
      <c r="E25" s="38" t="str">
        <f t="shared" si="0"/>
        <v>24090425</v>
      </c>
      <c r="F25" s="38">
        <f t="shared" si="1"/>
        <v>1</v>
      </c>
      <c r="G25" s="41" t="s">
        <v>885</v>
      </c>
      <c r="H25" s="41" t="s">
        <v>909</v>
      </c>
    </row>
    <row r="26" spans="1:8" ht="15">
      <c r="A26" s="38">
        <v>25</v>
      </c>
      <c r="B26" s="39">
        <v>1</v>
      </c>
      <c r="C26" s="40">
        <v>1</v>
      </c>
      <c r="D26" s="39">
        <v>1401</v>
      </c>
      <c r="E26" s="38" t="str">
        <f t="shared" si="0"/>
        <v>24090454</v>
      </c>
      <c r="F26" s="38">
        <f t="shared" si="1"/>
        <v>1</v>
      </c>
      <c r="G26" s="41" t="s">
        <v>885</v>
      </c>
      <c r="H26" s="41" t="s">
        <v>910</v>
      </c>
    </row>
    <row r="27" spans="1:8" ht="15">
      <c r="A27" s="38">
        <v>26</v>
      </c>
      <c r="B27" s="39">
        <v>1</v>
      </c>
      <c r="C27" s="40">
        <v>1</v>
      </c>
      <c r="D27" s="39">
        <v>1402</v>
      </c>
      <c r="E27" s="38" t="str">
        <f t="shared" si="0"/>
        <v>24090462</v>
      </c>
      <c r="F27" s="38">
        <f t="shared" si="1"/>
        <v>1</v>
      </c>
      <c r="G27" s="41" t="s">
        <v>885</v>
      </c>
      <c r="H27" s="41" t="s">
        <v>911</v>
      </c>
    </row>
    <row r="28" spans="1:8" ht="15">
      <c r="A28" s="38">
        <v>27</v>
      </c>
      <c r="B28" s="39">
        <v>1</v>
      </c>
      <c r="C28" s="40">
        <v>1</v>
      </c>
      <c r="D28" s="39">
        <v>1403</v>
      </c>
      <c r="E28" s="38" t="str">
        <f t="shared" si="0"/>
        <v>24090390</v>
      </c>
      <c r="F28" s="38">
        <f t="shared" si="1"/>
        <v>1</v>
      </c>
      <c r="G28" s="41" t="s">
        <v>885</v>
      </c>
      <c r="H28" s="41" t="s">
        <v>912</v>
      </c>
    </row>
    <row r="29" spans="1:8" ht="15">
      <c r="A29" s="38">
        <v>28</v>
      </c>
      <c r="B29" s="39">
        <v>1</v>
      </c>
      <c r="C29" s="40">
        <v>1</v>
      </c>
      <c r="D29" s="39">
        <v>1404</v>
      </c>
      <c r="E29" s="38" t="str">
        <f t="shared" si="0"/>
        <v>24090479</v>
      </c>
      <c r="F29" s="38">
        <f t="shared" si="1"/>
        <v>1</v>
      </c>
      <c r="G29" s="41" t="s">
        <v>885</v>
      </c>
      <c r="H29" s="41" t="s">
        <v>913</v>
      </c>
    </row>
    <row r="30" spans="1:8" ht="15">
      <c r="A30" s="38">
        <v>29</v>
      </c>
      <c r="B30" s="39">
        <v>1</v>
      </c>
      <c r="C30" s="40">
        <v>1</v>
      </c>
      <c r="D30" s="39">
        <v>2301</v>
      </c>
      <c r="E30" s="38" t="str">
        <f t="shared" si="0"/>
        <v>24090369</v>
      </c>
      <c r="F30" s="38">
        <f t="shared" si="1"/>
        <v>2</v>
      </c>
      <c r="G30" s="41" t="s">
        <v>885</v>
      </c>
      <c r="H30" s="41" t="s">
        <v>914</v>
      </c>
    </row>
    <row r="31" spans="1:8" ht="15">
      <c r="A31" s="38">
        <v>30</v>
      </c>
      <c r="B31" s="39">
        <v>1</v>
      </c>
      <c r="C31" s="40">
        <v>1</v>
      </c>
      <c r="D31" s="39">
        <v>2302</v>
      </c>
      <c r="E31" s="38" t="str">
        <f t="shared" si="0"/>
        <v>24090527</v>
      </c>
      <c r="F31" s="38">
        <f t="shared" si="1"/>
        <v>2</v>
      </c>
      <c r="G31" s="41" t="s">
        <v>885</v>
      </c>
      <c r="H31" s="41" t="s">
        <v>915</v>
      </c>
    </row>
    <row r="32" spans="1:8" ht="15">
      <c r="A32" s="38">
        <v>31</v>
      </c>
      <c r="B32" s="39">
        <v>1</v>
      </c>
      <c r="C32" s="40">
        <v>1</v>
      </c>
      <c r="D32" s="39">
        <v>2303</v>
      </c>
      <c r="E32" s="38" t="str">
        <f t="shared" si="0"/>
        <v>24090401</v>
      </c>
      <c r="F32" s="38">
        <f t="shared" si="1"/>
        <v>2</v>
      </c>
      <c r="G32" s="41" t="s">
        <v>885</v>
      </c>
      <c r="H32" s="41" t="s">
        <v>916</v>
      </c>
    </row>
    <row r="33" spans="1:8" ht="15">
      <c r="A33" s="38">
        <v>32</v>
      </c>
      <c r="B33" s="39">
        <v>1</v>
      </c>
      <c r="C33" s="40">
        <v>1</v>
      </c>
      <c r="D33" s="39">
        <v>2304</v>
      </c>
      <c r="E33" s="38" t="str">
        <f t="shared" si="0"/>
        <v>24090387</v>
      </c>
      <c r="F33" s="38">
        <f t="shared" si="1"/>
        <v>2</v>
      </c>
      <c r="G33" s="41" t="s">
        <v>885</v>
      </c>
      <c r="H33" s="41" t="s">
        <v>917</v>
      </c>
    </row>
    <row r="34" spans="1:8" ht="15">
      <c r="A34" s="38">
        <v>33</v>
      </c>
      <c r="B34" s="39">
        <v>1</v>
      </c>
      <c r="C34" s="40">
        <v>1</v>
      </c>
      <c r="D34" s="39">
        <v>2201</v>
      </c>
      <c r="E34" s="38" t="str">
        <f t="shared" si="0"/>
        <v>24090405</v>
      </c>
      <c r="F34" s="38">
        <f t="shared" si="1"/>
        <v>2</v>
      </c>
      <c r="G34" s="41" t="s">
        <v>885</v>
      </c>
      <c r="H34" s="41" t="s">
        <v>918</v>
      </c>
    </row>
    <row r="35" spans="1:8" ht="15">
      <c r="A35" s="38">
        <v>34</v>
      </c>
      <c r="B35" s="39">
        <v>1</v>
      </c>
      <c r="C35" s="40">
        <v>1</v>
      </c>
      <c r="D35" s="39">
        <v>2202</v>
      </c>
      <c r="E35" s="38" t="str">
        <f t="shared" si="0"/>
        <v>24090367</v>
      </c>
      <c r="F35" s="38">
        <f t="shared" si="1"/>
        <v>2</v>
      </c>
      <c r="G35" s="41" t="s">
        <v>885</v>
      </c>
      <c r="H35" s="41" t="s">
        <v>919</v>
      </c>
    </row>
    <row r="36" spans="1:8" ht="15">
      <c r="A36" s="38">
        <v>35</v>
      </c>
      <c r="B36" s="39">
        <v>1</v>
      </c>
      <c r="C36" s="40">
        <v>1</v>
      </c>
      <c r="D36" s="39">
        <v>2203</v>
      </c>
      <c r="E36" s="38" t="str">
        <f t="shared" si="0"/>
        <v>24090396</v>
      </c>
      <c r="F36" s="38">
        <f t="shared" si="1"/>
        <v>2</v>
      </c>
      <c r="G36" s="41" t="s">
        <v>885</v>
      </c>
      <c r="H36" s="41" t="s">
        <v>920</v>
      </c>
    </row>
    <row r="37" spans="1:8" ht="15">
      <c r="A37" s="38">
        <v>36</v>
      </c>
      <c r="B37" s="39">
        <v>1</v>
      </c>
      <c r="C37" s="40">
        <v>1</v>
      </c>
      <c r="D37" s="39">
        <v>2204</v>
      </c>
      <c r="E37" s="38" t="str">
        <f t="shared" si="0"/>
        <v>24090356</v>
      </c>
      <c r="F37" s="38">
        <f t="shared" si="1"/>
        <v>2</v>
      </c>
      <c r="G37" s="41" t="s">
        <v>885</v>
      </c>
      <c r="H37" s="41" t="s">
        <v>921</v>
      </c>
    </row>
    <row r="38" spans="1:8" ht="15">
      <c r="A38" s="38">
        <v>37</v>
      </c>
      <c r="B38" s="39">
        <v>1</v>
      </c>
      <c r="C38" s="40">
        <v>1</v>
      </c>
      <c r="D38" s="39">
        <v>2101</v>
      </c>
      <c r="E38" s="38" t="str">
        <f t="shared" si="0"/>
        <v>24090528</v>
      </c>
      <c r="F38" s="38">
        <f t="shared" si="1"/>
        <v>2</v>
      </c>
      <c r="G38" s="41" t="s">
        <v>885</v>
      </c>
      <c r="H38" s="41" t="s">
        <v>922</v>
      </c>
    </row>
    <row r="39" spans="1:8" ht="15">
      <c r="A39" s="38">
        <v>38</v>
      </c>
      <c r="B39" s="39">
        <v>1</v>
      </c>
      <c r="C39" s="40">
        <v>1</v>
      </c>
      <c r="D39" s="39">
        <v>2102</v>
      </c>
      <c r="E39" s="38" t="str">
        <f t="shared" si="0"/>
        <v>24090501</v>
      </c>
      <c r="F39" s="38">
        <f t="shared" si="1"/>
        <v>2</v>
      </c>
      <c r="G39" s="41" t="s">
        <v>885</v>
      </c>
      <c r="H39" s="41" t="s">
        <v>923</v>
      </c>
    </row>
    <row r="40" spans="1:8" ht="15">
      <c r="A40" s="38">
        <v>39</v>
      </c>
      <c r="B40" s="39">
        <v>1</v>
      </c>
      <c r="C40" s="40">
        <v>1</v>
      </c>
      <c r="D40" s="39">
        <v>2103</v>
      </c>
      <c r="E40" s="38" t="str">
        <f t="shared" si="0"/>
        <v>24090398</v>
      </c>
      <c r="F40" s="38">
        <f t="shared" si="1"/>
        <v>2</v>
      </c>
      <c r="G40" s="41" t="s">
        <v>885</v>
      </c>
      <c r="H40" s="41" t="s">
        <v>924</v>
      </c>
    </row>
    <row r="41" spans="1:8" ht="15">
      <c r="A41" s="38">
        <v>40</v>
      </c>
      <c r="B41" s="39">
        <v>1</v>
      </c>
      <c r="C41" s="40">
        <v>1</v>
      </c>
      <c r="D41" s="39">
        <v>2104</v>
      </c>
      <c r="E41" s="38" t="str">
        <f t="shared" si="0"/>
        <v>24090395</v>
      </c>
      <c r="F41" s="38">
        <f t="shared" si="1"/>
        <v>2</v>
      </c>
      <c r="G41" s="41" t="s">
        <v>885</v>
      </c>
      <c r="H41" s="41" t="s">
        <v>925</v>
      </c>
    </row>
    <row r="42" spans="1:8" ht="15">
      <c r="A42" s="38">
        <v>41</v>
      </c>
      <c r="B42" s="39">
        <v>1</v>
      </c>
      <c r="C42" s="40">
        <v>1</v>
      </c>
      <c r="D42" s="39">
        <v>701</v>
      </c>
      <c r="E42" s="38" t="str">
        <f t="shared" si="0"/>
        <v>24090409</v>
      </c>
      <c r="F42" s="38">
        <f t="shared" si="1"/>
        <v>0</v>
      </c>
      <c r="G42" s="41" t="s">
        <v>885</v>
      </c>
      <c r="H42" s="41" t="s">
        <v>926</v>
      </c>
    </row>
    <row r="43" spans="1:8" ht="15">
      <c r="A43" s="38">
        <v>42</v>
      </c>
      <c r="B43" s="39">
        <v>1</v>
      </c>
      <c r="C43" s="40">
        <v>1</v>
      </c>
      <c r="D43" s="39">
        <v>702</v>
      </c>
      <c r="E43" s="38" t="str">
        <f t="shared" si="0"/>
        <v>24090394</v>
      </c>
      <c r="F43" s="38">
        <f t="shared" si="1"/>
        <v>0</v>
      </c>
      <c r="G43" s="41" t="s">
        <v>885</v>
      </c>
      <c r="H43" s="41" t="s">
        <v>927</v>
      </c>
    </row>
    <row r="44" spans="1:8" ht="15">
      <c r="A44" s="38">
        <v>43</v>
      </c>
      <c r="B44" s="39">
        <v>1</v>
      </c>
      <c r="C44" s="40">
        <v>1</v>
      </c>
      <c r="D44" s="39">
        <v>703</v>
      </c>
      <c r="E44" s="38" t="str">
        <f t="shared" si="0"/>
        <v>24090533</v>
      </c>
      <c r="F44" s="38">
        <f t="shared" si="1"/>
        <v>0</v>
      </c>
      <c r="G44" s="41" t="s">
        <v>885</v>
      </c>
      <c r="H44" s="41" t="s">
        <v>928</v>
      </c>
    </row>
    <row r="45" spans="1:8" ht="15">
      <c r="A45" s="38">
        <v>44</v>
      </c>
      <c r="B45" s="39">
        <v>1</v>
      </c>
      <c r="C45" s="40">
        <v>1</v>
      </c>
      <c r="D45" s="39">
        <v>704</v>
      </c>
      <c r="E45" s="38" t="str">
        <f t="shared" si="0"/>
        <v>24090384</v>
      </c>
      <c r="F45" s="38">
        <f t="shared" si="1"/>
        <v>0</v>
      </c>
      <c r="G45" s="41" t="s">
        <v>885</v>
      </c>
      <c r="H45" s="41" t="s">
        <v>929</v>
      </c>
    </row>
    <row r="46" spans="1:8" ht="15">
      <c r="A46" s="38">
        <v>45</v>
      </c>
      <c r="B46" s="39">
        <v>1</v>
      </c>
      <c r="C46" s="40">
        <v>1</v>
      </c>
      <c r="D46" s="39">
        <v>601</v>
      </c>
      <c r="E46" s="38" t="str">
        <f t="shared" si="0"/>
        <v>24090339</v>
      </c>
      <c r="F46" s="38">
        <f t="shared" si="1"/>
        <v>0</v>
      </c>
      <c r="G46" s="41" t="s">
        <v>885</v>
      </c>
      <c r="H46" s="41" t="s">
        <v>930</v>
      </c>
    </row>
    <row r="47" spans="1:8" ht="15">
      <c r="A47" s="38">
        <v>46</v>
      </c>
      <c r="B47" s="39">
        <v>1</v>
      </c>
      <c r="C47" s="40">
        <v>1</v>
      </c>
      <c r="D47" s="39">
        <v>602</v>
      </c>
      <c r="E47" s="38" t="str">
        <f t="shared" si="0"/>
        <v>24090431</v>
      </c>
      <c r="F47" s="38">
        <f t="shared" si="1"/>
        <v>0</v>
      </c>
      <c r="G47" s="41" t="s">
        <v>885</v>
      </c>
      <c r="H47" s="41" t="s">
        <v>931</v>
      </c>
    </row>
    <row r="48" spans="1:8" ht="15">
      <c r="A48" s="38">
        <v>47</v>
      </c>
      <c r="B48" s="39">
        <v>1</v>
      </c>
      <c r="C48" s="40">
        <v>1</v>
      </c>
      <c r="D48" s="39">
        <v>603</v>
      </c>
      <c r="E48" s="38" t="str">
        <f t="shared" si="0"/>
        <v>24090382</v>
      </c>
      <c r="F48" s="38">
        <f t="shared" si="1"/>
        <v>0</v>
      </c>
      <c r="G48" s="41" t="s">
        <v>885</v>
      </c>
      <c r="H48" s="41" t="s">
        <v>932</v>
      </c>
    </row>
    <row r="49" spans="1:8" ht="15">
      <c r="A49" s="38">
        <v>48</v>
      </c>
      <c r="B49" s="39">
        <v>1</v>
      </c>
      <c r="C49" s="40">
        <v>1</v>
      </c>
      <c r="D49" s="39">
        <v>604</v>
      </c>
      <c r="E49" s="38" t="str">
        <f t="shared" si="0"/>
        <v>24090426</v>
      </c>
      <c r="F49" s="38">
        <f t="shared" si="1"/>
        <v>0</v>
      </c>
      <c r="G49" s="41" t="s">
        <v>885</v>
      </c>
      <c r="H49" s="41" t="s">
        <v>933</v>
      </c>
    </row>
    <row r="50" spans="1:8" ht="15">
      <c r="A50" s="38">
        <v>49</v>
      </c>
      <c r="B50" s="39">
        <v>1</v>
      </c>
      <c r="C50" s="40">
        <v>1</v>
      </c>
      <c r="D50" s="39">
        <v>501</v>
      </c>
      <c r="E50" s="38" t="str">
        <f t="shared" si="0"/>
        <v>24090483</v>
      </c>
      <c r="F50" s="38">
        <f t="shared" si="1"/>
        <v>0</v>
      </c>
      <c r="G50" s="41" t="s">
        <v>885</v>
      </c>
      <c r="H50" s="41" t="s">
        <v>934</v>
      </c>
    </row>
    <row r="51" spans="1:8" ht="15">
      <c r="A51" s="38">
        <v>50</v>
      </c>
      <c r="B51" s="39">
        <v>1</v>
      </c>
      <c r="C51" s="40">
        <v>1</v>
      </c>
      <c r="D51" s="39">
        <v>502</v>
      </c>
      <c r="E51" s="38" t="str">
        <f t="shared" si="0"/>
        <v>24090418</v>
      </c>
      <c r="F51" s="38">
        <f t="shared" si="1"/>
        <v>0</v>
      </c>
      <c r="G51" s="41" t="s">
        <v>885</v>
      </c>
      <c r="H51" s="41" t="s">
        <v>935</v>
      </c>
    </row>
    <row r="52" spans="1:8" ht="15">
      <c r="A52" s="38">
        <v>51</v>
      </c>
      <c r="B52" s="39">
        <v>1</v>
      </c>
      <c r="C52" s="40">
        <v>1</v>
      </c>
      <c r="D52" s="39">
        <v>503</v>
      </c>
      <c r="E52" s="38" t="str">
        <f t="shared" si="0"/>
        <v>24090446</v>
      </c>
      <c r="F52" s="38">
        <f t="shared" si="1"/>
        <v>0</v>
      </c>
      <c r="G52" s="41" t="s">
        <v>885</v>
      </c>
      <c r="H52" s="41" t="s">
        <v>936</v>
      </c>
    </row>
    <row r="53" spans="1:8" ht="15">
      <c r="A53" s="38">
        <v>52</v>
      </c>
      <c r="B53" s="39">
        <v>1</v>
      </c>
      <c r="C53" s="40">
        <v>1</v>
      </c>
      <c r="D53" s="39">
        <v>504</v>
      </c>
      <c r="E53" s="38" t="str">
        <f t="shared" si="0"/>
        <v>24090508</v>
      </c>
      <c r="F53" s="38">
        <f t="shared" si="1"/>
        <v>0</v>
      </c>
      <c r="G53" s="41" t="s">
        <v>885</v>
      </c>
      <c r="H53" s="41" t="s">
        <v>937</v>
      </c>
    </row>
    <row r="54" spans="1:8" ht="15">
      <c r="A54" s="38">
        <v>53</v>
      </c>
      <c r="B54" s="39">
        <v>1</v>
      </c>
      <c r="C54" s="40">
        <v>1</v>
      </c>
      <c r="D54" s="39">
        <v>1301</v>
      </c>
      <c r="E54" s="38" t="str">
        <f t="shared" si="0"/>
        <v>24090444</v>
      </c>
      <c r="F54" s="38">
        <f t="shared" si="1"/>
        <v>1</v>
      </c>
      <c r="G54" s="41" t="s">
        <v>885</v>
      </c>
      <c r="H54" s="41" t="s">
        <v>938</v>
      </c>
    </row>
    <row r="55" spans="1:8" ht="15">
      <c r="A55" s="38">
        <v>54</v>
      </c>
      <c r="B55" s="39">
        <v>1</v>
      </c>
      <c r="C55" s="40">
        <v>1</v>
      </c>
      <c r="D55" s="39">
        <v>1302</v>
      </c>
      <c r="E55" s="38" t="str">
        <f t="shared" si="0"/>
        <v>24090430</v>
      </c>
      <c r="F55" s="38">
        <f t="shared" si="1"/>
        <v>1</v>
      </c>
      <c r="G55" s="41" t="s">
        <v>885</v>
      </c>
      <c r="H55" s="41" t="s">
        <v>939</v>
      </c>
    </row>
    <row r="56" spans="1:8" ht="15">
      <c r="A56" s="38">
        <v>55</v>
      </c>
      <c r="B56" s="39">
        <v>1</v>
      </c>
      <c r="C56" s="40">
        <v>1</v>
      </c>
      <c r="D56" s="39">
        <v>1303</v>
      </c>
      <c r="E56" s="38" t="str">
        <f t="shared" si="0"/>
        <v>24090488</v>
      </c>
      <c r="F56" s="38">
        <f t="shared" si="1"/>
        <v>1</v>
      </c>
      <c r="G56" s="41" t="s">
        <v>885</v>
      </c>
      <c r="H56" s="41" t="s">
        <v>940</v>
      </c>
    </row>
    <row r="57" spans="1:8" ht="15">
      <c r="A57" s="38">
        <v>56</v>
      </c>
      <c r="B57" s="39">
        <v>1</v>
      </c>
      <c r="C57" s="40">
        <v>1</v>
      </c>
      <c r="D57" s="39">
        <v>1304</v>
      </c>
      <c r="E57" s="38" t="str">
        <f t="shared" si="0"/>
        <v>24090504</v>
      </c>
      <c r="F57" s="38">
        <f t="shared" si="1"/>
        <v>1</v>
      </c>
      <c r="G57" s="41" t="s">
        <v>885</v>
      </c>
      <c r="H57" s="41" t="s">
        <v>941</v>
      </c>
    </row>
    <row r="58" spans="1:8" ht="15">
      <c r="A58" s="38">
        <v>57</v>
      </c>
      <c r="B58" s="39">
        <v>1</v>
      </c>
      <c r="C58" s="40">
        <v>1</v>
      </c>
      <c r="D58" s="39">
        <v>1201</v>
      </c>
      <c r="E58" s="38" t="str">
        <f t="shared" si="0"/>
        <v>24090441</v>
      </c>
      <c r="F58" s="38">
        <f t="shared" si="1"/>
        <v>1</v>
      </c>
      <c r="G58" s="41" t="s">
        <v>885</v>
      </c>
      <c r="H58" s="41" t="s">
        <v>942</v>
      </c>
    </row>
    <row r="59" spans="1:8" ht="15">
      <c r="A59" s="38">
        <v>58</v>
      </c>
      <c r="B59" s="39">
        <v>1</v>
      </c>
      <c r="C59" s="40">
        <v>1</v>
      </c>
      <c r="D59" s="39">
        <v>1202</v>
      </c>
      <c r="E59" s="38" t="str">
        <f t="shared" si="0"/>
        <v>24090423</v>
      </c>
      <c r="F59" s="38">
        <f t="shared" si="1"/>
        <v>1</v>
      </c>
      <c r="G59" s="41" t="s">
        <v>885</v>
      </c>
      <c r="H59" s="41" t="s">
        <v>943</v>
      </c>
    </row>
    <row r="60" spans="1:8" ht="15">
      <c r="A60" s="38">
        <v>59</v>
      </c>
      <c r="B60" s="39">
        <v>1</v>
      </c>
      <c r="C60" s="40">
        <v>1</v>
      </c>
      <c r="D60" s="39">
        <v>1203</v>
      </c>
      <c r="E60" s="38" t="str">
        <f t="shared" si="0"/>
        <v>24090381</v>
      </c>
      <c r="F60" s="38">
        <f t="shared" si="1"/>
        <v>1</v>
      </c>
      <c r="G60" s="41" t="s">
        <v>885</v>
      </c>
      <c r="H60" s="41" t="s">
        <v>944</v>
      </c>
    </row>
    <row r="61" spans="1:8" ht="15">
      <c r="A61" s="38">
        <v>60</v>
      </c>
      <c r="B61" s="39">
        <v>1</v>
      </c>
      <c r="C61" s="40">
        <v>1</v>
      </c>
      <c r="D61" s="39">
        <v>1204</v>
      </c>
      <c r="E61" s="38" t="str">
        <f t="shared" si="0"/>
        <v>24090399</v>
      </c>
      <c r="F61" s="38">
        <f t="shared" si="1"/>
        <v>1</v>
      </c>
      <c r="G61" s="41" t="s">
        <v>885</v>
      </c>
      <c r="H61" s="41" t="s">
        <v>945</v>
      </c>
    </row>
    <row r="62" spans="1:8" ht="15">
      <c r="A62" s="38">
        <v>61</v>
      </c>
      <c r="B62" s="39">
        <v>1</v>
      </c>
      <c r="C62" s="40">
        <v>1</v>
      </c>
      <c r="D62" s="39">
        <v>1101</v>
      </c>
      <c r="E62" s="38" t="str">
        <f t="shared" si="0"/>
        <v>24090502</v>
      </c>
      <c r="F62" s="38">
        <f t="shared" si="1"/>
        <v>1</v>
      </c>
      <c r="G62" s="41" t="s">
        <v>885</v>
      </c>
      <c r="H62" s="41" t="s">
        <v>946</v>
      </c>
    </row>
    <row r="63" spans="1:8" ht="15">
      <c r="A63" s="38">
        <v>62</v>
      </c>
      <c r="B63" s="39">
        <v>1</v>
      </c>
      <c r="C63" s="40">
        <v>1</v>
      </c>
      <c r="D63" s="39">
        <v>1102</v>
      </c>
      <c r="E63" s="38" t="str">
        <f t="shared" si="0"/>
        <v>24090361</v>
      </c>
      <c r="F63" s="38">
        <f t="shared" si="1"/>
        <v>1</v>
      </c>
      <c r="G63" s="41" t="s">
        <v>885</v>
      </c>
      <c r="H63" s="41" t="s">
        <v>947</v>
      </c>
    </row>
    <row r="64" spans="1:8" ht="15">
      <c r="A64" s="38">
        <v>63</v>
      </c>
      <c r="B64" s="39">
        <v>1</v>
      </c>
      <c r="C64" s="40">
        <v>1</v>
      </c>
      <c r="D64" s="39">
        <v>1103</v>
      </c>
      <c r="E64" s="38" t="str">
        <f t="shared" si="0"/>
        <v>24090514</v>
      </c>
      <c r="F64" s="38">
        <f t="shared" si="1"/>
        <v>1</v>
      </c>
      <c r="G64" s="41" t="s">
        <v>885</v>
      </c>
      <c r="H64" s="41" t="s">
        <v>948</v>
      </c>
    </row>
    <row r="65" spans="1:8" ht="15">
      <c r="A65" s="38">
        <v>64</v>
      </c>
      <c r="B65" s="39">
        <v>1</v>
      </c>
      <c r="C65" s="40">
        <v>1</v>
      </c>
      <c r="D65" s="39">
        <v>1104</v>
      </c>
      <c r="E65" s="38" t="str">
        <f t="shared" si="0"/>
        <v>24090516</v>
      </c>
      <c r="F65" s="38">
        <f t="shared" si="1"/>
        <v>1</v>
      </c>
      <c r="G65" s="41" t="s">
        <v>885</v>
      </c>
      <c r="H65" s="41" t="s">
        <v>949</v>
      </c>
    </row>
    <row r="66" spans="1:8" ht="15">
      <c r="A66" s="38">
        <v>65</v>
      </c>
      <c r="B66" s="39">
        <v>1</v>
      </c>
      <c r="C66" s="40">
        <v>1</v>
      </c>
      <c r="D66" s="39">
        <v>1001</v>
      </c>
      <c r="E66" s="38" t="str">
        <f t="shared" si="0"/>
        <v>24090511</v>
      </c>
      <c r="F66" s="38">
        <f t="shared" si="1"/>
        <v>1</v>
      </c>
      <c r="G66" s="41" t="s">
        <v>885</v>
      </c>
      <c r="H66" s="41" t="s">
        <v>950</v>
      </c>
    </row>
    <row r="67" spans="1:8" ht="15">
      <c r="A67" s="38">
        <v>66</v>
      </c>
      <c r="B67" s="39">
        <v>1</v>
      </c>
      <c r="C67" s="40">
        <v>1</v>
      </c>
      <c r="D67" s="39">
        <v>1002</v>
      </c>
      <c r="E67" s="38" t="str">
        <f t="shared" ref="E67:E130" si="2">G67&amp;H67</f>
        <v>24090373</v>
      </c>
      <c r="F67" s="38">
        <f t="shared" ref="F67:F130" si="3">IFERROR(IF(VALUE(LEFT(D67,LEN(D67)-2))&lt;10,0,IF(VALUE(LEFT(D67,LEN(D67)-2))&lt;20,1,2)),D67)</f>
        <v>1</v>
      </c>
      <c r="G67" s="41" t="s">
        <v>885</v>
      </c>
      <c r="H67" s="41" t="s">
        <v>951</v>
      </c>
    </row>
    <row r="68" spans="1:8" ht="15">
      <c r="A68" s="38">
        <v>67</v>
      </c>
      <c r="B68" s="39">
        <v>1</v>
      </c>
      <c r="C68" s="40">
        <v>1</v>
      </c>
      <c r="D68" s="39">
        <v>1003</v>
      </c>
      <c r="E68" s="38" t="str">
        <f t="shared" si="2"/>
        <v>24090520</v>
      </c>
      <c r="F68" s="38">
        <f t="shared" si="3"/>
        <v>1</v>
      </c>
      <c r="G68" s="41" t="s">
        <v>885</v>
      </c>
      <c r="H68" s="41" t="s">
        <v>952</v>
      </c>
    </row>
    <row r="69" spans="1:8" ht="15">
      <c r="A69" s="38">
        <v>68</v>
      </c>
      <c r="B69" s="39">
        <v>1</v>
      </c>
      <c r="C69" s="40">
        <v>1</v>
      </c>
      <c r="D69" s="39">
        <v>1004</v>
      </c>
      <c r="E69" s="38" t="str">
        <f t="shared" si="2"/>
        <v>24090347</v>
      </c>
      <c r="F69" s="38">
        <f t="shared" si="3"/>
        <v>1</v>
      </c>
      <c r="G69" s="41" t="s">
        <v>885</v>
      </c>
      <c r="H69" s="41" t="s">
        <v>953</v>
      </c>
    </row>
    <row r="70" spans="1:8" ht="15">
      <c r="A70" s="38">
        <v>69</v>
      </c>
      <c r="B70" s="39">
        <v>1</v>
      </c>
      <c r="C70" s="40">
        <v>1</v>
      </c>
      <c r="D70" s="39">
        <v>901</v>
      </c>
      <c r="E70" s="38" t="str">
        <f t="shared" si="2"/>
        <v>24090372</v>
      </c>
      <c r="F70" s="38">
        <f t="shared" si="3"/>
        <v>0</v>
      </c>
      <c r="G70" s="41" t="s">
        <v>885</v>
      </c>
      <c r="H70" s="41" t="s">
        <v>954</v>
      </c>
    </row>
    <row r="71" spans="1:8" ht="15">
      <c r="A71" s="38">
        <v>70</v>
      </c>
      <c r="B71" s="39">
        <v>1</v>
      </c>
      <c r="C71" s="40">
        <v>1</v>
      </c>
      <c r="D71" s="39">
        <v>902</v>
      </c>
      <c r="E71" s="38" t="str">
        <f t="shared" si="2"/>
        <v>24090378</v>
      </c>
      <c r="F71" s="38">
        <f t="shared" si="3"/>
        <v>0</v>
      </c>
      <c r="G71" s="41" t="s">
        <v>885</v>
      </c>
      <c r="H71" s="41" t="s">
        <v>955</v>
      </c>
    </row>
    <row r="72" spans="1:8" ht="15">
      <c r="A72" s="38">
        <v>71</v>
      </c>
      <c r="B72" s="39">
        <v>1</v>
      </c>
      <c r="C72" s="40">
        <v>1</v>
      </c>
      <c r="D72" s="39">
        <v>903</v>
      </c>
      <c r="E72" s="38" t="str">
        <f t="shared" si="2"/>
        <v>24090518</v>
      </c>
      <c r="F72" s="38">
        <f t="shared" si="3"/>
        <v>0</v>
      </c>
      <c r="G72" s="41" t="s">
        <v>885</v>
      </c>
      <c r="H72" s="41" t="s">
        <v>899</v>
      </c>
    </row>
    <row r="73" spans="1:8" ht="15">
      <c r="A73" s="38">
        <v>72</v>
      </c>
      <c r="B73" s="39">
        <v>1</v>
      </c>
      <c r="C73" s="40">
        <v>1</v>
      </c>
      <c r="D73" s="39">
        <v>904</v>
      </c>
      <c r="E73" s="38" t="str">
        <f t="shared" si="2"/>
        <v>24090503</v>
      </c>
      <c r="F73" s="38">
        <f t="shared" si="3"/>
        <v>0</v>
      </c>
      <c r="G73" s="41" t="s">
        <v>885</v>
      </c>
      <c r="H73" s="41" t="s">
        <v>956</v>
      </c>
    </row>
    <row r="74" spans="1:8" ht="15">
      <c r="A74" s="38">
        <v>73</v>
      </c>
      <c r="B74" s="39">
        <v>1</v>
      </c>
      <c r="C74" s="40">
        <v>1</v>
      </c>
      <c r="D74" s="39">
        <v>801</v>
      </c>
      <c r="E74" s="38" t="str">
        <f t="shared" si="2"/>
        <v>24090530</v>
      </c>
      <c r="F74" s="38">
        <f t="shared" si="3"/>
        <v>0</v>
      </c>
      <c r="G74" s="41" t="s">
        <v>885</v>
      </c>
      <c r="H74" s="41" t="s">
        <v>957</v>
      </c>
    </row>
    <row r="75" spans="1:8" ht="15">
      <c r="A75" s="38">
        <v>74</v>
      </c>
      <c r="B75" s="39">
        <v>1</v>
      </c>
      <c r="C75" s="40">
        <v>1</v>
      </c>
      <c r="D75" s="39">
        <v>802</v>
      </c>
      <c r="E75" s="38" t="str">
        <f t="shared" si="2"/>
        <v>24090366</v>
      </c>
      <c r="F75" s="38">
        <f t="shared" si="3"/>
        <v>0</v>
      </c>
      <c r="G75" s="41" t="s">
        <v>885</v>
      </c>
      <c r="H75" s="41" t="s">
        <v>958</v>
      </c>
    </row>
    <row r="76" spans="1:8" ht="15">
      <c r="A76" s="38">
        <v>75</v>
      </c>
      <c r="B76" s="39">
        <v>1</v>
      </c>
      <c r="C76" s="40">
        <v>1</v>
      </c>
      <c r="D76" s="39">
        <v>803</v>
      </c>
      <c r="E76" s="38" t="str">
        <f t="shared" si="2"/>
        <v>24090383</v>
      </c>
      <c r="F76" s="38">
        <f t="shared" si="3"/>
        <v>0</v>
      </c>
      <c r="G76" s="41" t="s">
        <v>885</v>
      </c>
      <c r="H76" s="41" t="s">
        <v>959</v>
      </c>
    </row>
    <row r="77" spans="1:8" ht="15">
      <c r="A77" s="38">
        <v>76</v>
      </c>
      <c r="B77" s="39">
        <v>1</v>
      </c>
      <c r="C77" s="40">
        <v>1</v>
      </c>
      <c r="D77" s="39">
        <v>804</v>
      </c>
      <c r="E77" s="38" t="str">
        <f t="shared" si="2"/>
        <v>24090374</v>
      </c>
      <c r="F77" s="38">
        <f t="shared" si="3"/>
        <v>0</v>
      </c>
      <c r="G77" s="41" t="s">
        <v>885</v>
      </c>
      <c r="H77" s="41" t="s">
        <v>960</v>
      </c>
    </row>
    <row r="78" spans="1:8" ht="15">
      <c r="A78" s="38">
        <v>77</v>
      </c>
      <c r="B78" s="39">
        <v>1</v>
      </c>
      <c r="C78" s="40">
        <v>1</v>
      </c>
      <c r="D78" s="39">
        <v>401</v>
      </c>
      <c r="E78" s="38" t="str">
        <f t="shared" si="2"/>
        <v>24090515</v>
      </c>
      <c r="F78" s="38">
        <f t="shared" si="3"/>
        <v>0</v>
      </c>
      <c r="G78" s="41" t="s">
        <v>885</v>
      </c>
      <c r="H78" s="41" t="s">
        <v>961</v>
      </c>
    </row>
    <row r="79" spans="1:8" ht="15">
      <c r="A79" s="38">
        <v>78</v>
      </c>
      <c r="B79" s="39">
        <v>1</v>
      </c>
      <c r="C79" s="40">
        <v>1</v>
      </c>
      <c r="D79" s="39">
        <v>402</v>
      </c>
      <c r="E79" s="38" t="str">
        <f t="shared" si="2"/>
        <v>24090368</v>
      </c>
      <c r="F79" s="38">
        <f t="shared" si="3"/>
        <v>0</v>
      </c>
      <c r="G79" s="41" t="s">
        <v>885</v>
      </c>
      <c r="H79" s="41" t="s">
        <v>962</v>
      </c>
    </row>
    <row r="80" spans="1:8" ht="15">
      <c r="A80" s="38">
        <v>79</v>
      </c>
      <c r="B80" s="39">
        <v>1</v>
      </c>
      <c r="C80" s="40">
        <v>1</v>
      </c>
      <c r="D80" s="39">
        <v>403</v>
      </c>
      <c r="E80" s="38" t="str">
        <f t="shared" si="2"/>
        <v>24090487</v>
      </c>
      <c r="F80" s="38">
        <f t="shared" si="3"/>
        <v>0</v>
      </c>
      <c r="G80" s="41" t="s">
        <v>885</v>
      </c>
      <c r="H80" s="41" t="s">
        <v>963</v>
      </c>
    </row>
    <row r="81" spans="1:8" ht="15">
      <c r="A81" s="38">
        <v>80</v>
      </c>
      <c r="B81" s="39">
        <v>1</v>
      </c>
      <c r="C81" s="40">
        <v>1</v>
      </c>
      <c r="D81" s="39">
        <v>404</v>
      </c>
      <c r="E81" s="38" t="str">
        <f t="shared" si="2"/>
        <v>24090477</v>
      </c>
      <c r="F81" s="38">
        <f t="shared" si="3"/>
        <v>0</v>
      </c>
      <c r="G81" s="41" t="s">
        <v>885</v>
      </c>
      <c r="H81" s="41" t="s">
        <v>964</v>
      </c>
    </row>
    <row r="82" spans="1:8" ht="15">
      <c r="A82" s="38">
        <v>81</v>
      </c>
      <c r="B82" s="39">
        <v>1</v>
      </c>
      <c r="C82" s="40">
        <v>1</v>
      </c>
      <c r="D82" s="39">
        <v>301</v>
      </c>
      <c r="E82" s="38" t="str">
        <f t="shared" si="2"/>
        <v>24090467</v>
      </c>
      <c r="F82" s="38">
        <f t="shared" si="3"/>
        <v>0</v>
      </c>
      <c r="G82" s="41" t="s">
        <v>885</v>
      </c>
      <c r="H82" s="41" t="s">
        <v>965</v>
      </c>
    </row>
    <row r="83" spans="1:8" ht="15">
      <c r="A83" s="38">
        <v>82</v>
      </c>
      <c r="B83" s="39">
        <v>1</v>
      </c>
      <c r="C83" s="40">
        <v>1</v>
      </c>
      <c r="D83" s="39">
        <v>302</v>
      </c>
      <c r="E83" s="38" t="str">
        <f t="shared" si="2"/>
        <v>24090474</v>
      </c>
      <c r="F83" s="38">
        <f t="shared" si="3"/>
        <v>0</v>
      </c>
      <c r="G83" s="41" t="s">
        <v>885</v>
      </c>
      <c r="H83" s="41" t="s">
        <v>966</v>
      </c>
    </row>
    <row r="84" spans="1:8" ht="15">
      <c r="A84" s="38">
        <v>83</v>
      </c>
      <c r="B84" s="39">
        <v>1</v>
      </c>
      <c r="C84" s="40">
        <v>1</v>
      </c>
      <c r="D84" s="39">
        <v>303</v>
      </c>
      <c r="E84" s="38" t="str">
        <f t="shared" si="2"/>
        <v>24090468</v>
      </c>
      <c r="F84" s="38">
        <f t="shared" si="3"/>
        <v>0</v>
      </c>
      <c r="G84" s="41" t="s">
        <v>885</v>
      </c>
      <c r="H84" s="41" t="s">
        <v>967</v>
      </c>
    </row>
    <row r="85" spans="1:8" ht="15">
      <c r="A85" s="38">
        <v>84</v>
      </c>
      <c r="B85" s="39">
        <v>1</v>
      </c>
      <c r="C85" s="40">
        <v>1</v>
      </c>
      <c r="D85" s="39">
        <v>304</v>
      </c>
      <c r="E85" s="38" t="str">
        <f t="shared" si="2"/>
        <v>24090469</v>
      </c>
      <c r="F85" s="38">
        <f t="shared" si="3"/>
        <v>0</v>
      </c>
      <c r="G85" s="41" t="s">
        <v>885</v>
      </c>
      <c r="H85" s="41" t="s">
        <v>968</v>
      </c>
    </row>
    <row r="86" spans="1:8" ht="15">
      <c r="A86" s="38">
        <v>85</v>
      </c>
      <c r="B86" s="39">
        <v>1</v>
      </c>
      <c r="C86" s="40">
        <v>1</v>
      </c>
      <c r="D86" s="39">
        <v>201</v>
      </c>
      <c r="E86" s="38" t="str">
        <f t="shared" si="2"/>
        <v>24090447</v>
      </c>
      <c r="F86" s="38">
        <f t="shared" si="3"/>
        <v>0</v>
      </c>
      <c r="G86" s="41" t="s">
        <v>885</v>
      </c>
      <c r="H86" s="41" t="s">
        <v>969</v>
      </c>
    </row>
    <row r="87" spans="1:8" ht="15">
      <c r="A87" s="38">
        <v>86</v>
      </c>
      <c r="B87" s="39">
        <v>1</v>
      </c>
      <c r="C87" s="40">
        <v>1</v>
      </c>
      <c r="D87" s="39">
        <v>202</v>
      </c>
      <c r="E87" s="38" t="str">
        <f t="shared" si="2"/>
        <v>24090458</v>
      </c>
      <c r="F87" s="38">
        <f t="shared" si="3"/>
        <v>0</v>
      </c>
      <c r="G87" s="41" t="s">
        <v>885</v>
      </c>
      <c r="H87" s="41" t="s">
        <v>970</v>
      </c>
    </row>
    <row r="88" spans="1:8" ht="15">
      <c r="A88" s="38">
        <v>87</v>
      </c>
      <c r="B88" s="39">
        <v>1</v>
      </c>
      <c r="C88" s="40">
        <v>1</v>
      </c>
      <c r="D88" s="39">
        <v>203</v>
      </c>
      <c r="E88" s="38" t="str">
        <f t="shared" si="2"/>
        <v>24090499</v>
      </c>
      <c r="F88" s="38">
        <f t="shared" si="3"/>
        <v>0</v>
      </c>
      <c r="G88" s="41" t="s">
        <v>885</v>
      </c>
      <c r="H88" s="41" t="s">
        <v>971</v>
      </c>
    </row>
    <row r="89" spans="1:8" ht="15">
      <c r="A89" s="38">
        <v>88</v>
      </c>
      <c r="B89" s="39">
        <v>1</v>
      </c>
      <c r="C89" s="40">
        <v>1</v>
      </c>
      <c r="D89" s="39">
        <v>204</v>
      </c>
      <c r="E89" s="38" t="str">
        <f t="shared" si="2"/>
        <v>24090432</v>
      </c>
      <c r="F89" s="38">
        <f t="shared" si="3"/>
        <v>0</v>
      </c>
      <c r="G89" s="41" t="s">
        <v>885</v>
      </c>
      <c r="H89" s="41" t="s">
        <v>972</v>
      </c>
    </row>
    <row r="90" spans="1:8" ht="15">
      <c r="A90" s="38">
        <v>89</v>
      </c>
      <c r="B90" s="39">
        <v>1</v>
      </c>
      <c r="C90" s="40">
        <v>1</v>
      </c>
      <c r="D90" s="39">
        <v>101</v>
      </c>
      <c r="E90" s="38" t="str">
        <f t="shared" si="2"/>
        <v>24090486</v>
      </c>
      <c r="F90" s="38">
        <f t="shared" si="3"/>
        <v>0</v>
      </c>
      <c r="G90" s="41" t="s">
        <v>885</v>
      </c>
      <c r="H90" s="41" t="s">
        <v>973</v>
      </c>
    </row>
    <row r="91" spans="1:8" ht="15">
      <c r="A91" s="38">
        <v>90</v>
      </c>
      <c r="B91" s="39">
        <v>1</v>
      </c>
      <c r="C91" s="40">
        <v>1</v>
      </c>
      <c r="D91" s="39">
        <v>102</v>
      </c>
      <c r="E91" s="38" t="str">
        <f t="shared" si="2"/>
        <v>24090443</v>
      </c>
      <c r="F91" s="38">
        <f t="shared" si="3"/>
        <v>0</v>
      </c>
      <c r="G91" s="41" t="s">
        <v>885</v>
      </c>
      <c r="H91" s="41" t="s">
        <v>974</v>
      </c>
    </row>
    <row r="92" spans="1:8" ht="15">
      <c r="A92" s="38">
        <v>91</v>
      </c>
      <c r="B92" s="39">
        <v>1</v>
      </c>
      <c r="C92" s="40">
        <v>1</v>
      </c>
      <c r="D92" s="39">
        <v>103</v>
      </c>
      <c r="E92" s="38" t="str">
        <f t="shared" si="2"/>
        <v>24090449</v>
      </c>
      <c r="F92" s="38">
        <f t="shared" si="3"/>
        <v>0</v>
      </c>
      <c r="G92" s="41" t="s">
        <v>885</v>
      </c>
      <c r="H92" s="41" t="s">
        <v>975</v>
      </c>
    </row>
    <row r="93" spans="1:8" ht="15">
      <c r="A93" s="38">
        <v>92</v>
      </c>
      <c r="B93" s="39">
        <v>1</v>
      </c>
      <c r="C93" s="40">
        <v>1</v>
      </c>
      <c r="D93" s="39">
        <v>104</v>
      </c>
      <c r="E93" s="38" t="str">
        <f t="shared" si="2"/>
        <v>24090400</v>
      </c>
      <c r="F93" s="38">
        <f t="shared" si="3"/>
        <v>0</v>
      </c>
      <c r="G93" s="41" t="s">
        <v>885</v>
      </c>
      <c r="H93" s="41" t="s">
        <v>976</v>
      </c>
    </row>
    <row r="94" spans="1:8" ht="15">
      <c r="A94" s="38">
        <v>93</v>
      </c>
      <c r="B94" s="39">
        <v>1</v>
      </c>
      <c r="C94" s="40">
        <v>1</v>
      </c>
      <c r="D94" s="42" t="s">
        <v>977</v>
      </c>
      <c r="E94" s="38" t="str">
        <f t="shared" si="2"/>
        <v>24092338</v>
      </c>
      <c r="F94" s="38" t="str">
        <f t="shared" si="3"/>
        <v>地下室</v>
      </c>
      <c r="G94" s="41" t="s">
        <v>885</v>
      </c>
      <c r="H94" s="41" t="s">
        <v>978</v>
      </c>
    </row>
    <row r="95" spans="1:8" ht="15">
      <c r="A95" s="38">
        <v>94</v>
      </c>
      <c r="B95" s="39">
        <v>2</v>
      </c>
      <c r="C95" s="40">
        <v>1</v>
      </c>
      <c r="D95" s="39">
        <v>201</v>
      </c>
      <c r="E95" s="38" t="str">
        <f t="shared" si="2"/>
        <v>24090485</v>
      </c>
      <c r="F95" s="38">
        <f t="shared" si="3"/>
        <v>0</v>
      </c>
      <c r="G95" s="41" t="s">
        <v>885</v>
      </c>
      <c r="H95" s="41" t="s">
        <v>979</v>
      </c>
    </row>
    <row r="96" spans="1:8" ht="15">
      <c r="A96" s="38">
        <v>95</v>
      </c>
      <c r="B96" s="39">
        <v>2</v>
      </c>
      <c r="C96" s="40">
        <v>1</v>
      </c>
      <c r="D96" s="39">
        <v>202</v>
      </c>
      <c r="E96" s="38" t="str">
        <f t="shared" si="2"/>
        <v>24090442</v>
      </c>
      <c r="F96" s="38">
        <f t="shared" si="3"/>
        <v>0</v>
      </c>
      <c r="G96" s="41" t="s">
        <v>885</v>
      </c>
      <c r="H96" s="41" t="s">
        <v>980</v>
      </c>
    </row>
    <row r="97" spans="1:8" ht="15">
      <c r="A97" s="38">
        <v>96</v>
      </c>
      <c r="B97" s="39">
        <v>2</v>
      </c>
      <c r="C97" s="40">
        <v>1</v>
      </c>
      <c r="D97" s="39">
        <v>203</v>
      </c>
      <c r="E97" s="38" t="str">
        <f t="shared" si="2"/>
        <v>24090465</v>
      </c>
      <c r="F97" s="38">
        <f t="shared" si="3"/>
        <v>0</v>
      </c>
      <c r="G97" s="41" t="s">
        <v>885</v>
      </c>
      <c r="H97" s="41" t="s">
        <v>981</v>
      </c>
    </row>
    <row r="98" spans="1:8" ht="15">
      <c r="A98" s="38">
        <v>97</v>
      </c>
      <c r="B98" s="39">
        <v>2</v>
      </c>
      <c r="C98" s="40">
        <v>1</v>
      </c>
      <c r="D98" s="39">
        <v>204</v>
      </c>
      <c r="E98" s="38" t="str">
        <f t="shared" si="2"/>
        <v>24090495</v>
      </c>
      <c r="F98" s="38">
        <f t="shared" si="3"/>
        <v>0</v>
      </c>
      <c r="G98" s="41" t="s">
        <v>885</v>
      </c>
      <c r="H98" s="41" t="s">
        <v>982</v>
      </c>
    </row>
    <row r="99" spans="1:8" ht="15">
      <c r="A99" s="38">
        <v>98</v>
      </c>
      <c r="B99" s="39">
        <v>2</v>
      </c>
      <c r="C99" s="40">
        <v>1</v>
      </c>
      <c r="D99" s="39">
        <v>101</v>
      </c>
      <c r="E99" s="38" t="str">
        <f t="shared" si="2"/>
        <v>24090357</v>
      </c>
      <c r="F99" s="38">
        <f t="shared" si="3"/>
        <v>0</v>
      </c>
      <c r="G99" s="41" t="s">
        <v>885</v>
      </c>
      <c r="H99" s="41" t="s">
        <v>983</v>
      </c>
    </row>
    <row r="100" spans="1:8" ht="15">
      <c r="A100" s="38">
        <v>99</v>
      </c>
      <c r="B100" s="39">
        <v>2</v>
      </c>
      <c r="C100" s="40">
        <v>1</v>
      </c>
      <c r="D100" s="39">
        <v>102</v>
      </c>
      <c r="E100" s="38" t="str">
        <f t="shared" si="2"/>
        <v>24090524</v>
      </c>
      <c r="F100" s="38">
        <f t="shared" si="3"/>
        <v>0</v>
      </c>
      <c r="G100" s="41" t="s">
        <v>885</v>
      </c>
      <c r="H100" s="41" t="s">
        <v>984</v>
      </c>
    </row>
    <row r="101" spans="1:8" ht="15">
      <c r="A101" s="38">
        <v>100</v>
      </c>
      <c r="B101" s="39">
        <v>2</v>
      </c>
      <c r="C101" s="40">
        <v>1</v>
      </c>
      <c r="D101" s="39">
        <v>103</v>
      </c>
      <c r="E101" s="38" t="str">
        <f t="shared" si="2"/>
        <v>24090517</v>
      </c>
      <c r="F101" s="38">
        <f t="shared" si="3"/>
        <v>0</v>
      </c>
      <c r="G101" s="41" t="s">
        <v>885</v>
      </c>
      <c r="H101" s="41" t="s">
        <v>985</v>
      </c>
    </row>
    <row r="102" spans="1:8" ht="15">
      <c r="A102" s="38">
        <v>101</v>
      </c>
      <c r="B102" s="39">
        <v>2</v>
      </c>
      <c r="C102" s="40">
        <v>1</v>
      </c>
      <c r="D102" s="39">
        <v>104</v>
      </c>
      <c r="E102" s="38" t="str">
        <f t="shared" si="2"/>
        <v>24090473</v>
      </c>
      <c r="F102" s="38">
        <f t="shared" si="3"/>
        <v>0</v>
      </c>
      <c r="G102" s="41" t="s">
        <v>885</v>
      </c>
      <c r="H102" s="41" t="s">
        <v>986</v>
      </c>
    </row>
    <row r="103" spans="1:8" ht="15">
      <c r="A103" s="38">
        <v>102</v>
      </c>
      <c r="B103" s="39">
        <v>2</v>
      </c>
      <c r="C103" s="40">
        <v>1</v>
      </c>
      <c r="D103" s="42" t="s">
        <v>977</v>
      </c>
      <c r="E103" s="38" t="str">
        <f t="shared" si="2"/>
        <v>24092522</v>
      </c>
      <c r="F103" s="38" t="str">
        <f t="shared" si="3"/>
        <v>地下室</v>
      </c>
      <c r="G103" s="41" t="s">
        <v>885</v>
      </c>
      <c r="H103" s="41" t="s">
        <v>987</v>
      </c>
    </row>
    <row r="104" spans="1:8" ht="15">
      <c r="A104" s="38">
        <v>103</v>
      </c>
      <c r="B104" s="39">
        <v>2</v>
      </c>
      <c r="C104" s="40">
        <v>1</v>
      </c>
      <c r="D104" s="39">
        <v>2601</v>
      </c>
      <c r="E104" s="38" t="str">
        <f t="shared" si="2"/>
        <v>24090338</v>
      </c>
      <c r="F104" s="38">
        <f t="shared" si="3"/>
        <v>2</v>
      </c>
      <c r="G104" s="41" t="s">
        <v>885</v>
      </c>
      <c r="H104" s="41" t="s">
        <v>988</v>
      </c>
    </row>
    <row r="105" spans="1:8" ht="15">
      <c r="A105" s="38">
        <v>104</v>
      </c>
      <c r="B105" s="39">
        <v>2</v>
      </c>
      <c r="C105" s="40">
        <v>1</v>
      </c>
      <c r="D105" s="39">
        <v>2602</v>
      </c>
      <c r="E105" s="38" t="str">
        <f t="shared" si="2"/>
        <v>24090375</v>
      </c>
      <c r="F105" s="38">
        <f t="shared" si="3"/>
        <v>2</v>
      </c>
      <c r="G105" s="41" t="s">
        <v>885</v>
      </c>
      <c r="H105" s="41" t="s">
        <v>989</v>
      </c>
    </row>
    <row r="106" spans="1:8" ht="15">
      <c r="A106" s="38">
        <v>105</v>
      </c>
      <c r="B106" s="39">
        <v>2</v>
      </c>
      <c r="C106" s="40">
        <v>1</v>
      </c>
      <c r="D106" s="39">
        <v>2603</v>
      </c>
      <c r="E106" s="38" t="str">
        <f t="shared" si="2"/>
        <v>24090461</v>
      </c>
      <c r="F106" s="38">
        <f t="shared" si="3"/>
        <v>2</v>
      </c>
      <c r="G106" s="41" t="s">
        <v>885</v>
      </c>
      <c r="H106" s="41" t="s">
        <v>990</v>
      </c>
    </row>
    <row r="107" spans="1:8" ht="15">
      <c r="A107" s="38">
        <v>106</v>
      </c>
      <c r="B107" s="39">
        <v>2</v>
      </c>
      <c r="C107" s="40">
        <v>1</v>
      </c>
      <c r="D107" s="39">
        <v>2604</v>
      </c>
      <c r="E107" s="38" t="str">
        <f t="shared" si="2"/>
        <v>24090421</v>
      </c>
      <c r="F107" s="38">
        <f t="shared" si="3"/>
        <v>2</v>
      </c>
      <c r="G107" s="41" t="s">
        <v>885</v>
      </c>
      <c r="H107" s="41" t="s">
        <v>991</v>
      </c>
    </row>
    <row r="108" spans="1:8" ht="15">
      <c r="A108" s="38">
        <v>107</v>
      </c>
      <c r="B108" s="39">
        <v>2</v>
      </c>
      <c r="C108" s="40">
        <v>1</v>
      </c>
      <c r="D108" s="39">
        <v>2501</v>
      </c>
      <c r="E108" s="38" t="str">
        <f t="shared" si="2"/>
        <v>24090427</v>
      </c>
      <c r="F108" s="38">
        <f t="shared" si="3"/>
        <v>2</v>
      </c>
      <c r="G108" s="41" t="s">
        <v>885</v>
      </c>
      <c r="H108" s="41" t="s">
        <v>992</v>
      </c>
    </row>
    <row r="109" spans="1:8" ht="15">
      <c r="A109" s="38">
        <v>108</v>
      </c>
      <c r="B109" s="39">
        <v>2</v>
      </c>
      <c r="C109" s="40">
        <v>1</v>
      </c>
      <c r="D109" s="39">
        <v>2502</v>
      </c>
      <c r="E109" s="38" t="str">
        <f t="shared" si="2"/>
        <v>24090353</v>
      </c>
      <c r="F109" s="38">
        <f t="shared" si="3"/>
        <v>2</v>
      </c>
      <c r="G109" s="41" t="s">
        <v>885</v>
      </c>
      <c r="H109" s="41" t="s">
        <v>993</v>
      </c>
    </row>
    <row r="110" spans="1:8" ht="15">
      <c r="A110" s="38">
        <v>109</v>
      </c>
      <c r="B110" s="39">
        <v>2</v>
      </c>
      <c r="C110" s="40">
        <v>1</v>
      </c>
      <c r="D110" s="39">
        <v>2503</v>
      </c>
      <c r="E110" s="38" t="str">
        <f t="shared" si="2"/>
        <v>24090345</v>
      </c>
      <c r="F110" s="38">
        <f t="shared" si="3"/>
        <v>2</v>
      </c>
      <c r="G110" s="41" t="s">
        <v>885</v>
      </c>
      <c r="H110" s="41" t="s">
        <v>994</v>
      </c>
    </row>
    <row r="111" spans="1:8" ht="15">
      <c r="A111" s="38">
        <v>110</v>
      </c>
      <c r="B111" s="39">
        <v>2</v>
      </c>
      <c r="C111" s="40">
        <v>1</v>
      </c>
      <c r="D111" s="39">
        <v>2504</v>
      </c>
      <c r="E111" s="38" t="str">
        <f t="shared" si="2"/>
        <v>24090342</v>
      </c>
      <c r="F111" s="38">
        <f t="shared" si="3"/>
        <v>2</v>
      </c>
      <c r="G111" s="41" t="s">
        <v>885</v>
      </c>
      <c r="H111" s="41" t="s">
        <v>995</v>
      </c>
    </row>
    <row r="112" spans="1:8" ht="15">
      <c r="A112" s="38">
        <v>111</v>
      </c>
      <c r="B112" s="39">
        <v>2</v>
      </c>
      <c r="C112" s="40">
        <v>1</v>
      </c>
      <c r="D112" s="39">
        <v>2401</v>
      </c>
      <c r="E112" s="38" t="str">
        <f t="shared" si="2"/>
        <v>24090433</v>
      </c>
      <c r="F112" s="38">
        <f t="shared" si="3"/>
        <v>2</v>
      </c>
      <c r="G112" s="41" t="s">
        <v>885</v>
      </c>
      <c r="H112" s="41" t="s">
        <v>996</v>
      </c>
    </row>
    <row r="113" spans="1:8" ht="15">
      <c r="A113" s="38">
        <v>112</v>
      </c>
      <c r="B113" s="39">
        <v>2</v>
      </c>
      <c r="C113" s="40">
        <v>1</v>
      </c>
      <c r="D113" s="39">
        <v>2402</v>
      </c>
      <c r="E113" s="38" t="str">
        <f t="shared" si="2"/>
        <v>24090437</v>
      </c>
      <c r="F113" s="38">
        <f t="shared" si="3"/>
        <v>2</v>
      </c>
      <c r="G113" s="41" t="s">
        <v>885</v>
      </c>
      <c r="H113" s="41" t="s">
        <v>997</v>
      </c>
    </row>
    <row r="114" spans="1:8" ht="15">
      <c r="A114" s="38">
        <v>113</v>
      </c>
      <c r="B114" s="39">
        <v>2</v>
      </c>
      <c r="C114" s="40">
        <v>1</v>
      </c>
      <c r="D114" s="39">
        <v>2403</v>
      </c>
      <c r="E114" s="38" t="str">
        <f t="shared" si="2"/>
        <v>24090422</v>
      </c>
      <c r="F114" s="38">
        <f t="shared" si="3"/>
        <v>2</v>
      </c>
      <c r="G114" s="41" t="s">
        <v>885</v>
      </c>
      <c r="H114" s="41" t="s">
        <v>998</v>
      </c>
    </row>
    <row r="115" spans="1:8" ht="15">
      <c r="A115" s="38">
        <v>114</v>
      </c>
      <c r="B115" s="39">
        <v>2</v>
      </c>
      <c r="C115" s="40">
        <v>1</v>
      </c>
      <c r="D115" s="39">
        <v>2404</v>
      </c>
      <c r="E115" s="38" t="str">
        <f t="shared" si="2"/>
        <v>24090436</v>
      </c>
      <c r="F115" s="38">
        <f t="shared" si="3"/>
        <v>2</v>
      </c>
      <c r="G115" s="41" t="s">
        <v>885</v>
      </c>
      <c r="H115" s="41" t="s">
        <v>999</v>
      </c>
    </row>
    <row r="116" spans="1:8" ht="15">
      <c r="A116" s="38">
        <v>115</v>
      </c>
      <c r="B116" s="39">
        <v>2</v>
      </c>
      <c r="C116" s="40">
        <v>1</v>
      </c>
      <c r="D116" s="39">
        <v>501</v>
      </c>
      <c r="E116" s="38" t="str">
        <f t="shared" si="2"/>
        <v>24090531</v>
      </c>
      <c r="F116" s="38">
        <f t="shared" si="3"/>
        <v>0</v>
      </c>
      <c r="G116" s="41" t="s">
        <v>885</v>
      </c>
      <c r="H116" s="41" t="s">
        <v>1000</v>
      </c>
    </row>
    <row r="117" spans="1:8" ht="15">
      <c r="A117" s="38">
        <v>116</v>
      </c>
      <c r="B117" s="39">
        <v>2</v>
      </c>
      <c r="C117" s="40">
        <v>1</v>
      </c>
      <c r="D117" s="39">
        <v>502</v>
      </c>
      <c r="E117" s="38" t="str">
        <f t="shared" si="2"/>
        <v>24090536</v>
      </c>
      <c r="F117" s="38">
        <f t="shared" si="3"/>
        <v>0</v>
      </c>
      <c r="G117" s="41" t="s">
        <v>885</v>
      </c>
      <c r="H117" s="41" t="s">
        <v>1001</v>
      </c>
    </row>
    <row r="118" spans="1:8" ht="15">
      <c r="A118" s="38">
        <v>117</v>
      </c>
      <c r="B118" s="39">
        <v>2</v>
      </c>
      <c r="C118" s="40">
        <v>1</v>
      </c>
      <c r="D118" s="39">
        <v>503</v>
      </c>
      <c r="E118" s="38" t="str">
        <f t="shared" si="2"/>
        <v>24090371</v>
      </c>
      <c r="F118" s="38">
        <f t="shared" si="3"/>
        <v>0</v>
      </c>
      <c r="G118" s="41" t="s">
        <v>885</v>
      </c>
      <c r="H118" s="41" t="s">
        <v>1002</v>
      </c>
    </row>
    <row r="119" spans="1:8" ht="15">
      <c r="A119" s="38">
        <v>118</v>
      </c>
      <c r="B119" s="39">
        <v>2</v>
      </c>
      <c r="C119" s="40">
        <v>1</v>
      </c>
      <c r="D119" s="39">
        <v>504</v>
      </c>
      <c r="E119" s="38" t="str">
        <f t="shared" si="2"/>
        <v>24090364</v>
      </c>
      <c r="F119" s="38">
        <f t="shared" si="3"/>
        <v>0</v>
      </c>
      <c r="G119" s="41" t="s">
        <v>885</v>
      </c>
      <c r="H119" s="41" t="s">
        <v>1003</v>
      </c>
    </row>
    <row r="120" spans="1:8" ht="15">
      <c r="A120" s="38">
        <v>119</v>
      </c>
      <c r="B120" s="39">
        <v>2</v>
      </c>
      <c r="C120" s="40">
        <v>1</v>
      </c>
      <c r="D120" s="39">
        <v>401</v>
      </c>
      <c r="E120" s="38" t="str">
        <f t="shared" si="2"/>
        <v>24090340</v>
      </c>
      <c r="F120" s="38">
        <f t="shared" si="3"/>
        <v>0</v>
      </c>
      <c r="G120" s="41" t="s">
        <v>885</v>
      </c>
      <c r="H120" s="41" t="s">
        <v>1004</v>
      </c>
    </row>
    <row r="121" spans="1:8" ht="15">
      <c r="A121" s="38">
        <v>120</v>
      </c>
      <c r="B121" s="39">
        <v>2</v>
      </c>
      <c r="C121" s="40">
        <v>1</v>
      </c>
      <c r="D121" s="39">
        <v>402</v>
      </c>
      <c r="E121" s="38" t="str">
        <f t="shared" si="2"/>
        <v>24090507</v>
      </c>
      <c r="F121" s="38">
        <f t="shared" si="3"/>
        <v>0</v>
      </c>
      <c r="G121" s="41" t="s">
        <v>885</v>
      </c>
      <c r="H121" s="41" t="s">
        <v>1005</v>
      </c>
    </row>
    <row r="122" spans="1:8" ht="15">
      <c r="A122" s="38">
        <v>121</v>
      </c>
      <c r="B122" s="39">
        <v>2</v>
      </c>
      <c r="C122" s="40">
        <v>1</v>
      </c>
      <c r="D122" s="39">
        <v>403</v>
      </c>
      <c r="E122" s="38" t="str">
        <f t="shared" si="2"/>
        <v>24090403</v>
      </c>
      <c r="F122" s="38">
        <f t="shared" si="3"/>
        <v>0</v>
      </c>
      <c r="G122" s="41" t="s">
        <v>885</v>
      </c>
      <c r="H122" s="41" t="s">
        <v>1006</v>
      </c>
    </row>
    <row r="123" spans="1:8" ht="15">
      <c r="A123" s="38">
        <v>122</v>
      </c>
      <c r="B123" s="39">
        <v>2</v>
      </c>
      <c r="C123" s="40">
        <v>1</v>
      </c>
      <c r="D123" s="39">
        <v>404</v>
      </c>
      <c r="E123" s="38" t="str">
        <f t="shared" si="2"/>
        <v>24090389</v>
      </c>
      <c r="F123" s="38">
        <f t="shared" si="3"/>
        <v>0</v>
      </c>
      <c r="G123" s="41" t="s">
        <v>885</v>
      </c>
      <c r="H123" s="41" t="s">
        <v>1007</v>
      </c>
    </row>
    <row r="124" spans="1:8" ht="15">
      <c r="A124" s="38">
        <v>123</v>
      </c>
      <c r="B124" s="39">
        <v>2</v>
      </c>
      <c r="C124" s="40">
        <v>1</v>
      </c>
      <c r="D124" s="39">
        <v>301</v>
      </c>
      <c r="E124" s="38" t="str">
        <f t="shared" si="2"/>
        <v>24090411</v>
      </c>
      <c r="F124" s="38">
        <f t="shared" si="3"/>
        <v>0</v>
      </c>
      <c r="G124" s="41" t="s">
        <v>885</v>
      </c>
      <c r="H124" s="41" t="s">
        <v>1008</v>
      </c>
    </row>
    <row r="125" spans="1:8" ht="15">
      <c r="A125" s="38">
        <v>124</v>
      </c>
      <c r="B125" s="39">
        <v>2</v>
      </c>
      <c r="C125" s="40">
        <v>1</v>
      </c>
      <c r="D125" s="39">
        <v>302</v>
      </c>
      <c r="E125" s="38" t="str">
        <f t="shared" si="2"/>
        <v>24090455</v>
      </c>
      <c r="F125" s="38">
        <f t="shared" si="3"/>
        <v>0</v>
      </c>
      <c r="G125" s="41" t="s">
        <v>885</v>
      </c>
      <c r="H125" s="41" t="s">
        <v>1009</v>
      </c>
    </row>
    <row r="126" spans="1:8" ht="15">
      <c r="A126" s="38">
        <v>125</v>
      </c>
      <c r="B126" s="39">
        <v>2</v>
      </c>
      <c r="C126" s="40">
        <v>1</v>
      </c>
      <c r="D126" s="39">
        <v>303</v>
      </c>
      <c r="E126" s="38" t="str">
        <f t="shared" si="2"/>
        <v>24090490</v>
      </c>
      <c r="F126" s="38">
        <f t="shared" si="3"/>
        <v>0</v>
      </c>
      <c r="G126" s="41" t="s">
        <v>885</v>
      </c>
      <c r="H126" s="41" t="s">
        <v>1010</v>
      </c>
    </row>
    <row r="127" spans="1:8" ht="15">
      <c r="A127" s="38">
        <v>126</v>
      </c>
      <c r="B127" s="39">
        <v>2</v>
      </c>
      <c r="C127" s="40">
        <v>1</v>
      </c>
      <c r="D127" s="39">
        <v>304</v>
      </c>
      <c r="E127" s="38" t="str">
        <f t="shared" si="2"/>
        <v>24090428</v>
      </c>
      <c r="F127" s="38">
        <f t="shared" si="3"/>
        <v>0</v>
      </c>
      <c r="G127" s="41" t="s">
        <v>885</v>
      </c>
      <c r="H127" s="41" t="s">
        <v>1011</v>
      </c>
    </row>
    <row r="128" spans="1:8" ht="15">
      <c r="A128" s="38">
        <v>127</v>
      </c>
      <c r="B128" s="39">
        <v>2</v>
      </c>
      <c r="C128" s="40">
        <v>1</v>
      </c>
      <c r="D128" s="39">
        <v>1701</v>
      </c>
      <c r="E128" s="38" t="str">
        <f t="shared" si="2"/>
        <v>24090404</v>
      </c>
      <c r="F128" s="38">
        <f t="shared" si="3"/>
        <v>1</v>
      </c>
      <c r="G128" s="41" t="s">
        <v>885</v>
      </c>
      <c r="H128" s="41" t="s">
        <v>1012</v>
      </c>
    </row>
    <row r="129" spans="1:8" ht="15">
      <c r="A129" s="38">
        <v>128</v>
      </c>
      <c r="B129" s="39">
        <v>2</v>
      </c>
      <c r="C129" s="40">
        <v>1</v>
      </c>
      <c r="D129" s="39">
        <v>1702</v>
      </c>
      <c r="E129" s="38" t="str">
        <f t="shared" si="2"/>
        <v>24090406</v>
      </c>
      <c r="F129" s="38">
        <f t="shared" si="3"/>
        <v>1</v>
      </c>
      <c r="G129" s="41" t="s">
        <v>885</v>
      </c>
      <c r="H129" s="41" t="s">
        <v>1013</v>
      </c>
    </row>
    <row r="130" spans="1:8" ht="15">
      <c r="A130" s="38">
        <v>129</v>
      </c>
      <c r="B130" s="39">
        <v>2</v>
      </c>
      <c r="C130" s="40">
        <v>1</v>
      </c>
      <c r="D130" s="39">
        <v>1703</v>
      </c>
      <c r="E130" s="38" t="str">
        <f t="shared" si="2"/>
        <v>24090521</v>
      </c>
      <c r="F130" s="38">
        <f t="shared" si="3"/>
        <v>1</v>
      </c>
      <c r="G130" s="41" t="s">
        <v>885</v>
      </c>
      <c r="H130" s="41" t="s">
        <v>1014</v>
      </c>
    </row>
    <row r="131" spans="1:8" ht="15">
      <c r="A131" s="38">
        <v>130</v>
      </c>
      <c r="B131" s="39">
        <v>2</v>
      </c>
      <c r="C131" s="40">
        <v>1</v>
      </c>
      <c r="D131" s="39">
        <v>1704</v>
      </c>
      <c r="E131" s="38" t="str">
        <f t="shared" ref="E131:E194" si="4">G131&amp;H131</f>
        <v>24090385</v>
      </c>
      <c r="F131" s="38">
        <f t="shared" ref="F131:F194" si="5">IFERROR(IF(VALUE(LEFT(D131,LEN(D131)-2))&lt;10,0,IF(VALUE(LEFT(D131,LEN(D131)-2))&lt;20,1,2)),D131)</f>
        <v>1</v>
      </c>
      <c r="G131" s="41" t="s">
        <v>885</v>
      </c>
      <c r="H131" s="41" t="s">
        <v>1015</v>
      </c>
    </row>
    <row r="132" spans="1:8" ht="15">
      <c r="A132" s="38">
        <v>131</v>
      </c>
      <c r="B132" s="39">
        <v>2</v>
      </c>
      <c r="C132" s="40">
        <v>1</v>
      </c>
      <c r="D132" s="39">
        <v>1601</v>
      </c>
      <c r="E132" s="38" t="str">
        <f t="shared" si="4"/>
        <v>24090470</v>
      </c>
      <c r="F132" s="38">
        <f t="shared" si="5"/>
        <v>1</v>
      </c>
      <c r="G132" s="41" t="s">
        <v>885</v>
      </c>
      <c r="H132" s="41" t="s">
        <v>1016</v>
      </c>
    </row>
    <row r="133" spans="1:8" ht="15">
      <c r="A133" s="38">
        <v>132</v>
      </c>
      <c r="B133" s="39">
        <v>2</v>
      </c>
      <c r="C133" s="40">
        <v>1</v>
      </c>
      <c r="D133" s="39">
        <v>1602</v>
      </c>
      <c r="E133" s="38" t="str">
        <f t="shared" si="4"/>
        <v>24090498</v>
      </c>
      <c r="F133" s="38">
        <f t="shared" si="5"/>
        <v>1</v>
      </c>
      <c r="G133" s="41" t="s">
        <v>885</v>
      </c>
      <c r="H133" s="41" t="s">
        <v>1017</v>
      </c>
    </row>
    <row r="134" spans="1:8" ht="15">
      <c r="A134" s="38">
        <v>133</v>
      </c>
      <c r="B134" s="39">
        <v>2</v>
      </c>
      <c r="C134" s="40">
        <v>1</v>
      </c>
      <c r="D134" s="39">
        <v>1603</v>
      </c>
      <c r="E134" s="38" t="str">
        <f t="shared" si="4"/>
        <v>24090354</v>
      </c>
      <c r="F134" s="38">
        <f t="shared" si="5"/>
        <v>1</v>
      </c>
      <c r="G134" s="41" t="s">
        <v>885</v>
      </c>
      <c r="H134" s="41" t="s">
        <v>1018</v>
      </c>
    </row>
    <row r="135" spans="1:8" ht="15">
      <c r="A135" s="38">
        <v>134</v>
      </c>
      <c r="B135" s="39">
        <v>2</v>
      </c>
      <c r="C135" s="40">
        <v>1</v>
      </c>
      <c r="D135" s="39">
        <v>1604</v>
      </c>
      <c r="E135" s="38" t="str">
        <f t="shared" si="4"/>
        <v>24090350</v>
      </c>
      <c r="F135" s="38">
        <f t="shared" si="5"/>
        <v>1</v>
      </c>
      <c r="G135" s="41" t="s">
        <v>885</v>
      </c>
      <c r="H135" s="41" t="s">
        <v>1019</v>
      </c>
    </row>
    <row r="136" spans="1:8" ht="15">
      <c r="A136" s="38">
        <v>135</v>
      </c>
      <c r="B136" s="39">
        <v>2</v>
      </c>
      <c r="C136" s="40">
        <v>1</v>
      </c>
      <c r="D136" s="39">
        <v>1501</v>
      </c>
      <c r="E136" s="38" t="str">
        <f t="shared" si="4"/>
        <v>24090352</v>
      </c>
      <c r="F136" s="38">
        <f t="shared" si="5"/>
        <v>1</v>
      </c>
      <c r="G136" s="41" t="s">
        <v>885</v>
      </c>
      <c r="H136" s="41" t="s">
        <v>1020</v>
      </c>
    </row>
    <row r="137" spans="1:8" ht="15">
      <c r="A137" s="38">
        <v>136</v>
      </c>
      <c r="B137" s="39">
        <v>2</v>
      </c>
      <c r="C137" s="40">
        <v>1</v>
      </c>
      <c r="D137" s="39">
        <v>1502</v>
      </c>
      <c r="E137" s="38" t="str">
        <f t="shared" si="4"/>
        <v>24090439</v>
      </c>
      <c r="F137" s="38">
        <f t="shared" si="5"/>
        <v>1</v>
      </c>
      <c r="G137" s="41" t="s">
        <v>885</v>
      </c>
      <c r="H137" s="41" t="s">
        <v>1021</v>
      </c>
    </row>
    <row r="138" spans="1:8" ht="15">
      <c r="A138" s="38">
        <v>137</v>
      </c>
      <c r="B138" s="39">
        <v>2</v>
      </c>
      <c r="C138" s="40">
        <v>1</v>
      </c>
      <c r="D138" s="39">
        <v>1503</v>
      </c>
      <c r="E138" s="38" t="str">
        <f t="shared" si="4"/>
        <v>24090506</v>
      </c>
      <c r="F138" s="38">
        <f t="shared" si="5"/>
        <v>1</v>
      </c>
      <c r="G138" s="41" t="s">
        <v>885</v>
      </c>
      <c r="H138" s="41" t="s">
        <v>1022</v>
      </c>
    </row>
    <row r="139" spans="1:8" ht="15">
      <c r="A139" s="38">
        <v>138</v>
      </c>
      <c r="B139" s="39">
        <v>2</v>
      </c>
      <c r="C139" s="40">
        <v>1</v>
      </c>
      <c r="D139" s="39">
        <v>1504</v>
      </c>
      <c r="E139" s="38" t="str">
        <f t="shared" si="4"/>
        <v>24090419</v>
      </c>
      <c r="F139" s="38">
        <f t="shared" si="5"/>
        <v>1</v>
      </c>
      <c r="G139" s="41" t="s">
        <v>885</v>
      </c>
      <c r="H139" s="41" t="s">
        <v>1023</v>
      </c>
    </row>
    <row r="140" spans="1:8" ht="15">
      <c r="A140" s="38">
        <v>139</v>
      </c>
      <c r="B140" s="39">
        <v>2</v>
      </c>
      <c r="C140" s="40">
        <v>1</v>
      </c>
      <c r="D140" s="39">
        <v>1401</v>
      </c>
      <c r="E140" s="38" t="str">
        <f t="shared" si="4"/>
        <v>24090435</v>
      </c>
      <c r="F140" s="38">
        <f t="shared" si="5"/>
        <v>1</v>
      </c>
      <c r="G140" s="41" t="s">
        <v>885</v>
      </c>
      <c r="H140" s="41" t="s">
        <v>1024</v>
      </c>
    </row>
    <row r="141" spans="1:8" ht="15">
      <c r="A141" s="38">
        <v>140</v>
      </c>
      <c r="B141" s="39">
        <v>2</v>
      </c>
      <c r="C141" s="40">
        <v>1</v>
      </c>
      <c r="D141" s="39">
        <v>1402</v>
      </c>
      <c r="E141" s="38" t="str">
        <f t="shared" si="4"/>
        <v>24090448</v>
      </c>
      <c r="F141" s="38">
        <f t="shared" si="5"/>
        <v>1</v>
      </c>
      <c r="G141" s="41" t="s">
        <v>885</v>
      </c>
      <c r="H141" s="41" t="s">
        <v>1025</v>
      </c>
    </row>
    <row r="142" spans="1:8" ht="15">
      <c r="A142" s="38">
        <v>141</v>
      </c>
      <c r="B142" s="39">
        <v>2</v>
      </c>
      <c r="C142" s="40">
        <v>1</v>
      </c>
      <c r="D142" s="39">
        <v>1403</v>
      </c>
      <c r="E142" s="38" t="str">
        <f t="shared" si="4"/>
        <v>24090408</v>
      </c>
      <c r="F142" s="38">
        <f t="shared" si="5"/>
        <v>1</v>
      </c>
      <c r="G142" s="41" t="s">
        <v>885</v>
      </c>
      <c r="H142" s="41" t="s">
        <v>1026</v>
      </c>
    </row>
    <row r="143" spans="1:8" ht="15">
      <c r="A143" s="38">
        <v>142</v>
      </c>
      <c r="B143" s="39">
        <v>2</v>
      </c>
      <c r="C143" s="40">
        <v>1</v>
      </c>
      <c r="D143" s="39">
        <v>1404</v>
      </c>
      <c r="E143" s="38" t="str">
        <f t="shared" si="4"/>
        <v>24090336</v>
      </c>
      <c r="F143" s="38">
        <f t="shared" si="5"/>
        <v>1</v>
      </c>
      <c r="G143" s="41" t="s">
        <v>885</v>
      </c>
      <c r="H143" s="41" t="s">
        <v>1027</v>
      </c>
    </row>
    <row r="144" spans="1:8" ht="15">
      <c r="A144" s="38">
        <v>143</v>
      </c>
      <c r="B144" s="39">
        <v>2</v>
      </c>
      <c r="C144" s="40">
        <v>1</v>
      </c>
      <c r="D144" s="39">
        <v>1301</v>
      </c>
      <c r="E144" s="38" t="str">
        <f t="shared" si="4"/>
        <v>24090450</v>
      </c>
      <c r="F144" s="38">
        <f t="shared" si="5"/>
        <v>1</v>
      </c>
      <c r="G144" s="41" t="s">
        <v>885</v>
      </c>
      <c r="H144" s="41" t="s">
        <v>1028</v>
      </c>
    </row>
    <row r="145" spans="1:8" ht="15">
      <c r="A145" s="38">
        <v>144</v>
      </c>
      <c r="B145" s="39">
        <v>2</v>
      </c>
      <c r="C145" s="40">
        <v>1</v>
      </c>
      <c r="D145" s="39">
        <v>1302</v>
      </c>
      <c r="E145" s="38" t="str">
        <f t="shared" si="4"/>
        <v>24090434</v>
      </c>
      <c r="F145" s="38">
        <f t="shared" si="5"/>
        <v>1</v>
      </c>
      <c r="G145" s="41" t="s">
        <v>885</v>
      </c>
      <c r="H145" s="41" t="s">
        <v>1029</v>
      </c>
    </row>
    <row r="146" spans="1:8" ht="15">
      <c r="A146" s="38">
        <v>145</v>
      </c>
      <c r="B146" s="39">
        <v>2</v>
      </c>
      <c r="C146" s="40">
        <v>1</v>
      </c>
      <c r="D146" s="39">
        <v>1303</v>
      </c>
      <c r="E146" s="38" t="str">
        <f t="shared" si="4"/>
        <v>24090466</v>
      </c>
      <c r="F146" s="38">
        <f t="shared" si="5"/>
        <v>1</v>
      </c>
      <c r="G146" s="41" t="s">
        <v>885</v>
      </c>
      <c r="H146" s="41" t="s">
        <v>1030</v>
      </c>
    </row>
    <row r="147" spans="1:8" ht="15">
      <c r="A147" s="38">
        <v>146</v>
      </c>
      <c r="B147" s="39">
        <v>2</v>
      </c>
      <c r="C147" s="40">
        <v>1</v>
      </c>
      <c r="D147" s="39">
        <v>1304</v>
      </c>
      <c r="E147" s="38" t="str">
        <f t="shared" si="4"/>
        <v>24090481</v>
      </c>
      <c r="F147" s="38">
        <f t="shared" si="5"/>
        <v>1</v>
      </c>
      <c r="G147" s="41" t="s">
        <v>885</v>
      </c>
      <c r="H147" s="41" t="s">
        <v>1031</v>
      </c>
    </row>
    <row r="148" spans="1:8" ht="15">
      <c r="A148" s="38">
        <v>147</v>
      </c>
      <c r="B148" s="39">
        <v>2</v>
      </c>
      <c r="C148" s="40">
        <v>1</v>
      </c>
      <c r="D148" s="39">
        <v>1201</v>
      </c>
      <c r="E148" s="38" t="str">
        <f t="shared" si="4"/>
        <v>24090414</v>
      </c>
      <c r="F148" s="38">
        <f t="shared" si="5"/>
        <v>1</v>
      </c>
      <c r="G148" s="41" t="s">
        <v>885</v>
      </c>
      <c r="H148" s="41" t="s">
        <v>1032</v>
      </c>
    </row>
    <row r="149" spans="1:8" ht="15">
      <c r="A149" s="38">
        <v>148</v>
      </c>
      <c r="B149" s="39">
        <v>2</v>
      </c>
      <c r="C149" s="40">
        <v>1</v>
      </c>
      <c r="D149" s="39">
        <v>1202</v>
      </c>
      <c r="E149" s="38" t="str">
        <f t="shared" si="4"/>
        <v>24090417</v>
      </c>
      <c r="F149" s="38">
        <f t="shared" si="5"/>
        <v>1</v>
      </c>
      <c r="G149" s="41" t="s">
        <v>885</v>
      </c>
      <c r="H149" s="41" t="s">
        <v>1033</v>
      </c>
    </row>
    <row r="150" spans="1:8" ht="15">
      <c r="A150" s="38">
        <v>149</v>
      </c>
      <c r="B150" s="39">
        <v>2</v>
      </c>
      <c r="C150" s="40">
        <v>1</v>
      </c>
      <c r="D150" s="39">
        <v>1203</v>
      </c>
      <c r="E150" s="38" t="str">
        <f t="shared" si="4"/>
        <v>24090493</v>
      </c>
      <c r="F150" s="38">
        <f t="shared" si="5"/>
        <v>1</v>
      </c>
      <c r="G150" s="41" t="s">
        <v>885</v>
      </c>
      <c r="H150" s="41" t="s">
        <v>1034</v>
      </c>
    </row>
    <row r="151" spans="1:8" ht="15">
      <c r="A151" s="38">
        <v>150</v>
      </c>
      <c r="B151" s="39">
        <v>2</v>
      </c>
      <c r="C151" s="40">
        <v>1</v>
      </c>
      <c r="D151" s="39">
        <v>1204</v>
      </c>
      <c r="E151" s="38" t="str">
        <f t="shared" si="4"/>
        <v>24090489</v>
      </c>
      <c r="F151" s="38">
        <f t="shared" si="5"/>
        <v>1</v>
      </c>
      <c r="G151" s="41" t="s">
        <v>885</v>
      </c>
      <c r="H151" s="41" t="s">
        <v>1035</v>
      </c>
    </row>
    <row r="152" spans="1:8" ht="15">
      <c r="A152" s="38">
        <v>151</v>
      </c>
      <c r="B152" s="39">
        <v>2</v>
      </c>
      <c r="C152" s="40">
        <v>1</v>
      </c>
      <c r="D152" s="39">
        <v>1101</v>
      </c>
      <c r="E152" s="38" t="str">
        <f t="shared" si="4"/>
        <v>24090525</v>
      </c>
      <c r="F152" s="38">
        <f t="shared" si="5"/>
        <v>1</v>
      </c>
      <c r="G152" s="41" t="s">
        <v>885</v>
      </c>
      <c r="H152" s="41" t="s">
        <v>1036</v>
      </c>
    </row>
    <row r="153" spans="1:8" ht="15">
      <c r="A153" s="38">
        <v>152</v>
      </c>
      <c r="B153" s="39">
        <v>2</v>
      </c>
      <c r="C153" s="40">
        <v>1</v>
      </c>
      <c r="D153" s="39">
        <v>1102</v>
      </c>
      <c r="E153" s="38" t="str">
        <f t="shared" si="4"/>
        <v>24090505</v>
      </c>
      <c r="F153" s="38">
        <f t="shared" si="5"/>
        <v>1</v>
      </c>
      <c r="G153" s="41" t="s">
        <v>885</v>
      </c>
      <c r="H153" s="41" t="s">
        <v>1037</v>
      </c>
    </row>
    <row r="154" spans="1:8" ht="15">
      <c r="A154" s="38">
        <v>153</v>
      </c>
      <c r="B154" s="39">
        <v>2</v>
      </c>
      <c r="C154" s="40">
        <v>1</v>
      </c>
      <c r="D154" s="39">
        <v>1103</v>
      </c>
      <c r="E154" s="38" t="str">
        <f t="shared" si="4"/>
        <v>24090346</v>
      </c>
      <c r="F154" s="38">
        <f t="shared" si="5"/>
        <v>1</v>
      </c>
      <c r="G154" s="41" t="s">
        <v>885</v>
      </c>
      <c r="H154" s="41" t="s">
        <v>1038</v>
      </c>
    </row>
    <row r="155" spans="1:8" ht="15">
      <c r="A155" s="38">
        <v>154</v>
      </c>
      <c r="B155" s="39">
        <v>2</v>
      </c>
      <c r="C155" s="40">
        <v>1</v>
      </c>
      <c r="D155" s="39">
        <v>1104</v>
      </c>
      <c r="E155" s="38" t="str">
        <f t="shared" si="4"/>
        <v>24090377</v>
      </c>
      <c r="F155" s="38">
        <f t="shared" si="5"/>
        <v>1</v>
      </c>
      <c r="G155" s="41" t="s">
        <v>885</v>
      </c>
      <c r="H155" s="41" t="s">
        <v>1039</v>
      </c>
    </row>
    <row r="156" spans="1:8" ht="15">
      <c r="A156" s="38">
        <v>155</v>
      </c>
      <c r="B156" s="39">
        <v>2</v>
      </c>
      <c r="C156" s="40">
        <v>1</v>
      </c>
      <c r="D156" s="39">
        <v>1001</v>
      </c>
      <c r="E156" s="38" t="str">
        <f t="shared" si="4"/>
        <v>24090348</v>
      </c>
      <c r="F156" s="38">
        <f t="shared" si="5"/>
        <v>1</v>
      </c>
      <c r="G156" s="41" t="s">
        <v>885</v>
      </c>
      <c r="H156" s="41" t="s">
        <v>1040</v>
      </c>
    </row>
    <row r="157" spans="1:8" ht="15">
      <c r="A157" s="38">
        <v>156</v>
      </c>
      <c r="B157" s="39">
        <v>2</v>
      </c>
      <c r="C157" s="40">
        <v>1</v>
      </c>
      <c r="D157" s="39">
        <v>1002</v>
      </c>
      <c r="E157" s="38" t="str">
        <f t="shared" si="4"/>
        <v>24090510</v>
      </c>
      <c r="F157" s="38">
        <f t="shared" si="5"/>
        <v>1</v>
      </c>
      <c r="G157" s="41" t="s">
        <v>885</v>
      </c>
      <c r="H157" s="41" t="s">
        <v>1041</v>
      </c>
    </row>
    <row r="158" spans="1:8" ht="15">
      <c r="A158" s="38">
        <v>157</v>
      </c>
      <c r="B158" s="39">
        <v>2</v>
      </c>
      <c r="C158" s="40">
        <v>1</v>
      </c>
      <c r="D158" s="39">
        <v>1003</v>
      </c>
      <c r="E158" s="38" t="str">
        <f t="shared" si="4"/>
        <v>24090370</v>
      </c>
      <c r="F158" s="38">
        <f t="shared" si="5"/>
        <v>1</v>
      </c>
      <c r="G158" s="41" t="s">
        <v>885</v>
      </c>
      <c r="H158" s="41" t="s">
        <v>1042</v>
      </c>
    </row>
    <row r="159" spans="1:8" ht="15">
      <c r="A159" s="38">
        <v>158</v>
      </c>
      <c r="B159" s="39">
        <v>2</v>
      </c>
      <c r="C159" s="40">
        <v>1</v>
      </c>
      <c r="D159" s="39">
        <v>1004</v>
      </c>
      <c r="E159" s="38" t="str">
        <f t="shared" si="4"/>
        <v>24090509</v>
      </c>
      <c r="F159" s="38">
        <f t="shared" si="5"/>
        <v>1</v>
      </c>
      <c r="G159" s="41" t="s">
        <v>885</v>
      </c>
      <c r="H159" s="41" t="s">
        <v>1043</v>
      </c>
    </row>
    <row r="160" spans="1:8" ht="15">
      <c r="A160" s="38">
        <v>159</v>
      </c>
      <c r="B160" s="39">
        <v>2</v>
      </c>
      <c r="C160" s="40">
        <v>1</v>
      </c>
      <c r="D160" s="39">
        <v>901</v>
      </c>
      <c r="E160" s="38" t="str">
        <f t="shared" si="4"/>
        <v>24090388</v>
      </c>
      <c r="F160" s="38">
        <f t="shared" si="5"/>
        <v>0</v>
      </c>
      <c r="G160" s="41" t="s">
        <v>885</v>
      </c>
      <c r="H160" s="41" t="s">
        <v>1044</v>
      </c>
    </row>
    <row r="161" spans="1:8" ht="15">
      <c r="A161" s="38">
        <v>160</v>
      </c>
      <c r="B161" s="39">
        <v>2</v>
      </c>
      <c r="C161" s="40">
        <v>1</v>
      </c>
      <c r="D161" s="39">
        <v>902</v>
      </c>
      <c r="E161" s="38" t="str">
        <f t="shared" si="4"/>
        <v>24090359</v>
      </c>
      <c r="F161" s="38">
        <f t="shared" si="5"/>
        <v>0</v>
      </c>
      <c r="G161" s="41" t="s">
        <v>885</v>
      </c>
      <c r="H161" s="41" t="s">
        <v>1045</v>
      </c>
    </row>
    <row r="162" spans="1:8" ht="15">
      <c r="A162" s="38">
        <v>161</v>
      </c>
      <c r="B162" s="39">
        <v>2</v>
      </c>
      <c r="C162" s="40">
        <v>1</v>
      </c>
      <c r="D162" s="39">
        <v>903</v>
      </c>
      <c r="E162" s="38" t="str">
        <f t="shared" si="4"/>
        <v>24090484</v>
      </c>
      <c r="F162" s="38">
        <f t="shared" si="5"/>
        <v>0</v>
      </c>
      <c r="G162" s="41" t="s">
        <v>885</v>
      </c>
      <c r="H162" s="41" t="s">
        <v>1046</v>
      </c>
    </row>
    <row r="163" spans="1:8" ht="15">
      <c r="A163" s="38">
        <v>162</v>
      </c>
      <c r="B163" s="39">
        <v>2</v>
      </c>
      <c r="C163" s="40">
        <v>1</v>
      </c>
      <c r="D163" s="39">
        <v>904</v>
      </c>
      <c r="E163" s="38" t="str">
        <f t="shared" si="4"/>
        <v>24090457</v>
      </c>
      <c r="F163" s="38">
        <f t="shared" si="5"/>
        <v>0</v>
      </c>
      <c r="G163" s="41" t="s">
        <v>885</v>
      </c>
      <c r="H163" s="41" t="s">
        <v>1047</v>
      </c>
    </row>
    <row r="164" spans="1:8" ht="15">
      <c r="A164" s="38">
        <v>163</v>
      </c>
      <c r="B164" s="39">
        <v>2</v>
      </c>
      <c r="C164" s="40">
        <v>1</v>
      </c>
      <c r="D164" s="39">
        <v>801</v>
      </c>
      <c r="E164" s="38" t="str">
        <f t="shared" si="4"/>
        <v>24090440</v>
      </c>
      <c r="F164" s="38">
        <f t="shared" si="5"/>
        <v>0</v>
      </c>
      <c r="G164" s="41" t="s">
        <v>885</v>
      </c>
      <c r="H164" s="41" t="s">
        <v>1048</v>
      </c>
    </row>
    <row r="165" spans="1:8" ht="15">
      <c r="A165" s="38">
        <v>164</v>
      </c>
      <c r="B165" s="39">
        <v>2</v>
      </c>
      <c r="C165" s="40">
        <v>1</v>
      </c>
      <c r="D165" s="39">
        <v>802</v>
      </c>
      <c r="E165" s="38" t="str">
        <f t="shared" si="4"/>
        <v>24090415</v>
      </c>
      <c r="F165" s="38">
        <f t="shared" si="5"/>
        <v>0</v>
      </c>
      <c r="G165" s="41" t="s">
        <v>885</v>
      </c>
      <c r="H165" s="41" t="s">
        <v>1049</v>
      </c>
    </row>
    <row r="166" spans="1:8" ht="15">
      <c r="A166" s="38">
        <v>165</v>
      </c>
      <c r="B166" s="39">
        <v>2</v>
      </c>
      <c r="C166" s="40">
        <v>1</v>
      </c>
      <c r="D166" s="39">
        <v>803</v>
      </c>
      <c r="E166" s="38" t="str">
        <f t="shared" si="4"/>
        <v>24090424</v>
      </c>
      <c r="F166" s="38">
        <f t="shared" si="5"/>
        <v>0</v>
      </c>
      <c r="G166" s="41" t="s">
        <v>885</v>
      </c>
      <c r="H166" s="41" t="s">
        <v>1050</v>
      </c>
    </row>
    <row r="167" spans="1:8" ht="15">
      <c r="A167" s="38">
        <v>166</v>
      </c>
      <c r="B167" s="39">
        <v>2</v>
      </c>
      <c r="C167" s="40">
        <v>1</v>
      </c>
      <c r="D167" s="39">
        <v>804</v>
      </c>
      <c r="E167" s="38" t="str">
        <f t="shared" si="4"/>
        <v>24090497</v>
      </c>
      <c r="F167" s="38">
        <f t="shared" si="5"/>
        <v>0</v>
      </c>
      <c r="G167" s="41" t="s">
        <v>885</v>
      </c>
      <c r="H167" s="41" t="s">
        <v>1051</v>
      </c>
    </row>
    <row r="168" spans="1:8" ht="15">
      <c r="A168" s="38">
        <v>167</v>
      </c>
      <c r="B168" s="39">
        <v>2</v>
      </c>
      <c r="C168" s="40">
        <v>1</v>
      </c>
      <c r="D168" s="39">
        <v>701</v>
      </c>
      <c r="E168" s="38" t="str">
        <f t="shared" si="4"/>
        <v>24090491</v>
      </c>
      <c r="F168" s="38">
        <f t="shared" si="5"/>
        <v>0</v>
      </c>
      <c r="G168" s="41" t="s">
        <v>885</v>
      </c>
      <c r="H168" s="41" t="s">
        <v>1052</v>
      </c>
    </row>
    <row r="169" spans="1:8" ht="15">
      <c r="A169" s="38">
        <v>168</v>
      </c>
      <c r="B169" s="39">
        <v>2</v>
      </c>
      <c r="C169" s="40">
        <v>1</v>
      </c>
      <c r="D169" s="39">
        <v>702</v>
      </c>
      <c r="E169" s="38" t="str">
        <f t="shared" si="4"/>
        <v>24090402</v>
      </c>
      <c r="F169" s="38">
        <f t="shared" si="5"/>
        <v>0</v>
      </c>
      <c r="G169" s="41" t="s">
        <v>885</v>
      </c>
      <c r="H169" s="41" t="s">
        <v>1053</v>
      </c>
    </row>
    <row r="170" spans="1:8" ht="15">
      <c r="A170" s="38">
        <v>169</v>
      </c>
      <c r="B170" s="39">
        <v>2</v>
      </c>
      <c r="C170" s="40">
        <v>1</v>
      </c>
      <c r="D170" s="39">
        <v>703</v>
      </c>
      <c r="E170" s="38" t="str">
        <f t="shared" si="4"/>
        <v>24090480</v>
      </c>
      <c r="F170" s="38">
        <f t="shared" si="5"/>
        <v>0</v>
      </c>
      <c r="G170" s="41" t="s">
        <v>885</v>
      </c>
      <c r="H170" s="41" t="s">
        <v>1054</v>
      </c>
    </row>
    <row r="171" spans="1:8" ht="15">
      <c r="A171" s="38">
        <v>170</v>
      </c>
      <c r="B171" s="39">
        <v>2</v>
      </c>
      <c r="C171" s="40">
        <v>1</v>
      </c>
      <c r="D171" s="39">
        <v>704</v>
      </c>
      <c r="E171" s="38" t="str">
        <f t="shared" si="4"/>
        <v>24090463</v>
      </c>
      <c r="F171" s="38">
        <f t="shared" si="5"/>
        <v>0</v>
      </c>
      <c r="G171" s="41" t="s">
        <v>885</v>
      </c>
      <c r="H171" s="41" t="s">
        <v>1055</v>
      </c>
    </row>
    <row r="172" spans="1:8" ht="15">
      <c r="A172" s="38">
        <v>171</v>
      </c>
      <c r="B172" s="39">
        <v>2</v>
      </c>
      <c r="C172" s="40">
        <v>1</v>
      </c>
      <c r="D172" s="39">
        <v>601</v>
      </c>
      <c r="E172" s="38" t="str">
        <f t="shared" si="4"/>
        <v>24090344</v>
      </c>
      <c r="F172" s="38">
        <f t="shared" si="5"/>
        <v>0</v>
      </c>
      <c r="G172" s="41" t="s">
        <v>885</v>
      </c>
      <c r="H172" s="41" t="s">
        <v>1056</v>
      </c>
    </row>
    <row r="173" spans="1:8" ht="15">
      <c r="A173" s="38">
        <v>172</v>
      </c>
      <c r="B173" s="39">
        <v>2</v>
      </c>
      <c r="C173" s="40">
        <v>1</v>
      </c>
      <c r="D173" s="39">
        <v>602</v>
      </c>
      <c r="E173" s="38" t="str">
        <f t="shared" si="4"/>
        <v>24090362</v>
      </c>
      <c r="F173" s="38">
        <f t="shared" si="5"/>
        <v>0</v>
      </c>
      <c r="G173" s="41" t="s">
        <v>885</v>
      </c>
      <c r="H173" s="41" t="s">
        <v>1057</v>
      </c>
    </row>
    <row r="174" spans="1:8" ht="15">
      <c r="A174" s="38">
        <v>173</v>
      </c>
      <c r="B174" s="39">
        <v>2</v>
      </c>
      <c r="C174" s="40">
        <v>1</v>
      </c>
      <c r="D174" s="39">
        <v>603</v>
      </c>
      <c r="E174" s="38" t="str">
        <f t="shared" si="4"/>
        <v>24090393</v>
      </c>
      <c r="F174" s="38">
        <f t="shared" si="5"/>
        <v>0</v>
      </c>
      <c r="G174" s="41" t="s">
        <v>885</v>
      </c>
      <c r="H174" s="41" t="s">
        <v>1058</v>
      </c>
    </row>
    <row r="175" spans="1:8" ht="15">
      <c r="A175" s="38">
        <v>174</v>
      </c>
      <c r="B175" s="39">
        <v>2</v>
      </c>
      <c r="C175" s="40">
        <v>1</v>
      </c>
      <c r="D175" s="39">
        <v>604</v>
      </c>
      <c r="E175" s="38" t="str">
        <f t="shared" si="4"/>
        <v>24090365</v>
      </c>
      <c r="F175" s="38">
        <f t="shared" si="5"/>
        <v>0</v>
      </c>
      <c r="G175" s="41" t="s">
        <v>885</v>
      </c>
      <c r="H175" s="41" t="s">
        <v>1059</v>
      </c>
    </row>
    <row r="176" spans="1:8" ht="15">
      <c r="A176" s="38">
        <v>175</v>
      </c>
      <c r="B176" s="39">
        <v>2</v>
      </c>
      <c r="C176" s="40">
        <v>1</v>
      </c>
      <c r="D176" s="39">
        <v>2301</v>
      </c>
      <c r="E176" s="38" t="str">
        <f t="shared" si="4"/>
        <v>24090420</v>
      </c>
      <c r="F176" s="38">
        <f t="shared" si="5"/>
        <v>2</v>
      </c>
      <c r="G176" s="41" t="s">
        <v>885</v>
      </c>
      <c r="H176" s="41" t="s">
        <v>1060</v>
      </c>
    </row>
    <row r="177" spans="1:8" ht="15">
      <c r="A177" s="38">
        <v>176</v>
      </c>
      <c r="B177" s="39">
        <v>2</v>
      </c>
      <c r="C177" s="40">
        <v>1</v>
      </c>
      <c r="D177" s="39">
        <v>2302</v>
      </c>
      <c r="E177" s="38" t="str">
        <f t="shared" si="4"/>
        <v>24090451</v>
      </c>
      <c r="F177" s="38">
        <f t="shared" si="5"/>
        <v>2</v>
      </c>
      <c r="G177" s="41" t="s">
        <v>885</v>
      </c>
      <c r="H177" s="41" t="s">
        <v>1061</v>
      </c>
    </row>
    <row r="178" spans="1:8" ht="15">
      <c r="A178" s="38">
        <v>177</v>
      </c>
      <c r="B178" s="39">
        <v>2</v>
      </c>
      <c r="C178" s="40">
        <v>1</v>
      </c>
      <c r="D178" s="39">
        <v>2303</v>
      </c>
      <c r="E178" s="38" t="str">
        <f t="shared" si="4"/>
        <v>24090478</v>
      </c>
      <c r="F178" s="38">
        <f t="shared" si="5"/>
        <v>2</v>
      </c>
      <c r="G178" s="41" t="s">
        <v>885</v>
      </c>
      <c r="H178" s="41" t="s">
        <v>1062</v>
      </c>
    </row>
    <row r="179" spans="1:8" ht="15">
      <c r="A179" s="38">
        <v>178</v>
      </c>
      <c r="B179" s="39">
        <v>2</v>
      </c>
      <c r="C179" s="40">
        <v>1</v>
      </c>
      <c r="D179" s="39">
        <v>2304</v>
      </c>
      <c r="E179" s="38" t="str">
        <f t="shared" si="4"/>
        <v>24090482</v>
      </c>
      <c r="F179" s="38">
        <f t="shared" si="5"/>
        <v>2</v>
      </c>
      <c r="G179" s="41" t="s">
        <v>885</v>
      </c>
      <c r="H179" s="41" t="s">
        <v>1063</v>
      </c>
    </row>
    <row r="180" spans="1:8" ht="15">
      <c r="A180" s="38">
        <v>179</v>
      </c>
      <c r="B180" s="39">
        <v>2</v>
      </c>
      <c r="C180" s="40">
        <v>1</v>
      </c>
      <c r="D180" s="39">
        <v>2201</v>
      </c>
      <c r="E180" s="38" t="str">
        <f t="shared" si="4"/>
        <v>24090453</v>
      </c>
      <c r="F180" s="38">
        <f t="shared" si="5"/>
        <v>2</v>
      </c>
      <c r="G180" s="41" t="s">
        <v>885</v>
      </c>
      <c r="H180" s="41" t="s">
        <v>1064</v>
      </c>
    </row>
    <row r="181" spans="1:8" ht="15">
      <c r="A181" s="38">
        <v>180</v>
      </c>
      <c r="B181" s="39">
        <v>2</v>
      </c>
      <c r="C181" s="40">
        <v>1</v>
      </c>
      <c r="D181" s="39">
        <v>2202</v>
      </c>
      <c r="E181" s="38" t="str">
        <f t="shared" si="4"/>
        <v>24090464</v>
      </c>
      <c r="F181" s="38">
        <f t="shared" si="5"/>
        <v>2</v>
      </c>
      <c r="G181" s="41" t="s">
        <v>885</v>
      </c>
      <c r="H181" s="41" t="s">
        <v>1065</v>
      </c>
    </row>
    <row r="182" spans="1:8" ht="15">
      <c r="A182" s="38">
        <v>181</v>
      </c>
      <c r="B182" s="39">
        <v>2</v>
      </c>
      <c r="C182" s="40">
        <v>1</v>
      </c>
      <c r="D182" s="39">
        <v>2203</v>
      </c>
      <c r="E182" s="38" t="str">
        <f t="shared" si="4"/>
        <v>24090476</v>
      </c>
      <c r="F182" s="38">
        <f t="shared" si="5"/>
        <v>2</v>
      </c>
      <c r="G182" s="41" t="s">
        <v>885</v>
      </c>
      <c r="H182" s="41" t="s">
        <v>1066</v>
      </c>
    </row>
    <row r="183" spans="1:8" ht="15">
      <c r="A183" s="38">
        <v>182</v>
      </c>
      <c r="B183" s="39">
        <v>2</v>
      </c>
      <c r="C183" s="40">
        <v>1</v>
      </c>
      <c r="D183" s="39">
        <v>2204</v>
      </c>
      <c r="E183" s="38" t="str">
        <f t="shared" si="4"/>
        <v>24090412</v>
      </c>
      <c r="F183" s="38">
        <f t="shared" si="5"/>
        <v>2</v>
      </c>
      <c r="G183" s="41" t="s">
        <v>885</v>
      </c>
      <c r="H183" s="41" t="s">
        <v>1067</v>
      </c>
    </row>
    <row r="184" spans="1:8" ht="15">
      <c r="A184" s="38">
        <v>183</v>
      </c>
      <c r="B184" s="39">
        <v>2</v>
      </c>
      <c r="C184" s="40">
        <v>1</v>
      </c>
      <c r="D184" s="39">
        <v>2101</v>
      </c>
      <c r="E184" s="38" t="str">
        <f t="shared" si="4"/>
        <v>24090380</v>
      </c>
      <c r="F184" s="38">
        <f t="shared" si="5"/>
        <v>2</v>
      </c>
      <c r="G184" s="41" t="s">
        <v>885</v>
      </c>
      <c r="H184" s="41" t="s">
        <v>1068</v>
      </c>
    </row>
    <row r="185" spans="1:8" ht="15">
      <c r="A185" s="38">
        <v>184</v>
      </c>
      <c r="B185" s="39">
        <v>2</v>
      </c>
      <c r="C185" s="40">
        <v>1</v>
      </c>
      <c r="D185" s="39">
        <v>2102</v>
      </c>
      <c r="E185" s="38" t="str">
        <f t="shared" si="4"/>
        <v>24090410</v>
      </c>
      <c r="F185" s="38">
        <f t="shared" si="5"/>
        <v>2</v>
      </c>
      <c r="G185" s="41" t="s">
        <v>885</v>
      </c>
      <c r="H185" s="41" t="s">
        <v>1069</v>
      </c>
    </row>
    <row r="186" spans="1:8" ht="15">
      <c r="A186" s="38">
        <v>185</v>
      </c>
      <c r="B186" s="39">
        <v>2</v>
      </c>
      <c r="C186" s="40">
        <v>1</v>
      </c>
      <c r="D186" s="39">
        <v>2103</v>
      </c>
      <c r="E186" s="38" t="str">
        <f t="shared" si="4"/>
        <v>24090392</v>
      </c>
      <c r="F186" s="38">
        <f t="shared" si="5"/>
        <v>2</v>
      </c>
      <c r="G186" s="41" t="s">
        <v>885</v>
      </c>
      <c r="H186" s="41" t="s">
        <v>1070</v>
      </c>
    </row>
    <row r="187" spans="1:8" ht="15">
      <c r="A187" s="38">
        <v>186</v>
      </c>
      <c r="B187" s="39">
        <v>2</v>
      </c>
      <c r="C187" s="40">
        <v>1</v>
      </c>
      <c r="D187" s="39">
        <v>2104</v>
      </c>
      <c r="E187" s="38" t="str">
        <f t="shared" si="4"/>
        <v>24090522</v>
      </c>
      <c r="F187" s="38">
        <f t="shared" si="5"/>
        <v>2</v>
      </c>
      <c r="G187" s="41" t="s">
        <v>885</v>
      </c>
      <c r="H187" s="41" t="s">
        <v>1071</v>
      </c>
    </row>
    <row r="188" spans="1:8" ht="15">
      <c r="A188" s="38">
        <v>187</v>
      </c>
      <c r="B188" s="39">
        <v>2</v>
      </c>
      <c r="C188" s="40">
        <v>1</v>
      </c>
      <c r="D188" s="39">
        <v>2001</v>
      </c>
      <c r="E188" s="38" t="str">
        <f t="shared" si="4"/>
        <v>24090391</v>
      </c>
      <c r="F188" s="38">
        <f t="shared" si="5"/>
        <v>2</v>
      </c>
      <c r="G188" s="41" t="s">
        <v>885</v>
      </c>
      <c r="H188" s="41" t="s">
        <v>1072</v>
      </c>
    </row>
    <row r="189" spans="1:8" ht="15">
      <c r="A189" s="38">
        <v>188</v>
      </c>
      <c r="B189" s="39">
        <v>2</v>
      </c>
      <c r="C189" s="40">
        <v>1</v>
      </c>
      <c r="D189" s="39">
        <v>2002</v>
      </c>
      <c r="E189" s="38" t="str">
        <f t="shared" si="4"/>
        <v>24090379</v>
      </c>
      <c r="F189" s="38">
        <f t="shared" si="5"/>
        <v>2</v>
      </c>
      <c r="G189" s="41" t="s">
        <v>885</v>
      </c>
      <c r="H189" s="41" t="s">
        <v>1073</v>
      </c>
    </row>
    <row r="190" spans="1:8" ht="15">
      <c r="A190" s="38">
        <v>189</v>
      </c>
      <c r="B190" s="39">
        <v>2</v>
      </c>
      <c r="C190" s="40">
        <v>1</v>
      </c>
      <c r="D190" s="39">
        <v>2003</v>
      </c>
      <c r="E190" s="38" t="str">
        <f t="shared" si="4"/>
        <v>24090532</v>
      </c>
      <c r="F190" s="38">
        <f t="shared" si="5"/>
        <v>2</v>
      </c>
      <c r="G190" s="41" t="s">
        <v>885</v>
      </c>
      <c r="H190" s="41" t="s">
        <v>1074</v>
      </c>
    </row>
    <row r="191" spans="1:8" ht="15">
      <c r="A191" s="38">
        <v>190</v>
      </c>
      <c r="B191" s="39">
        <v>2</v>
      </c>
      <c r="C191" s="40">
        <v>1</v>
      </c>
      <c r="D191" s="39">
        <v>2004</v>
      </c>
      <c r="E191" s="38" t="str">
        <f t="shared" si="4"/>
        <v>24090438</v>
      </c>
      <c r="F191" s="38">
        <f t="shared" si="5"/>
        <v>2</v>
      </c>
      <c r="G191" s="41" t="s">
        <v>885</v>
      </c>
      <c r="H191" s="41" t="s">
        <v>1075</v>
      </c>
    </row>
    <row r="192" spans="1:8" ht="15">
      <c r="A192" s="38">
        <v>191</v>
      </c>
      <c r="B192" s="39">
        <v>2</v>
      </c>
      <c r="C192" s="40">
        <v>1</v>
      </c>
      <c r="D192" s="39">
        <v>1901</v>
      </c>
      <c r="E192" s="38" t="str">
        <f t="shared" si="4"/>
        <v>24090343</v>
      </c>
      <c r="F192" s="38">
        <f t="shared" si="5"/>
        <v>1</v>
      </c>
      <c r="G192" s="41" t="s">
        <v>885</v>
      </c>
      <c r="H192" s="41" t="s">
        <v>1076</v>
      </c>
    </row>
    <row r="193" spans="1:8" ht="15">
      <c r="A193" s="38">
        <v>192</v>
      </c>
      <c r="B193" s="39">
        <v>2</v>
      </c>
      <c r="C193" s="40">
        <v>1</v>
      </c>
      <c r="D193" s="39">
        <v>1902</v>
      </c>
      <c r="E193" s="38" t="str">
        <f t="shared" si="4"/>
        <v>24090407</v>
      </c>
      <c r="F193" s="38">
        <f t="shared" si="5"/>
        <v>1</v>
      </c>
      <c r="G193" s="41" t="s">
        <v>885</v>
      </c>
      <c r="H193" s="41" t="s">
        <v>1077</v>
      </c>
    </row>
    <row r="194" spans="1:8" ht="15">
      <c r="A194" s="38">
        <v>193</v>
      </c>
      <c r="B194" s="39">
        <v>2</v>
      </c>
      <c r="C194" s="40">
        <v>1</v>
      </c>
      <c r="D194" s="39">
        <v>1903</v>
      </c>
      <c r="E194" s="38" t="str">
        <f t="shared" si="4"/>
        <v>24090475</v>
      </c>
      <c r="F194" s="38">
        <f t="shared" si="5"/>
        <v>1</v>
      </c>
      <c r="G194" s="41" t="s">
        <v>885</v>
      </c>
      <c r="H194" s="41" t="s">
        <v>1078</v>
      </c>
    </row>
    <row r="195" spans="1:8" ht="15">
      <c r="A195" s="38">
        <v>194</v>
      </c>
      <c r="B195" s="39">
        <v>2</v>
      </c>
      <c r="C195" s="40">
        <v>1</v>
      </c>
      <c r="D195" s="39">
        <v>1904</v>
      </c>
      <c r="E195" s="38" t="str">
        <f t="shared" ref="E195:E449" si="6">G195&amp;H195</f>
        <v>24090360</v>
      </c>
      <c r="F195" s="38">
        <f t="shared" ref="F195:F258" si="7">IFERROR(IF(VALUE(LEFT(D195,LEN(D195)-2))&lt;10,0,IF(VALUE(LEFT(D195,LEN(D195)-2))&lt;20,1,2)),D195)</f>
        <v>1</v>
      </c>
      <c r="G195" s="41" t="s">
        <v>885</v>
      </c>
      <c r="H195" s="41" t="s">
        <v>1079</v>
      </c>
    </row>
    <row r="196" spans="1:8" ht="15">
      <c r="A196" s="38">
        <v>195</v>
      </c>
      <c r="B196" s="39">
        <v>2</v>
      </c>
      <c r="C196" s="40">
        <v>1</v>
      </c>
      <c r="D196" s="39">
        <v>1801</v>
      </c>
      <c r="E196" s="38" t="str">
        <f t="shared" si="6"/>
        <v>24090386</v>
      </c>
      <c r="F196" s="38">
        <f t="shared" si="7"/>
        <v>1</v>
      </c>
      <c r="G196" s="41" t="s">
        <v>885</v>
      </c>
      <c r="H196" s="41" t="s">
        <v>1080</v>
      </c>
    </row>
    <row r="197" spans="1:8" ht="15">
      <c r="A197" s="38">
        <v>196</v>
      </c>
      <c r="B197" s="39">
        <v>2</v>
      </c>
      <c r="C197" s="40">
        <v>1</v>
      </c>
      <c r="D197" s="39">
        <v>1802</v>
      </c>
      <c r="E197" s="38" t="str">
        <f t="shared" si="6"/>
        <v>24090523</v>
      </c>
      <c r="F197" s="38">
        <f t="shared" si="7"/>
        <v>1</v>
      </c>
      <c r="G197" s="41" t="s">
        <v>885</v>
      </c>
      <c r="H197" s="41" t="s">
        <v>1081</v>
      </c>
    </row>
    <row r="198" spans="1:8" ht="15">
      <c r="A198" s="38">
        <v>197</v>
      </c>
      <c r="B198" s="39">
        <v>2</v>
      </c>
      <c r="C198" s="40">
        <v>1</v>
      </c>
      <c r="D198" s="39">
        <v>1803</v>
      </c>
      <c r="E198" s="38" t="str">
        <f t="shared" si="6"/>
        <v>24090397</v>
      </c>
      <c r="F198" s="38">
        <f t="shared" si="7"/>
        <v>1</v>
      </c>
      <c r="G198" s="41" t="s">
        <v>885</v>
      </c>
      <c r="H198" s="41" t="s">
        <v>1082</v>
      </c>
    </row>
    <row r="199" spans="1:8" ht="15">
      <c r="A199" s="38">
        <v>198</v>
      </c>
      <c r="B199" s="39">
        <v>2</v>
      </c>
      <c r="C199" s="40">
        <v>1</v>
      </c>
      <c r="D199" s="39">
        <v>1804</v>
      </c>
      <c r="E199" s="38" t="str">
        <f t="shared" si="6"/>
        <v>24090529</v>
      </c>
      <c r="F199" s="38">
        <f t="shared" si="7"/>
        <v>1</v>
      </c>
      <c r="G199" s="41" t="s">
        <v>885</v>
      </c>
      <c r="H199" s="41" t="s">
        <v>1083</v>
      </c>
    </row>
    <row r="200" spans="1:8" ht="15">
      <c r="A200" s="38">
        <v>199</v>
      </c>
      <c r="B200" s="39">
        <v>3</v>
      </c>
      <c r="C200" s="40">
        <v>1</v>
      </c>
      <c r="D200" s="39">
        <v>1801</v>
      </c>
      <c r="E200" s="38" t="str">
        <f t="shared" si="6"/>
        <v>24091867</v>
      </c>
      <c r="F200" s="38">
        <f t="shared" si="7"/>
        <v>1</v>
      </c>
      <c r="G200" s="41" t="s">
        <v>885</v>
      </c>
      <c r="H200" s="41" t="s">
        <v>1084</v>
      </c>
    </row>
    <row r="201" spans="1:8" ht="15">
      <c r="A201" s="38">
        <v>200</v>
      </c>
      <c r="B201" s="39">
        <v>3</v>
      </c>
      <c r="C201" s="40">
        <v>1</v>
      </c>
      <c r="D201" s="39">
        <v>1802</v>
      </c>
      <c r="E201" s="38" t="str">
        <f t="shared" si="6"/>
        <v>24092109</v>
      </c>
      <c r="F201" s="38">
        <f t="shared" si="7"/>
        <v>1</v>
      </c>
      <c r="G201" s="41" t="s">
        <v>885</v>
      </c>
      <c r="H201" s="41" t="s">
        <v>1085</v>
      </c>
    </row>
    <row r="202" spans="1:8" ht="15">
      <c r="A202" s="38">
        <v>201</v>
      </c>
      <c r="B202" s="39">
        <v>3</v>
      </c>
      <c r="C202" s="40">
        <v>1</v>
      </c>
      <c r="D202" s="39">
        <v>1803</v>
      </c>
      <c r="E202" s="38" t="str">
        <f t="shared" si="6"/>
        <v>24091864</v>
      </c>
      <c r="F202" s="38">
        <f t="shared" si="7"/>
        <v>1</v>
      </c>
      <c r="G202" s="41" t="s">
        <v>885</v>
      </c>
      <c r="H202" s="41" t="s">
        <v>1086</v>
      </c>
    </row>
    <row r="203" spans="1:8" ht="15">
      <c r="A203" s="38">
        <v>202</v>
      </c>
      <c r="B203" s="39">
        <v>3</v>
      </c>
      <c r="C203" s="40">
        <v>1</v>
      </c>
      <c r="D203" s="39">
        <v>1804</v>
      </c>
      <c r="E203" s="38" t="str">
        <f t="shared" si="6"/>
        <v>24092103</v>
      </c>
      <c r="F203" s="38">
        <f t="shared" si="7"/>
        <v>1</v>
      </c>
      <c r="G203" s="41" t="s">
        <v>885</v>
      </c>
      <c r="H203" s="41" t="s">
        <v>1087</v>
      </c>
    </row>
    <row r="204" spans="1:8" ht="15">
      <c r="A204" s="38">
        <v>203</v>
      </c>
      <c r="B204" s="39">
        <v>3</v>
      </c>
      <c r="C204" s="40">
        <v>1</v>
      </c>
      <c r="D204" s="39">
        <v>1701</v>
      </c>
      <c r="E204" s="38" t="str">
        <f t="shared" si="6"/>
        <v>24092101</v>
      </c>
      <c r="F204" s="38">
        <f t="shared" si="7"/>
        <v>1</v>
      </c>
      <c r="G204" s="41" t="s">
        <v>885</v>
      </c>
      <c r="H204" s="41" t="s">
        <v>1088</v>
      </c>
    </row>
    <row r="205" spans="1:8" ht="15">
      <c r="A205" s="38">
        <v>204</v>
      </c>
      <c r="B205" s="39">
        <v>3</v>
      </c>
      <c r="C205" s="40">
        <v>1</v>
      </c>
      <c r="D205" s="39">
        <v>1702</v>
      </c>
      <c r="E205" s="38" t="str">
        <f t="shared" si="6"/>
        <v>24091908</v>
      </c>
      <c r="F205" s="38">
        <f t="shared" si="7"/>
        <v>1</v>
      </c>
      <c r="G205" s="41" t="s">
        <v>885</v>
      </c>
      <c r="H205" s="41" t="s">
        <v>1089</v>
      </c>
    </row>
    <row r="206" spans="1:8" ht="15">
      <c r="A206" s="38">
        <v>205</v>
      </c>
      <c r="B206" s="39">
        <v>3</v>
      </c>
      <c r="C206" s="40">
        <v>1</v>
      </c>
      <c r="D206" s="39">
        <v>1703</v>
      </c>
      <c r="E206" s="38" t="str">
        <f t="shared" si="6"/>
        <v>24091862</v>
      </c>
      <c r="F206" s="38">
        <f t="shared" si="7"/>
        <v>1</v>
      </c>
      <c r="G206" s="41" t="s">
        <v>885</v>
      </c>
      <c r="H206" s="41" t="s">
        <v>1090</v>
      </c>
    </row>
    <row r="207" spans="1:8" ht="15">
      <c r="A207" s="38">
        <v>206</v>
      </c>
      <c r="B207" s="39">
        <v>3</v>
      </c>
      <c r="C207" s="40">
        <v>1</v>
      </c>
      <c r="D207" s="39">
        <v>1704</v>
      </c>
      <c r="E207" s="38" t="str">
        <f t="shared" si="6"/>
        <v>24092131</v>
      </c>
      <c r="F207" s="38">
        <f t="shared" si="7"/>
        <v>1</v>
      </c>
      <c r="G207" s="41" t="s">
        <v>885</v>
      </c>
      <c r="H207" s="41" t="s">
        <v>1091</v>
      </c>
    </row>
    <row r="208" spans="1:8" ht="15">
      <c r="A208" s="38">
        <v>207</v>
      </c>
      <c r="B208" s="39">
        <v>3</v>
      </c>
      <c r="C208" s="40">
        <v>1</v>
      </c>
      <c r="D208" s="39">
        <v>1601</v>
      </c>
      <c r="E208" s="38" t="str">
        <f t="shared" si="6"/>
        <v>24091906</v>
      </c>
      <c r="F208" s="38">
        <f t="shared" si="7"/>
        <v>1</v>
      </c>
      <c r="G208" s="41" t="s">
        <v>885</v>
      </c>
      <c r="H208" s="41" t="s">
        <v>1092</v>
      </c>
    </row>
    <row r="209" spans="1:8" ht="15">
      <c r="A209" s="38">
        <v>208</v>
      </c>
      <c r="B209" s="39">
        <v>3</v>
      </c>
      <c r="C209" s="40">
        <v>1</v>
      </c>
      <c r="D209" s="39">
        <v>1602</v>
      </c>
      <c r="E209" s="38" t="str">
        <f t="shared" si="6"/>
        <v>24091910</v>
      </c>
      <c r="F209" s="38">
        <f t="shared" si="7"/>
        <v>1</v>
      </c>
      <c r="G209" s="41" t="s">
        <v>885</v>
      </c>
      <c r="H209" s="41" t="s">
        <v>1093</v>
      </c>
    </row>
    <row r="210" spans="1:8" ht="15">
      <c r="A210" s="38">
        <v>209</v>
      </c>
      <c r="B210" s="39">
        <v>3</v>
      </c>
      <c r="C210" s="40">
        <v>1</v>
      </c>
      <c r="D210" s="39">
        <v>1603</v>
      </c>
      <c r="E210" s="38" t="str">
        <f t="shared" si="6"/>
        <v>24092565</v>
      </c>
      <c r="F210" s="38">
        <f t="shared" si="7"/>
        <v>1</v>
      </c>
      <c r="G210" s="41" t="s">
        <v>885</v>
      </c>
      <c r="H210" s="41" t="s">
        <v>1094</v>
      </c>
    </row>
    <row r="211" spans="1:8" ht="15">
      <c r="A211" s="38">
        <v>210</v>
      </c>
      <c r="B211" s="39">
        <v>3</v>
      </c>
      <c r="C211" s="40">
        <v>1</v>
      </c>
      <c r="D211" s="39">
        <v>1604</v>
      </c>
      <c r="E211" s="38" t="str">
        <f t="shared" si="6"/>
        <v>24092411</v>
      </c>
      <c r="F211" s="38">
        <f t="shared" si="7"/>
        <v>1</v>
      </c>
      <c r="G211" s="41" t="s">
        <v>885</v>
      </c>
      <c r="H211" s="41" t="s">
        <v>1095</v>
      </c>
    </row>
    <row r="212" spans="1:8" ht="15">
      <c r="A212" s="38">
        <v>211</v>
      </c>
      <c r="B212" s="39">
        <v>3</v>
      </c>
      <c r="C212" s="40">
        <v>1</v>
      </c>
      <c r="D212" s="39">
        <v>1501</v>
      </c>
      <c r="E212" s="38" t="str">
        <f t="shared" si="6"/>
        <v>24092594</v>
      </c>
      <c r="F212" s="38">
        <f t="shared" si="7"/>
        <v>1</v>
      </c>
      <c r="G212" s="41" t="s">
        <v>885</v>
      </c>
      <c r="H212" s="41" t="s">
        <v>1096</v>
      </c>
    </row>
    <row r="213" spans="1:8" ht="15">
      <c r="A213" s="38">
        <v>212</v>
      </c>
      <c r="B213" s="39">
        <v>3</v>
      </c>
      <c r="C213" s="40">
        <v>1</v>
      </c>
      <c r="D213" s="39">
        <v>1502</v>
      </c>
      <c r="E213" s="38" t="str">
        <f t="shared" si="6"/>
        <v>24092600</v>
      </c>
      <c r="F213" s="38">
        <f t="shared" si="7"/>
        <v>1</v>
      </c>
      <c r="G213" s="41" t="s">
        <v>885</v>
      </c>
      <c r="H213" s="41" t="s">
        <v>1097</v>
      </c>
    </row>
    <row r="214" spans="1:8" ht="15">
      <c r="A214" s="38">
        <v>213</v>
      </c>
      <c r="B214" s="39">
        <v>3</v>
      </c>
      <c r="C214" s="40">
        <v>1</v>
      </c>
      <c r="D214" s="39">
        <v>1503</v>
      </c>
      <c r="E214" s="38" t="str">
        <f t="shared" si="6"/>
        <v>24092595</v>
      </c>
      <c r="F214" s="38">
        <f t="shared" si="7"/>
        <v>1</v>
      </c>
      <c r="G214" s="41" t="s">
        <v>885</v>
      </c>
      <c r="H214" s="41" t="s">
        <v>1098</v>
      </c>
    </row>
    <row r="215" spans="1:8" ht="15">
      <c r="A215" s="38">
        <v>214</v>
      </c>
      <c r="B215" s="39">
        <v>3</v>
      </c>
      <c r="C215" s="40">
        <v>1</v>
      </c>
      <c r="D215" s="39">
        <v>1504</v>
      </c>
      <c r="E215" s="38" t="str">
        <f t="shared" si="6"/>
        <v>24092597</v>
      </c>
      <c r="F215" s="38">
        <f t="shared" si="7"/>
        <v>1</v>
      </c>
      <c r="G215" s="41" t="s">
        <v>885</v>
      </c>
      <c r="H215" s="41" t="s">
        <v>1099</v>
      </c>
    </row>
    <row r="216" spans="1:8" ht="15">
      <c r="A216" s="38">
        <v>215</v>
      </c>
      <c r="B216" s="39">
        <v>3</v>
      </c>
      <c r="C216" s="40">
        <v>1</v>
      </c>
      <c r="D216" s="39">
        <v>1401</v>
      </c>
      <c r="E216" s="38" t="str">
        <f t="shared" si="6"/>
        <v>24092570</v>
      </c>
      <c r="F216" s="38">
        <f t="shared" si="7"/>
        <v>1</v>
      </c>
      <c r="G216" s="41" t="s">
        <v>885</v>
      </c>
      <c r="H216" s="41" t="s">
        <v>1100</v>
      </c>
    </row>
    <row r="217" spans="1:8" ht="15">
      <c r="A217" s="38">
        <v>216</v>
      </c>
      <c r="B217" s="39">
        <v>3</v>
      </c>
      <c r="C217" s="40">
        <v>1</v>
      </c>
      <c r="D217" s="39">
        <v>1402</v>
      </c>
      <c r="E217" s="38" t="str">
        <f t="shared" si="6"/>
        <v>24092617</v>
      </c>
      <c r="F217" s="38">
        <f t="shared" si="7"/>
        <v>1</v>
      </c>
      <c r="G217" s="41" t="s">
        <v>885</v>
      </c>
      <c r="H217" s="41" t="s">
        <v>1101</v>
      </c>
    </row>
    <row r="218" spans="1:8" ht="15">
      <c r="A218" s="38">
        <v>217</v>
      </c>
      <c r="B218" s="39">
        <v>3</v>
      </c>
      <c r="C218" s="40">
        <v>1</v>
      </c>
      <c r="D218" s="39">
        <v>1403</v>
      </c>
      <c r="E218" s="38" t="str">
        <f t="shared" si="6"/>
        <v>24092377</v>
      </c>
      <c r="F218" s="38">
        <f t="shared" si="7"/>
        <v>1</v>
      </c>
      <c r="G218" s="41" t="s">
        <v>885</v>
      </c>
      <c r="H218" s="41" t="s">
        <v>1102</v>
      </c>
    </row>
    <row r="219" spans="1:8" ht="15">
      <c r="A219" s="38">
        <v>218</v>
      </c>
      <c r="B219" s="39">
        <v>3</v>
      </c>
      <c r="C219" s="40">
        <v>1</v>
      </c>
      <c r="D219" s="39">
        <v>1404</v>
      </c>
      <c r="E219" s="38" t="str">
        <f t="shared" si="6"/>
        <v>24092416</v>
      </c>
      <c r="F219" s="38">
        <f t="shared" si="7"/>
        <v>1</v>
      </c>
      <c r="G219" s="41" t="s">
        <v>885</v>
      </c>
      <c r="H219" s="41" t="s">
        <v>1103</v>
      </c>
    </row>
    <row r="220" spans="1:8" ht="15">
      <c r="A220" s="38">
        <v>219</v>
      </c>
      <c r="B220" s="39">
        <v>3</v>
      </c>
      <c r="C220" s="40">
        <v>1</v>
      </c>
      <c r="D220" s="39">
        <v>1301</v>
      </c>
      <c r="E220" s="38" t="str">
        <f t="shared" si="6"/>
        <v>24092391</v>
      </c>
      <c r="F220" s="38">
        <f t="shared" si="7"/>
        <v>1</v>
      </c>
      <c r="G220" s="41" t="s">
        <v>885</v>
      </c>
      <c r="H220" s="41" t="s">
        <v>1104</v>
      </c>
    </row>
    <row r="221" spans="1:8" ht="15">
      <c r="A221" s="38">
        <v>220</v>
      </c>
      <c r="B221" s="39">
        <v>3</v>
      </c>
      <c r="C221" s="40">
        <v>1</v>
      </c>
      <c r="D221" s="39">
        <v>1302</v>
      </c>
      <c r="E221" s="38" t="str">
        <f t="shared" si="6"/>
        <v>24092484</v>
      </c>
      <c r="F221" s="38">
        <f t="shared" si="7"/>
        <v>1</v>
      </c>
      <c r="G221" s="41" t="s">
        <v>885</v>
      </c>
      <c r="H221" s="41" t="s">
        <v>1105</v>
      </c>
    </row>
    <row r="222" spans="1:8" ht="15">
      <c r="A222" s="38">
        <v>221</v>
      </c>
      <c r="B222" s="39">
        <v>3</v>
      </c>
      <c r="C222" s="40">
        <v>1</v>
      </c>
      <c r="D222" s="39">
        <v>1303</v>
      </c>
      <c r="E222" s="38" t="str">
        <f t="shared" si="6"/>
        <v>24092442</v>
      </c>
      <c r="F222" s="38">
        <f t="shared" si="7"/>
        <v>1</v>
      </c>
      <c r="G222" s="41" t="s">
        <v>885</v>
      </c>
      <c r="H222" s="41" t="s">
        <v>1106</v>
      </c>
    </row>
    <row r="223" spans="1:8" ht="15">
      <c r="A223" s="38">
        <v>222</v>
      </c>
      <c r="B223" s="39">
        <v>3</v>
      </c>
      <c r="C223" s="40">
        <v>1</v>
      </c>
      <c r="D223" s="39">
        <v>1304</v>
      </c>
      <c r="E223" s="38" t="str">
        <f t="shared" si="6"/>
        <v>24092625</v>
      </c>
      <c r="F223" s="38">
        <f t="shared" si="7"/>
        <v>1</v>
      </c>
      <c r="G223" s="41" t="s">
        <v>885</v>
      </c>
      <c r="H223" s="41" t="s">
        <v>1107</v>
      </c>
    </row>
    <row r="224" spans="1:8" ht="15">
      <c r="A224" s="38">
        <v>223</v>
      </c>
      <c r="B224" s="39">
        <v>3</v>
      </c>
      <c r="C224" s="40">
        <v>1</v>
      </c>
      <c r="D224" s="39">
        <v>1201</v>
      </c>
      <c r="E224" s="38" t="str">
        <f t="shared" si="6"/>
        <v>24092443</v>
      </c>
      <c r="F224" s="38">
        <f t="shared" si="7"/>
        <v>1</v>
      </c>
      <c r="G224" s="41" t="s">
        <v>885</v>
      </c>
      <c r="H224" s="41" t="s">
        <v>1108</v>
      </c>
    </row>
    <row r="225" spans="1:8" ht="15">
      <c r="A225" s="38">
        <v>224</v>
      </c>
      <c r="B225" s="39">
        <v>3</v>
      </c>
      <c r="C225" s="40">
        <v>1</v>
      </c>
      <c r="D225" s="39">
        <v>1202</v>
      </c>
      <c r="E225" s="38" t="str">
        <f t="shared" si="6"/>
        <v>24092430</v>
      </c>
      <c r="F225" s="38">
        <f t="shared" si="7"/>
        <v>1</v>
      </c>
      <c r="G225" s="41" t="s">
        <v>885</v>
      </c>
      <c r="H225" s="41" t="s">
        <v>1109</v>
      </c>
    </row>
    <row r="226" spans="1:8" ht="15">
      <c r="A226" s="38">
        <v>225</v>
      </c>
      <c r="B226" s="39">
        <v>3</v>
      </c>
      <c r="C226" s="40">
        <v>1</v>
      </c>
      <c r="D226" s="39">
        <v>1203</v>
      </c>
      <c r="E226" s="38" t="str">
        <f t="shared" si="6"/>
        <v>24092500</v>
      </c>
      <c r="F226" s="38">
        <f t="shared" si="7"/>
        <v>1</v>
      </c>
      <c r="G226" s="41" t="s">
        <v>885</v>
      </c>
      <c r="H226" s="41" t="s">
        <v>1110</v>
      </c>
    </row>
    <row r="227" spans="1:8" ht="15">
      <c r="A227" s="38">
        <v>226</v>
      </c>
      <c r="B227" s="39">
        <v>3</v>
      </c>
      <c r="C227" s="40">
        <v>1</v>
      </c>
      <c r="D227" s="39">
        <v>1204</v>
      </c>
      <c r="E227" s="38" t="str">
        <f t="shared" si="6"/>
        <v>24092395</v>
      </c>
      <c r="F227" s="38">
        <f t="shared" si="7"/>
        <v>1</v>
      </c>
      <c r="G227" s="41" t="s">
        <v>885</v>
      </c>
      <c r="H227" s="41" t="s">
        <v>1111</v>
      </c>
    </row>
    <row r="228" spans="1:8" ht="15">
      <c r="A228" s="38">
        <v>227</v>
      </c>
      <c r="B228" s="39">
        <v>3</v>
      </c>
      <c r="C228" s="40">
        <v>1</v>
      </c>
      <c r="D228" s="39">
        <v>1101</v>
      </c>
      <c r="E228" s="38" t="str">
        <f t="shared" si="6"/>
        <v>24092586</v>
      </c>
      <c r="F228" s="38">
        <f t="shared" si="7"/>
        <v>1</v>
      </c>
      <c r="G228" s="41" t="s">
        <v>885</v>
      </c>
      <c r="H228" s="41" t="s">
        <v>1112</v>
      </c>
    </row>
    <row r="229" spans="1:8" ht="15">
      <c r="A229" s="38">
        <v>228</v>
      </c>
      <c r="B229" s="39">
        <v>3</v>
      </c>
      <c r="C229" s="40">
        <v>1</v>
      </c>
      <c r="D229" s="39">
        <v>1102</v>
      </c>
      <c r="E229" s="38" t="str">
        <f t="shared" si="6"/>
        <v>24092472</v>
      </c>
      <c r="F229" s="38">
        <f t="shared" si="7"/>
        <v>1</v>
      </c>
      <c r="G229" s="41" t="s">
        <v>885</v>
      </c>
      <c r="H229" s="41" t="s">
        <v>1113</v>
      </c>
    </row>
    <row r="230" spans="1:8" ht="15">
      <c r="A230" s="38">
        <v>229</v>
      </c>
      <c r="B230" s="39">
        <v>3</v>
      </c>
      <c r="C230" s="40">
        <v>1</v>
      </c>
      <c r="D230" s="39">
        <v>1103</v>
      </c>
      <c r="E230" s="38" t="str">
        <f t="shared" si="6"/>
        <v>24092628</v>
      </c>
      <c r="F230" s="38">
        <f t="shared" si="7"/>
        <v>1</v>
      </c>
      <c r="G230" s="41" t="s">
        <v>885</v>
      </c>
      <c r="H230" s="41" t="s">
        <v>1114</v>
      </c>
    </row>
    <row r="231" spans="1:8" ht="15">
      <c r="A231" s="38">
        <v>230</v>
      </c>
      <c r="B231" s="39">
        <v>3</v>
      </c>
      <c r="C231" s="40">
        <v>1</v>
      </c>
      <c r="D231" s="39">
        <v>1104</v>
      </c>
      <c r="E231" s="38" t="str">
        <f t="shared" si="6"/>
        <v>24092426</v>
      </c>
      <c r="F231" s="38">
        <f t="shared" si="7"/>
        <v>1</v>
      </c>
      <c r="G231" s="41" t="s">
        <v>885</v>
      </c>
      <c r="H231" s="41" t="s">
        <v>1115</v>
      </c>
    </row>
    <row r="232" spans="1:8" ht="15">
      <c r="A232" s="38">
        <v>231</v>
      </c>
      <c r="B232" s="39">
        <v>3</v>
      </c>
      <c r="C232" s="40">
        <v>1</v>
      </c>
      <c r="D232" s="39">
        <v>1001</v>
      </c>
      <c r="E232" s="38" t="str">
        <f t="shared" si="6"/>
        <v>24092569</v>
      </c>
      <c r="F232" s="38">
        <f t="shared" si="7"/>
        <v>1</v>
      </c>
      <c r="G232" s="41" t="s">
        <v>885</v>
      </c>
      <c r="H232" s="41" t="s">
        <v>1116</v>
      </c>
    </row>
    <row r="233" spans="1:8" ht="15">
      <c r="A233" s="38">
        <v>232</v>
      </c>
      <c r="B233" s="39">
        <v>3</v>
      </c>
      <c r="C233" s="40">
        <v>1</v>
      </c>
      <c r="D233" s="39">
        <v>1002</v>
      </c>
      <c r="E233" s="38" t="str">
        <f t="shared" si="6"/>
        <v>24092590</v>
      </c>
      <c r="F233" s="38">
        <f t="shared" si="7"/>
        <v>1</v>
      </c>
      <c r="G233" s="41" t="s">
        <v>885</v>
      </c>
      <c r="H233" s="41" t="s">
        <v>1117</v>
      </c>
    </row>
    <row r="234" spans="1:8" ht="15">
      <c r="A234" s="38">
        <v>233</v>
      </c>
      <c r="B234" s="39">
        <v>3</v>
      </c>
      <c r="C234" s="40">
        <v>1</v>
      </c>
      <c r="D234" s="39">
        <v>1003</v>
      </c>
      <c r="E234" s="38" t="str">
        <f t="shared" si="6"/>
        <v>24092403</v>
      </c>
      <c r="F234" s="38">
        <f t="shared" si="7"/>
        <v>1</v>
      </c>
      <c r="G234" s="41" t="s">
        <v>885</v>
      </c>
      <c r="H234" s="41" t="s">
        <v>1118</v>
      </c>
    </row>
    <row r="235" spans="1:8" ht="15">
      <c r="A235" s="38">
        <v>234</v>
      </c>
      <c r="B235" s="39">
        <v>3</v>
      </c>
      <c r="C235" s="40">
        <v>1</v>
      </c>
      <c r="D235" s="39">
        <v>1004</v>
      </c>
      <c r="E235" s="38" t="str">
        <f t="shared" si="6"/>
        <v>24092580</v>
      </c>
      <c r="F235" s="38">
        <f t="shared" si="7"/>
        <v>1</v>
      </c>
      <c r="G235" s="41" t="s">
        <v>885</v>
      </c>
      <c r="H235" s="41" t="s">
        <v>1119</v>
      </c>
    </row>
    <row r="236" spans="1:8" ht="15">
      <c r="A236" s="38">
        <v>235</v>
      </c>
      <c r="B236" s="39">
        <v>3</v>
      </c>
      <c r="C236" s="40">
        <v>1</v>
      </c>
      <c r="D236" s="39">
        <v>901</v>
      </c>
      <c r="E236" s="38" t="str">
        <f t="shared" si="6"/>
        <v>24092407</v>
      </c>
      <c r="F236" s="38">
        <f t="shared" si="7"/>
        <v>0</v>
      </c>
      <c r="G236" s="41" t="s">
        <v>885</v>
      </c>
      <c r="H236" s="41" t="s">
        <v>1120</v>
      </c>
    </row>
    <row r="237" spans="1:8" ht="15">
      <c r="A237" s="38">
        <v>236</v>
      </c>
      <c r="B237" s="39">
        <v>3</v>
      </c>
      <c r="C237" s="40">
        <v>1</v>
      </c>
      <c r="D237" s="39">
        <v>902</v>
      </c>
      <c r="E237" s="38" t="str">
        <f t="shared" si="6"/>
        <v>24092400</v>
      </c>
      <c r="F237" s="38">
        <f t="shared" si="7"/>
        <v>0</v>
      </c>
      <c r="G237" s="41" t="s">
        <v>885</v>
      </c>
      <c r="H237" s="41" t="s">
        <v>1121</v>
      </c>
    </row>
    <row r="238" spans="1:8" ht="15">
      <c r="A238" s="38">
        <v>237</v>
      </c>
      <c r="B238" s="39">
        <v>3</v>
      </c>
      <c r="C238" s="40">
        <v>1</v>
      </c>
      <c r="D238" s="39">
        <v>903</v>
      </c>
      <c r="E238" s="38" t="str">
        <f t="shared" si="6"/>
        <v>24092082</v>
      </c>
      <c r="F238" s="38">
        <f t="shared" si="7"/>
        <v>0</v>
      </c>
      <c r="G238" s="41" t="s">
        <v>885</v>
      </c>
      <c r="H238" s="41" t="s">
        <v>1122</v>
      </c>
    </row>
    <row r="239" spans="1:8" ht="15">
      <c r="A239" s="38">
        <v>238</v>
      </c>
      <c r="B239" s="39">
        <v>3</v>
      </c>
      <c r="C239" s="40">
        <v>1</v>
      </c>
      <c r="D239" s="39">
        <v>904</v>
      </c>
      <c r="E239" s="38" t="str">
        <f t="shared" si="6"/>
        <v>24091948</v>
      </c>
      <c r="F239" s="38">
        <f t="shared" si="7"/>
        <v>0</v>
      </c>
      <c r="G239" s="41" t="s">
        <v>885</v>
      </c>
      <c r="H239" s="41" t="s">
        <v>1123</v>
      </c>
    </row>
    <row r="240" spans="1:8" ht="15">
      <c r="A240" s="38">
        <v>239</v>
      </c>
      <c r="B240" s="39">
        <v>3</v>
      </c>
      <c r="C240" s="40">
        <v>1</v>
      </c>
      <c r="D240" s="39">
        <v>801</v>
      </c>
      <c r="E240" s="38" t="str">
        <f t="shared" si="6"/>
        <v>24091845</v>
      </c>
      <c r="F240" s="38">
        <f t="shared" si="7"/>
        <v>0</v>
      </c>
      <c r="G240" s="41" t="s">
        <v>885</v>
      </c>
      <c r="H240" s="41" t="s">
        <v>1124</v>
      </c>
    </row>
    <row r="241" spans="1:8" ht="15">
      <c r="A241" s="38">
        <v>240</v>
      </c>
      <c r="B241" s="39">
        <v>3</v>
      </c>
      <c r="C241" s="40">
        <v>1</v>
      </c>
      <c r="D241" s="39">
        <v>802</v>
      </c>
      <c r="E241" s="38" t="str">
        <f t="shared" si="6"/>
        <v>24092094</v>
      </c>
      <c r="F241" s="38">
        <f t="shared" si="7"/>
        <v>0</v>
      </c>
      <c r="G241" s="41" t="s">
        <v>885</v>
      </c>
      <c r="H241" s="41" t="s">
        <v>1125</v>
      </c>
    </row>
    <row r="242" spans="1:8" ht="15">
      <c r="A242" s="38">
        <v>241</v>
      </c>
      <c r="B242" s="39">
        <v>3</v>
      </c>
      <c r="C242" s="40">
        <v>1</v>
      </c>
      <c r="D242" s="39">
        <v>803</v>
      </c>
      <c r="E242" s="38" t="str">
        <f t="shared" si="6"/>
        <v>24092096</v>
      </c>
      <c r="F242" s="38">
        <f t="shared" si="7"/>
        <v>0</v>
      </c>
      <c r="G242" s="41" t="s">
        <v>885</v>
      </c>
      <c r="H242" s="41" t="s">
        <v>1126</v>
      </c>
    </row>
    <row r="243" spans="1:8" ht="15">
      <c r="A243" s="38">
        <v>242</v>
      </c>
      <c r="B243" s="39">
        <v>3</v>
      </c>
      <c r="C243" s="40">
        <v>1</v>
      </c>
      <c r="D243" s="39">
        <v>804</v>
      </c>
      <c r="E243" s="38" t="str">
        <f t="shared" si="6"/>
        <v>24092090</v>
      </c>
      <c r="F243" s="38">
        <f t="shared" si="7"/>
        <v>0</v>
      </c>
      <c r="G243" s="41" t="s">
        <v>885</v>
      </c>
      <c r="H243" s="41" t="s">
        <v>1127</v>
      </c>
    </row>
    <row r="244" spans="1:8" ht="15">
      <c r="A244" s="38">
        <v>243</v>
      </c>
      <c r="B244" s="39">
        <v>3</v>
      </c>
      <c r="C244" s="40">
        <v>1</v>
      </c>
      <c r="D244" s="39">
        <v>701</v>
      </c>
      <c r="E244" s="38" t="str">
        <f t="shared" si="6"/>
        <v>24091844</v>
      </c>
      <c r="F244" s="38">
        <f t="shared" si="7"/>
        <v>0</v>
      </c>
      <c r="G244" s="41" t="s">
        <v>885</v>
      </c>
      <c r="H244" s="41" t="s">
        <v>1128</v>
      </c>
    </row>
    <row r="245" spans="1:8" ht="15">
      <c r="A245" s="38">
        <v>244</v>
      </c>
      <c r="B245" s="39">
        <v>3</v>
      </c>
      <c r="C245" s="40">
        <v>1</v>
      </c>
      <c r="D245" s="39">
        <v>702</v>
      </c>
      <c r="E245" s="38" t="str">
        <f t="shared" si="6"/>
        <v>24092087</v>
      </c>
      <c r="F245" s="38">
        <f t="shared" si="7"/>
        <v>0</v>
      </c>
      <c r="G245" s="41" t="s">
        <v>885</v>
      </c>
      <c r="H245" s="41" t="s">
        <v>1129</v>
      </c>
    </row>
    <row r="246" spans="1:8" ht="15">
      <c r="A246" s="38">
        <v>245</v>
      </c>
      <c r="B246" s="39">
        <v>3</v>
      </c>
      <c r="C246" s="40">
        <v>1</v>
      </c>
      <c r="D246" s="39">
        <v>703</v>
      </c>
      <c r="E246" s="38" t="str">
        <f t="shared" si="6"/>
        <v>24091855</v>
      </c>
      <c r="F246" s="38">
        <f t="shared" si="7"/>
        <v>0</v>
      </c>
      <c r="G246" s="41" t="s">
        <v>885</v>
      </c>
      <c r="H246" s="41" t="s">
        <v>1130</v>
      </c>
    </row>
    <row r="247" spans="1:8" ht="15">
      <c r="A247" s="38">
        <v>246</v>
      </c>
      <c r="B247" s="39">
        <v>3</v>
      </c>
      <c r="C247" s="40">
        <v>1</v>
      </c>
      <c r="D247" s="39">
        <v>704</v>
      </c>
      <c r="E247" s="38" t="str">
        <f t="shared" si="6"/>
        <v>24092352</v>
      </c>
      <c r="F247" s="38">
        <f t="shared" si="7"/>
        <v>0</v>
      </c>
      <c r="G247" s="41" t="s">
        <v>885</v>
      </c>
      <c r="H247" s="41" t="s">
        <v>1131</v>
      </c>
    </row>
    <row r="248" spans="1:8" ht="15">
      <c r="A248" s="38">
        <v>247</v>
      </c>
      <c r="B248" s="39">
        <v>3</v>
      </c>
      <c r="C248" s="40">
        <v>1</v>
      </c>
      <c r="D248" s="39">
        <v>601</v>
      </c>
      <c r="E248" s="38" t="str">
        <f t="shared" si="6"/>
        <v>24092540</v>
      </c>
      <c r="F248" s="38">
        <f t="shared" si="7"/>
        <v>0</v>
      </c>
      <c r="G248" s="41" t="s">
        <v>885</v>
      </c>
      <c r="H248" s="41" t="s">
        <v>1132</v>
      </c>
    </row>
    <row r="249" spans="1:8" ht="15">
      <c r="A249" s="38">
        <v>248</v>
      </c>
      <c r="B249" s="39">
        <v>3</v>
      </c>
      <c r="C249" s="40">
        <v>1</v>
      </c>
      <c r="D249" s="39">
        <v>602</v>
      </c>
      <c r="E249" s="38" t="str">
        <f t="shared" si="6"/>
        <v>24092531</v>
      </c>
      <c r="F249" s="38">
        <f t="shared" si="7"/>
        <v>0</v>
      </c>
      <c r="G249" s="41" t="s">
        <v>885</v>
      </c>
      <c r="H249" s="41" t="s">
        <v>1133</v>
      </c>
    </row>
    <row r="250" spans="1:8" ht="15">
      <c r="A250" s="38">
        <v>249</v>
      </c>
      <c r="B250" s="39">
        <v>3</v>
      </c>
      <c r="C250" s="40">
        <v>1</v>
      </c>
      <c r="D250" s="39">
        <v>603</v>
      </c>
      <c r="E250" s="38" t="str">
        <f t="shared" si="6"/>
        <v>24092535</v>
      </c>
      <c r="F250" s="38">
        <f t="shared" si="7"/>
        <v>0</v>
      </c>
      <c r="G250" s="41" t="s">
        <v>885</v>
      </c>
      <c r="H250" s="41" t="s">
        <v>1134</v>
      </c>
    </row>
    <row r="251" spans="1:8" ht="15">
      <c r="A251" s="38">
        <v>250</v>
      </c>
      <c r="B251" s="39">
        <v>3</v>
      </c>
      <c r="C251" s="40">
        <v>1</v>
      </c>
      <c r="D251" s="39">
        <v>604</v>
      </c>
      <c r="E251" s="38" t="str">
        <f t="shared" si="6"/>
        <v>24092344</v>
      </c>
      <c r="F251" s="38">
        <f t="shared" si="7"/>
        <v>0</v>
      </c>
      <c r="G251" s="41" t="s">
        <v>885</v>
      </c>
      <c r="H251" s="41" t="s">
        <v>1135</v>
      </c>
    </row>
    <row r="252" spans="1:8" ht="15">
      <c r="A252" s="38">
        <v>251</v>
      </c>
      <c r="B252" s="39">
        <v>3</v>
      </c>
      <c r="C252" s="40">
        <v>1</v>
      </c>
      <c r="D252" s="39">
        <v>501</v>
      </c>
      <c r="E252" s="38" t="str">
        <f t="shared" si="6"/>
        <v>24092347</v>
      </c>
      <c r="F252" s="38">
        <f t="shared" si="7"/>
        <v>0</v>
      </c>
      <c r="G252" s="41" t="s">
        <v>885</v>
      </c>
      <c r="H252" s="41" t="s">
        <v>1136</v>
      </c>
    </row>
    <row r="253" spans="1:8" ht="15">
      <c r="A253" s="38">
        <v>252</v>
      </c>
      <c r="B253" s="39">
        <v>3</v>
      </c>
      <c r="C253" s="40">
        <v>1</v>
      </c>
      <c r="D253" s="39">
        <v>502</v>
      </c>
      <c r="E253" s="38" t="str">
        <f t="shared" si="6"/>
        <v>24092355</v>
      </c>
      <c r="F253" s="38">
        <f t="shared" si="7"/>
        <v>0</v>
      </c>
      <c r="G253" s="41" t="s">
        <v>885</v>
      </c>
      <c r="H253" s="41" t="s">
        <v>1137</v>
      </c>
    </row>
    <row r="254" spans="1:8" ht="15">
      <c r="A254" s="38">
        <v>253</v>
      </c>
      <c r="B254" s="39">
        <v>3</v>
      </c>
      <c r="C254" s="40">
        <v>1</v>
      </c>
      <c r="D254" s="39">
        <v>503</v>
      </c>
      <c r="E254" s="38" t="str">
        <f t="shared" si="6"/>
        <v>24092538</v>
      </c>
      <c r="F254" s="38">
        <f t="shared" si="7"/>
        <v>0</v>
      </c>
      <c r="G254" s="41" t="s">
        <v>885</v>
      </c>
      <c r="H254" s="41" t="s">
        <v>1138</v>
      </c>
    </row>
    <row r="255" spans="1:8" ht="15">
      <c r="A255" s="38">
        <v>254</v>
      </c>
      <c r="B255" s="39">
        <v>3</v>
      </c>
      <c r="C255" s="40">
        <v>1</v>
      </c>
      <c r="D255" s="39">
        <v>504</v>
      </c>
      <c r="E255" s="38" t="str">
        <f t="shared" si="6"/>
        <v>24092341</v>
      </c>
      <c r="F255" s="38">
        <f t="shared" si="7"/>
        <v>0</v>
      </c>
      <c r="G255" s="41" t="s">
        <v>885</v>
      </c>
      <c r="H255" s="41" t="s">
        <v>1139</v>
      </c>
    </row>
    <row r="256" spans="1:8" ht="15">
      <c r="A256" s="38">
        <v>255</v>
      </c>
      <c r="B256" s="39">
        <v>3</v>
      </c>
      <c r="C256" s="40">
        <v>1</v>
      </c>
      <c r="D256" s="39">
        <v>401</v>
      </c>
      <c r="E256" s="38" t="str">
        <f t="shared" si="6"/>
        <v>24092207</v>
      </c>
      <c r="F256" s="38">
        <f t="shared" si="7"/>
        <v>0</v>
      </c>
      <c r="G256" s="41" t="s">
        <v>885</v>
      </c>
      <c r="H256" s="41" t="s">
        <v>1140</v>
      </c>
    </row>
    <row r="257" spans="1:8" ht="15">
      <c r="A257" s="38">
        <v>256</v>
      </c>
      <c r="B257" s="39">
        <v>3</v>
      </c>
      <c r="C257" s="40">
        <v>1</v>
      </c>
      <c r="D257" s="39">
        <v>402</v>
      </c>
      <c r="E257" s="38" t="str">
        <f t="shared" si="6"/>
        <v>24091965</v>
      </c>
      <c r="F257" s="38">
        <f t="shared" si="7"/>
        <v>0</v>
      </c>
      <c r="G257" s="41" t="s">
        <v>885</v>
      </c>
      <c r="H257" s="41" t="s">
        <v>1141</v>
      </c>
    </row>
    <row r="258" spans="1:8" ht="15">
      <c r="A258" s="38">
        <v>257</v>
      </c>
      <c r="B258" s="39">
        <v>3</v>
      </c>
      <c r="C258" s="40">
        <v>1</v>
      </c>
      <c r="D258" s="39">
        <v>403</v>
      </c>
      <c r="E258" s="38" t="str">
        <f t="shared" si="6"/>
        <v>24092346</v>
      </c>
      <c r="F258" s="38">
        <f t="shared" si="7"/>
        <v>0</v>
      </c>
      <c r="G258" s="41" t="s">
        <v>885</v>
      </c>
      <c r="H258" s="41" t="s">
        <v>1142</v>
      </c>
    </row>
    <row r="259" spans="1:8" ht="15">
      <c r="A259" s="38">
        <v>258</v>
      </c>
      <c r="B259" s="39">
        <v>3</v>
      </c>
      <c r="C259" s="40">
        <v>1</v>
      </c>
      <c r="D259" s="39">
        <v>404</v>
      </c>
      <c r="E259" s="38" t="str">
        <f t="shared" si="6"/>
        <v>24091964</v>
      </c>
      <c r="F259" s="38">
        <f t="shared" ref="F259:F322" si="8">IFERROR(IF(VALUE(LEFT(D259,LEN(D259)-2))&lt;10,0,IF(VALUE(LEFT(D259,LEN(D259)-2))&lt;20,1,2)),D259)</f>
        <v>0</v>
      </c>
      <c r="G259" s="41" t="s">
        <v>885</v>
      </c>
      <c r="H259" s="41" t="s">
        <v>1143</v>
      </c>
    </row>
    <row r="260" spans="1:8" ht="15">
      <c r="A260" s="38">
        <v>259</v>
      </c>
      <c r="B260" s="39">
        <v>3</v>
      </c>
      <c r="C260" s="40">
        <v>1</v>
      </c>
      <c r="D260" s="39">
        <v>301</v>
      </c>
      <c r="E260" s="38" t="str">
        <f t="shared" si="6"/>
        <v>24092028</v>
      </c>
      <c r="F260" s="38">
        <f t="shared" si="8"/>
        <v>0</v>
      </c>
      <c r="G260" s="41" t="s">
        <v>885</v>
      </c>
      <c r="H260" s="41" t="s">
        <v>1144</v>
      </c>
    </row>
    <row r="261" spans="1:8" ht="15">
      <c r="A261" s="38">
        <v>260</v>
      </c>
      <c r="B261" s="39">
        <v>3</v>
      </c>
      <c r="C261" s="40">
        <v>1</v>
      </c>
      <c r="D261" s="39">
        <v>302</v>
      </c>
      <c r="E261" s="38" t="str">
        <f t="shared" si="6"/>
        <v>24092215</v>
      </c>
      <c r="F261" s="38">
        <f t="shared" si="8"/>
        <v>0</v>
      </c>
      <c r="G261" s="41" t="s">
        <v>885</v>
      </c>
      <c r="H261" s="41" t="s">
        <v>1145</v>
      </c>
    </row>
    <row r="262" spans="1:8" ht="15">
      <c r="A262" s="38">
        <v>261</v>
      </c>
      <c r="B262" s="39">
        <v>3</v>
      </c>
      <c r="C262" s="40">
        <v>1</v>
      </c>
      <c r="D262" s="39">
        <v>303</v>
      </c>
      <c r="E262" s="38" t="str">
        <f t="shared" si="6"/>
        <v>24092209</v>
      </c>
      <c r="F262" s="38">
        <f t="shared" si="8"/>
        <v>0</v>
      </c>
      <c r="G262" s="41" t="s">
        <v>885</v>
      </c>
      <c r="H262" s="41" t="s">
        <v>1146</v>
      </c>
    </row>
    <row r="263" spans="1:8" ht="15">
      <c r="A263" s="38">
        <v>262</v>
      </c>
      <c r="B263" s="39">
        <v>3</v>
      </c>
      <c r="C263" s="40">
        <v>1</v>
      </c>
      <c r="D263" s="39">
        <v>304</v>
      </c>
      <c r="E263" s="38" t="str">
        <f t="shared" si="6"/>
        <v>24091966</v>
      </c>
      <c r="F263" s="38">
        <f t="shared" si="8"/>
        <v>0</v>
      </c>
      <c r="G263" s="41" t="s">
        <v>885</v>
      </c>
      <c r="H263" s="41" t="s">
        <v>1147</v>
      </c>
    </row>
    <row r="264" spans="1:8" ht="15">
      <c r="A264" s="38">
        <v>263</v>
      </c>
      <c r="B264" s="39">
        <v>3</v>
      </c>
      <c r="C264" s="40">
        <v>1</v>
      </c>
      <c r="D264" s="39">
        <v>201</v>
      </c>
      <c r="E264" s="38" t="str">
        <f t="shared" si="6"/>
        <v>24092033</v>
      </c>
      <c r="F264" s="38">
        <f t="shared" si="8"/>
        <v>0</v>
      </c>
      <c r="G264" s="41" t="s">
        <v>885</v>
      </c>
      <c r="H264" s="41" t="s">
        <v>1148</v>
      </c>
    </row>
    <row r="265" spans="1:8" ht="15">
      <c r="A265" s="38">
        <v>264</v>
      </c>
      <c r="B265" s="39">
        <v>3</v>
      </c>
      <c r="C265" s="40">
        <v>1</v>
      </c>
      <c r="D265" s="39">
        <v>202</v>
      </c>
      <c r="E265" s="38" t="str">
        <f t="shared" si="6"/>
        <v>24092030</v>
      </c>
      <c r="F265" s="38">
        <f t="shared" si="8"/>
        <v>0</v>
      </c>
      <c r="G265" s="41" t="s">
        <v>885</v>
      </c>
      <c r="H265" s="41" t="s">
        <v>1149</v>
      </c>
    </row>
    <row r="266" spans="1:8" ht="15">
      <c r="A266" s="38">
        <v>265</v>
      </c>
      <c r="B266" s="39">
        <v>3</v>
      </c>
      <c r="C266" s="40">
        <v>1</v>
      </c>
      <c r="D266" s="39">
        <v>203</v>
      </c>
      <c r="E266" s="38" t="str">
        <f t="shared" si="6"/>
        <v>24092539</v>
      </c>
      <c r="F266" s="38">
        <f t="shared" si="8"/>
        <v>0</v>
      </c>
      <c r="G266" s="41" t="s">
        <v>885</v>
      </c>
      <c r="H266" s="41" t="s">
        <v>1150</v>
      </c>
    </row>
    <row r="267" spans="1:8" ht="15">
      <c r="A267" s="38">
        <v>266</v>
      </c>
      <c r="B267" s="39">
        <v>3</v>
      </c>
      <c r="C267" s="40">
        <v>1</v>
      </c>
      <c r="D267" s="39">
        <v>204</v>
      </c>
      <c r="E267" s="38" t="str">
        <f t="shared" si="6"/>
        <v>24092278</v>
      </c>
      <c r="F267" s="38">
        <f t="shared" si="8"/>
        <v>0</v>
      </c>
      <c r="G267" s="41" t="s">
        <v>885</v>
      </c>
      <c r="H267" s="41" t="s">
        <v>1151</v>
      </c>
    </row>
    <row r="268" spans="1:8" ht="15">
      <c r="A268" s="38">
        <v>267</v>
      </c>
      <c r="B268" s="39">
        <v>3</v>
      </c>
      <c r="C268" s="40">
        <v>1</v>
      </c>
      <c r="D268" s="39">
        <v>101</v>
      </c>
      <c r="E268" s="38" t="str">
        <f t="shared" si="6"/>
        <v>24092551</v>
      </c>
      <c r="F268" s="38">
        <f t="shared" si="8"/>
        <v>0</v>
      </c>
      <c r="G268" s="41" t="s">
        <v>885</v>
      </c>
      <c r="H268" s="41" t="s">
        <v>1152</v>
      </c>
    </row>
    <row r="269" spans="1:8" ht="15">
      <c r="A269" s="38">
        <v>268</v>
      </c>
      <c r="B269" s="39">
        <v>3</v>
      </c>
      <c r="C269" s="40">
        <v>1</v>
      </c>
      <c r="D269" s="39">
        <v>102</v>
      </c>
      <c r="E269" s="38" t="str">
        <f t="shared" si="6"/>
        <v>24092349</v>
      </c>
      <c r="F269" s="38">
        <f t="shared" si="8"/>
        <v>0</v>
      </c>
      <c r="G269" s="41" t="s">
        <v>885</v>
      </c>
      <c r="H269" s="41" t="s">
        <v>1153</v>
      </c>
    </row>
    <row r="270" spans="1:8" ht="15">
      <c r="A270" s="38">
        <v>269</v>
      </c>
      <c r="B270" s="39">
        <v>3</v>
      </c>
      <c r="C270" s="40">
        <v>1</v>
      </c>
      <c r="D270" s="39">
        <v>103</v>
      </c>
      <c r="E270" s="38" t="str">
        <f t="shared" si="6"/>
        <v>24092542</v>
      </c>
      <c r="F270" s="38">
        <f t="shared" si="8"/>
        <v>0</v>
      </c>
      <c r="G270" s="41" t="s">
        <v>885</v>
      </c>
      <c r="H270" s="41" t="s">
        <v>1154</v>
      </c>
    </row>
    <row r="271" spans="1:8" ht="15">
      <c r="A271" s="38">
        <v>270</v>
      </c>
      <c r="B271" s="39">
        <v>3</v>
      </c>
      <c r="C271" s="40">
        <v>1</v>
      </c>
      <c r="D271" s="39">
        <v>104</v>
      </c>
      <c r="E271" s="38" t="str">
        <f t="shared" si="6"/>
        <v>24092362</v>
      </c>
      <c r="F271" s="38">
        <f t="shared" si="8"/>
        <v>0</v>
      </c>
      <c r="G271" s="41" t="s">
        <v>885</v>
      </c>
      <c r="H271" s="41" t="s">
        <v>1155</v>
      </c>
    </row>
    <row r="272" spans="1:8" ht="15">
      <c r="A272" s="38">
        <v>271</v>
      </c>
      <c r="B272" s="39">
        <v>3</v>
      </c>
      <c r="C272" s="40">
        <v>1</v>
      </c>
      <c r="D272" s="39" t="s">
        <v>977</v>
      </c>
      <c r="E272" s="38" t="str">
        <f t="shared" si="6"/>
        <v>24092337</v>
      </c>
      <c r="F272" s="38" t="str">
        <f t="shared" si="8"/>
        <v>地下室</v>
      </c>
      <c r="G272" s="41" t="s">
        <v>885</v>
      </c>
      <c r="H272" s="41" t="s">
        <v>1156</v>
      </c>
    </row>
    <row r="273" spans="1:8" ht="15">
      <c r="A273" s="38">
        <v>272</v>
      </c>
      <c r="B273" s="39">
        <v>3</v>
      </c>
      <c r="C273" s="40">
        <v>1</v>
      </c>
      <c r="D273" s="39">
        <v>2501</v>
      </c>
      <c r="E273" s="38" t="str">
        <f t="shared" si="6"/>
        <v>24092035</v>
      </c>
      <c r="F273" s="38">
        <f t="shared" si="8"/>
        <v>2</v>
      </c>
      <c r="G273" s="41" t="s">
        <v>885</v>
      </c>
      <c r="H273" s="41" t="s">
        <v>1157</v>
      </c>
    </row>
    <row r="274" spans="1:8" ht="15">
      <c r="A274" s="38">
        <v>273</v>
      </c>
      <c r="B274" s="39">
        <v>3</v>
      </c>
      <c r="C274" s="40">
        <v>1</v>
      </c>
      <c r="D274" s="39">
        <v>2502</v>
      </c>
      <c r="E274" s="38" t="str">
        <f t="shared" si="6"/>
        <v>24092274</v>
      </c>
      <c r="F274" s="38">
        <f t="shared" si="8"/>
        <v>2</v>
      </c>
      <c r="G274" s="41" t="s">
        <v>885</v>
      </c>
      <c r="H274" s="41" t="s">
        <v>1158</v>
      </c>
    </row>
    <row r="275" spans="1:8" ht="15">
      <c r="A275" s="38">
        <v>274</v>
      </c>
      <c r="B275" s="39">
        <v>3</v>
      </c>
      <c r="C275" s="40">
        <v>1</v>
      </c>
      <c r="D275" s="39">
        <v>2503</v>
      </c>
      <c r="E275" s="38" t="str">
        <f t="shared" si="6"/>
        <v>24091808</v>
      </c>
      <c r="F275" s="38">
        <f t="shared" si="8"/>
        <v>2</v>
      </c>
      <c r="G275" s="41" t="s">
        <v>885</v>
      </c>
      <c r="H275" s="41" t="s">
        <v>732</v>
      </c>
    </row>
    <row r="276" spans="1:8" ht="15">
      <c r="A276" s="38">
        <v>275</v>
      </c>
      <c r="B276" s="39">
        <v>3</v>
      </c>
      <c r="C276" s="40">
        <v>1</v>
      </c>
      <c r="D276" s="39">
        <v>2504</v>
      </c>
      <c r="E276" s="38" t="str">
        <f t="shared" si="6"/>
        <v>24092022</v>
      </c>
      <c r="F276" s="38">
        <f t="shared" si="8"/>
        <v>2</v>
      </c>
      <c r="G276" s="41" t="s">
        <v>885</v>
      </c>
      <c r="H276" s="41" t="s">
        <v>1159</v>
      </c>
    </row>
    <row r="277" spans="1:8" ht="15">
      <c r="A277" s="38">
        <v>276</v>
      </c>
      <c r="B277" s="39">
        <v>3</v>
      </c>
      <c r="C277" s="40">
        <v>1</v>
      </c>
      <c r="D277" s="39">
        <v>2401</v>
      </c>
      <c r="E277" s="38" t="str">
        <f t="shared" si="6"/>
        <v>24092010</v>
      </c>
      <c r="F277" s="38">
        <f t="shared" si="8"/>
        <v>2</v>
      </c>
      <c r="G277" s="41" t="s">
        <v>885</v>
      </c>
      <c r="H277" s="41" t="s">
        <v>1160</v>
      </c>
    </row>
    <row r="278" spans="1:8" ht="15">
      <c r="A278" s="38">
        <v>277</v>
      </c>
      <c r="B278" s="39">
        <v>3</v>
      </c>
      <c r="C278" s="40">
        <v>1</v>
      </c>
      <c r="D278" s="39">
        <v>2402</v>
      </c>
      <c r="E278" s="38" t="str">
        <f t="shared" si="6"/>
        <v>24092260</v>
      </c>
      <c r="F278" s="38">
        <f t="shared" si="8"/>
        <v>2</v>
      </c>
      <c r="G278" s="41" t="s">
        <v>885</v>
      </c>
      <c r="H278" s="41" t="s">
        <v>1161</v>
      </c>
    </row>
    <row r="279" spans="1:8" ht="15">
      <c r="A279" s="38">
        <v>278</v>
      </c>
      <c r="B279" s="39">
        <v>3</v>
      </c>
      <c r="C279" s="40">
        <v>1</v>
      </c>
      <c r="D279" s="39">
        <v>2403</v>
      </c>
      <c r="E279" s="38" t="str">
        <f t="shared" si="6"/>
        <v>24092268</v>
      </c>
      <c r="F279" s="38">
        <f t="shared" si="8"/>
        <v>2</v>
      </c>
      <c r="G279" s="41" t="s">
        <v>885</v>
      </c>
      <c r="H279" s="41" t="s">
        <v>1162</v>
      </c>
    </row>
    <row r="280" spans="1:8" ht="15">
      <c r="A280" s="38">
        <v>279</v>
      </c>
      <c r="B280" s="39">
        <v>3</v>
      </c>
      <c r="C280" s="40">
        <v>1</v>
      </c>
      <c r="D280" s="39">
        <v>2404</v>
      </c>
      <c r="E280" s="38" t="str">
        <f t="shared" si="6"/>
        <v>24092269</v>
      </c>
      <c r="F280" s="38">
        <f t="shared" si="8"/>
        <v>2</v>
      </c>
      <c r="G280" s="41" t="s">
        <v>885</v>
      </c>
      <c r="H280" s="41" t="s">
        <v>1163</v>
      </c>
    </row>
    <row r="281" spans="1:8" ht="15">
      <c r="A281" s="38">
        <v>280</v>
      </c>
      <c r="B281" s="39">
        <v>3</v>
      </c>
      <c r="C281" s="40">
        <v>1</v>
      </c>
      <c r="D281" s="39">
        <v>2301</v>
      </c>
      <c r="E281" s="38" t="str">
        <f t="shared" si="6"/>
        <v>24092602</v>
      </c>
      <c r="F281" s="38">
        <f t="shared" si="8"/>
        <v>2</v>
      </c>
      <c r="G281" s="41" t="s">
        <v>885</v>
      </c>
      <c r="H281" s="41" t="s">
        <v>1164</v>
      </c>
    </row>
    <row r="282" spans="1:8" ht="15">
      <c r="A282" s="38">
        <v>281</v>
      </c>
      <c r="B282" s="39">
        <v>3</v>
      </c>
      <c r="C282" s="40">
        <v>1</v>
      </c>
      <c r="D282" s="39">
        <v>2302</v>
      </c>
      <c r="E282" s="38" t="str">
        <f t="shared" si="6"/>
        <v>24092612</v>
      </c>
      <c r="F282" s="38">
        <f t="shared" si="8"/>
        <v>2</v>
      </c>
      <c r="G282" s="41" t="s">
        <v>885</v>
      </c>
      <c r="H282" s="41" t="s">
        <v>1165</v>
      </c>
    </row>
    <row r="283" spans="1:8" ht="15">
      <c r="A283" s="38">
        <v>282</v>
      </c>
      <c r="B283" s="39">
        <v>3</v>
      </c>
      <c r="C283" s="40">
        <v>1</v>
      </c>
      <c r="D283" s="39">
        <v>2303</v>
      </c>
      <c r="E283" s="38" t="str">
        <f t="shared" si="6"/>
        <v>24091857</v>
      </c>
      <c r="F283" s="38">
        <f t="shared" si="8"/>
        <v>2</v>
      </c>
      <c r="G283" s="41" t="s">
        <v>885</v>
      </c>
      <c r="H283" s="41" t="s">
        <v>1166</v>
      </c>
    </row>
    <row r="284" spans="1:8" ht="15">
      <c r="A284" s="38">
        <v>283</v>
      </c>
      <c r="B284" s="39">
        <v>3</v>
      </c>
      <c r="C284" s="40">
        <v>1</v>
      </c>
      <c r="D284" s="39">
        <v>2304</v>
      </c>
      <c r="E284" s="38" t="str">
        <f t="shared" si="6"/>
        <v>24092428</v>
      </c>
      <c r="F284" s="38">
        <f t="shared" si="8"/>
        <v>2</v>
      </c>
      <c r="G284" s="41" t="s">
        <v>885</v>
      </c>
      <c r="H284" s="41" t="s">
        <v>1167</v>
      </c>
    </row>
    <row r="285" spans="1:8" ht="15">
      <c r="A285" s="38">
        <v>284</v>
      </c>
      <c r="B285" s="39">
        <v>3</v>
      </c>
      <c r="C285" s="40">
        <v>1</v>
      </c>
      <c r="D285" s="39">
        <v>2201</v>
      </c>
      <c r="E285" s="38" t="str">
        <f t="shared" si="6"/>
        <v>24092574</v>
      </c>
      <c r="F285" s="38">
        <f t="shared" si="8"/>
        <v>2</v>
      </c>
      <c r="G285" s="41" t="s">
        <v>885</v>
      </c>
      <c r="H285" s="41" t="s">
        <v>1168</v>
      </c>
    </row>
    <row r="286" spans="1:8" ht="15">
      <c r="A286" s="38">
        <v>285</v>
      </c>
      <c r="B286" s="39">
        <v>3</v>
      </c>
      <c r="C286" s="40">
        <v>1</v>
      </c>
      <c r="D286" s="39">
        <v>2202</v>
      </c>
      <c r="E286" s="38" t="str">
        <f t="shared" si="6"/>
        <v>24092621</v>
      </c>
      <c r="F286" s="38">
        <f t="shared" si="8"/>
        <v>2</v>
      </c>
      <c r="G286" s="41" t="s">
        <v>885</v>
      </c>
      <c r="H286" s="41" t="s">
        <v>1169</v>
      </c>
    </row>
    <row r="287" spans="1:8" ht="15">
      <c r="A287" s="38">
        <v>286</v>
      </c>
      <c r="B287" s="39">
        <v>3</v>
      </c>
      <c r="C287" s="40">
        <v>1</v>
      </c>
      <c r="D287" s="39">
        <v>2203</v>
      </c>
      <c r="E287" s="38" t="str">
        <f t="shared" si="6"/>
        <v>24092394</v>
      </c>
      <c r="F287" s="38">
        <f t="shared" si="8"/>
        <v>2</v>
      </c>
      <c r="G287" s="41" t="s">
        <v>885</v>
      </c>
      <c r="H287" s="41" t="s">
        <v>1170</v>
      </c>
    </row>
    <row r="288" spans="1:8" ht="15">
      <c r="A288" s="38">
        <v>287</v>
      </c>
      <c r="B288" s="39">
        <v>3</v>
      </c>
      <c r="C288" s="40">
        <v>1</v>
      </c>
      <c r="D288" s="39">
        <v>2204</v>
      </c>
      <c r="E288" s="38" t="str">
        <f t="shared" si="6"/>
        <v>24092605</v>
      </c>
      <c r="F288" s="38">
        <f t="shared" si="8"/>
        <v>2</v>
      </c>
      <c r="G288" s="41" t="s">
        <v>885</v>
      </c>
      <c r="H288" s="41" t="s">
        <v>1171</v>
      </c>
    </row>
    <row r="289" spans="1:8" ht="15">
      <c r="A289" s="38">
        <v>288</v>
      </c>
      <c r="B289" s="39">
        <v>3</v>
      </c>
      <c r="C289" s="40">
        <v>1</v>
      </c>
      <c r="D289" s="39">
        <v>2101</v>
      </c>
      <c r="E289" s="38" t="str">
        <f t="shared" si="6"/>
        <v>24092603</v>
      </c>
      <c r="F289" s="38">
        <f t="shared" si="8"/>
        <v>2</v>
      </c>
      <c r="G289" s="41" t="s">
        <v>885</v>
      </c>
      <c r="H289" s="41" t="s">
        <v>1172</v>
      </c>
    </row>
    <row r="290" spans="1:8" ht="15">
      <c r="A290" s="38">
        <v>289</v>
      </c>
      <c r="B290" s="39">
        <v>3</v>
      </c>
      <c r="C290" s="40">
        <v>1</v>
      </c>
      <c r="D290" s="39">
        <v>2102</v>
      </c>
      <c r="E290" s="38" t="str">
        <f t="shared" si="6"/>
        <v>24092608</v>
      </c>
      <c r="F290" s="38">
        <f t="shared" si="8"/>
        <v>2</v>
      </c>
      <c r="G290" s="41" t="s">
        <v>885</v>
      </c>
      <c r="H290" s="41" t="s">
        <v>1173</v>
      </c>
    </row>
    <row r="291" spans="1:8" ht="15">
      <c r="A291" s="38">
        <v>290</v>
      </c>
      <c r="B291" s="39">
        <v>3</v>
      </c>
      <c r="C291" s="40">
        <v>1</v>
      </c>
      <c r="D291" s="39">
        <v>2103</v>
      </c>
      <c r="E291" s="38" t="str">
        <f t="shared" si="6"/>
        <v>24092100</v>
      </c>
      <c r="F291" s="38">
        <f t="shared" si="8"/>
        <v>2</v>
      </c>
      <c r="G291" s="41" t="s">
        <v>885</v>
      </c>
      <c r="H291" s="41" t="s">
        <v>1174</v>
      </c>
    </row>
    <row r="292" spans="1:8" ht="15">
      <c r="A292" s="38">
        <v>291</v>
      </c>
      <c r="B292" s="39">
        <v>3</v>
      </c>
      <c r="C292" s="40">
        <v>1</v>
      </c>
      <c r="D292" s="39">
        <v>2104</v>
      </c>
      <c r="E292" s="38" t="str">
        <f t="shared" si="6"/>
        <v>24091842</v>
      </c>
      <c r="F292" s="38">
        <f t="shared" si="8"/>
        <v>2</v>
      </c>
      <c r="G292" s="41" t="s">
        <v>885</v>
      </c>
      <c r="H292" s="41" t="s">
        <v>1175</v>
      </c>
    </row>
    <row r="293" spans="1:8" ht="15">
      <c r="A293" s="38">
        <v>292</v>
      </c>
      <c r="B293" s="39">
        <v>3</v>
      </c>
      <c r="C293" s="40">
        <v>1</v>
      </c>
      <c r="D293" s="39">
        <v>2001</v>
      </c>
      <c r="E293" s="38" t="str">
        <f t="shared" si="6"/>
        <v>24091849</v>
      </c>
      <c r="F293" s="38">
        <f t="shared" si="8"/>
        <v>2</v>
      </c>
      <c r="G293" s="41" t="s">
        <v>885</v>
      </c>
      <c r="H293" s="41" t="s">
        <v>1176</v>
      </c>
    </row>
    <row r="294" spans="1:8" ht="15">
      <c r="A294" s="38">
        <v>293</v>
      </c>
      <c r="B294" s="39">
        <v>3</v>
      </c>
      <c r="C294" s="40">
        <v>1</v>
      </c>
      <c r="D294" s="39">
        <v>2002</v>
      </c>
      <c r="E294" s="38" t="str">
        <f t="shared" si="6"/>
        <v>24091854</v>
      </c>
      <c r="F294" s="38">
        <f t="shared" si="8"/>
        <v>2</v>
      </c>
      <c r="G294" s="41" t="s">
        <v>885</v>
      </c>
      <c r="H294" s="41" t="s">
        <v>1177</v>
      </c>
    </row>
    <row r="295" spans="1:8" ht="15">
      <c r="A295" s="38">
        <v>294</v>
      </c>
      <c r="B295" s="39">
        <v>3</v>
      </c>
      <c r="C295" s="40">
        <v>1</v>
      </c>
      <c r="D295" s="39">
        <v>2003</v>
      </c>
      <c r="E295" s="38" t="str">
        <f t="shared" si="6"/>
        <v>24092085</v>
      </c>
      <c r="F295" s="38">
        <f t="shared" si="8"/>
        <v>2</v>
      </c>
      <c r="G295" s="41" t="s">
        <v>885</v>
      </c>
      <c r="H295" s="41" t="s">
        <v>1178</v>
      </c>
    </row>
    <row r="296" spans="1:8" ht="15">
      <c r="A296" s="38">
        <v>295</v>
      </c>
      <c r="B296" s="39">
        <v>3</v>
      </c>
      <c r="C296" s="40">
        <v>1</v>
      </c>
      <c r="D296" s="39">
        <v>2004</v>
      </c>
      <c r="E296" s="38" t="str">
        <f t="shared" si="6"/>
        <v>24091838</v>
      </c>
      <c r="F296" s="38">
        <f t="shared" si="8"/>
        <v>2</v>
      </c>
      <c r="G296" s="41" t="s">
        <v>885</v>
      </c>
      <c r="H296" s="41" t="s">
        <v>1179</v>
      </c>
    </row>
    <row r="297" spans="1:8" ht="15">
      <c r="A297" s="38">
        <v>296</v>
      </c>
      <c r="B297" s="39">
        <v>3</v>
      </c>
      <c r="C297" s="40">
        <v>1</v>
      </c>
      <c r="D297" s="39">
        <v>1901</v>
      </c>
      <c r="E297" s="38" t="str">
        <f t="shared" si="6"/>
        <v>24092081</v>
      </c>
      <c r="F297" s="38">
        <f t="shared" si="8"/>
        <v>1</v>
      </c>
      <c r="G297" s="41" t="s">
        <v>885</v>
      </c>
      <c r="H297" s="41" t="s">
        <v>1180</v>
      </c>
    </row>
    <row r="298" spans="1:8" ht="15">
      <c r="A298" s="38">
        <v>297</v>
      </c>
      <c r="B298" s="39">
        <v>3</v>
      </c>
      <c r="C298" s="40">
        <v>1</v>
      </c>
      <c r="D298" s="39">
        <v>1902</v>
      </c>
      <c r="E298" s="38" t="str">
        <f t="shared" si="6"/>
        <v>24092078</v>
      </c>
      <c r="F298" s="38">
        <f t="shared" si="8"/>
        <v>1</v>
      </c>
      <c r="G298" s="41" t="s">
        <v>885</v>
      </c>
      <c r="H298" s="41" t="s">
        <v>1181</v>
      </c>
    </row>
    <row r="299" spans="1:8" ht="15">
      <c r="A299" s="38">
        <v>298</v>
      </c>
      <c r="B299" s="39">
        <v>3</v>
      </c>
      <c r="C299" s="40">
        <v>1</v>
      </c>
      <c r="D299" s="39">
        <v>1903</v>
      </c>
      <c r="E299" s="38" t="str">
        <f t="shared" si="6"/>
        <v>24091843</v>
      </c>
      <c r="F299" s="38">
        <f t="shared" si="8"/>
        <v>1</v>
      </c>
      <c r="G299" s="41" t="s">
        <v>885</v>
      </c>
      <c r="H299" s="41" t="s">
        <v>1182</v>
      </c>
    </row>
    <row r="300" spans="1:8" ht="15">
      <c r="A300" s="38">
        <v>299</v>
      </c>
      <c r="B300" s="39">
        <v>3</v>
      </c>
      <c r="C300" s="40">
        <v>1</v>
      </c>
      <c r="D300" s="39">
        <v>1904</v>
      </c>
      <c r="E300" s="38" t="str">
        <f t="shared" si="6"/>
        <v>24092080</v>
      </c>
      <c r="F300" s="38">
        <f t="shared" si="8"/>
        <v>1</v>
      </c>
      <c r="G300" s="41" t="s">
        <v>885</v>
      </c>
      <c r="H300" s="41" t="s">
        <v>1183</v>
      </c>
    </row>
    <row r="301" spans="1:8" ht="15">
      <c r="A301" s="38">
        <v>300</v>
      </c>
      <c r="B301" s="39">
        <v>5</v>
      </c>
      <c r="C301" s="40">
        <v>1</v>
      </c>
      <c r="D301" s="39">
        <v>2301</v>
      </c>
      <c r="E301" s="38" t="str">
        <f t="shared" si="6"/>
        <v>24092643</v>
      </c>
      <c r="F301" s="38">
        <f t="shared" si="8"/>
        <v>2</v>
      </c>
      <c r="G301" s="41" t="s">
        <v>885</v>
      </c>
      <c r="H301" s="41" t="s">
        <v>1184</v>
      </c>
    </row>
    <row r="302" spans="1:8" ht="15">
      <c r="A302" s="38">
        <v>301</v>
      </c>
      <c r="B302" s="39">
        <v>5</v>
      </c>
      <c r="C302" s="40">
        <v>1</v>
      </c>
      <c r="D302" s="39">
        <v>2302</v>
      </c>
      <c r="E302" s="38" t="str">
        <f t="shared" si="6"/>
        <v>24092424</v>
      </c>
      <c r="F302" s="38">
        <f t="shared" si="8"/>
        <v>2</v>
      </c>
      <c r="G302" s="41" t="s">
        <v>885</v>
      </c>
      <c r="H302" s="41" t="s">
        <v>1185</v>
      </c>
    </row>
    <row r="303" spans="1:8" ht="15">
      <c r="A303" s="38">
        <v>302</v>
      </c>
      <c r="B303" s="39">
        <v>5</v>
      </c>
      <c r="C303" s="40">
        <v>1</v>
      </c>
      <c r="D303" s="39">
        <v>2303</v>
      </c>
      <c r="E303" s="38" t="str">
        <f t="shared" si="6"/>
        <v>24092305</v>
      </c>
      <c r="F303" s="38">
        <f t="shared" si="8"/>
        <v>2</v>
      </c>
      <c r="G303" s="41" t="s">
        <v>885</v>
      </c>
      <c r="H303" s="41" t="s">
        <v>1186</v>
      </c>
    </row>
    <row r="304" spans="1:8" ht="15">
      <c r="A304" s="38">
        <v>303</v>
      </c>
      <c r="B304" s="39">
        <v>5</v>
      </c>
      <c r="C304" s="40">
        <v>1</v>
      </c>
      <c r="D304" s="39">
        <v>2304</v>
      </c>
      <c r="E304" s="38" t="str">
        <f t="shared" si="6"/>
        <v>24092640</v>
      </c>
      <c r="F304" s="38">
        <f t="shared" si="8"/>
        <v>2</v>
      </c>
      <c r="G304" s="41" t="s">
        <v>885</v>
      </c>
      <c r="H304" s="41" t="s">
        <v>1187</v>
      </c>
    </row>
    <row r="305" spans="1:8" ht="15">
      <c r="A305" s="38">
        <v>304</v>
      </c>
      <c r="B305" s="39">
        <v>5</v>
      </c>
      <c r="C305" s="40">
        <v>1</v>
      </c>
      <c r="D305" s="39">
        <v>2201</v>
      </c>
      <c r="E305" s="38" t="str">
        <f t="shared" si="6"/>
        <v>24092654</v>
      </c>
      <c r="F305" s="38">
        <f t="shared" si="8"/>
        <v>2</v>
      </c>
      <c r="G305" s="41" t="s">
        <v>885</v>
      </c>
      <c r="H305" s="41" t="s">
        <v>1188</v>
      </c>
    </row>
    <row r="306" spans="1:8" ht="15">
      <c r="A306" s="38">
        <v>305</v>
      </c>
      <c r="B306" s="39">
        <v>5</v>
      </c>
      <c r="C306" s="40">
        <v>1</v>
      </c>
      <c r="D306" s="39">
        <v>2202</v>
      </c>
      <c r="E306" s="38" t="str">
        <f t="shared" si="6"/>
        <v>24092494</v>
      </c>
      <c r="F306" s="38">
        <f t="shared" si="8"/>
        <v>2</v>
      </c>
      <c r="G306" s="41" t="s">
        <v>885</v>
      </c>
      <c r="H306" s="41" t="s">
        <v>1189</v>
      </c>
    </row>
    <row r="307" spans="1:8" ht="15">
      <c r="A307" s="38">
        <v>306</v>
      </c>
      <c r="B307" s="39">
        <v>5</v>
      </c>
      <c r="C307" s="40">
        <v>1</v>
      </c>
      <c r="D307" s="39">
        <v>2203</v>
      </c>
      <c r="E307" s="38" t="str">
        <f t="shared" si="6"/>
        <v>24092379</v>
      </c>
      <c r="F307" s="38">
        <f t="shared" si="8"/>
        <v>2</v>
      </c>
      <c r="G307" s="41" t="s">
        <v>885</v>
      </c>
      <c r="H307" s="41" t="s">
        <v>1190</v>
      </c>
    </row>
    <row r="308" spans="1:8" ht="15">
      <c r="A308" s="38">
        <v>307</v>
      </c>
      <c r="B308" s="39">
        <v>5</v>
      </c>
      <c r="C308" s="40">
        <v>1</v>
      </c>
      <c r="D308" s="39">
        <v>2204</v>
      </c>
      <c r="E308" s="38" t="str">
        <f t="shared" si="6"/>
        <v>24092466</v>
      </c>
      <c r="F308" s="38">
        <f t="shared" si="8"/>
        <v>2</v>
      </c>
      <c r="G308" s="41" t="s">
        <v>885</v>
      </c>
      <c r="H308" s="41" t="s">
        <v>1191</v>
      </c>
    </row>
    <row r="309" spans="1:8" ht="15">
      <c r="A309" s="38">
        <v>308</v>
      </c>
      <c r="B309" s="39">
        <v>5</v>
      </c>
      <c r="C309" s="40">
        <v>1</v>
      </c>
      <c r="D309" s="39">
        <v>2101</v>
      </c>
      <c r="E309" s="38" t="str">
        <f t="shared" si="6"/>
        <v>24092648</v>
      </c>
      <c r="F309" s="38">
        <f t="shared" si="8"/>
        <v>2</v>
      </c>
      <c r="G309" s="41" t="s">
        <v>885</v>
      </c>
      <c r="H309" s="41" t="s">
        <v>1192</v>
      </c>
    </row>
    <row r="310" spans="1:8" ht="15">
      <c r="A310" s="38">
        <v>309</v>
      </c>
      <c r="B310" s="39">
        <v>5</v>
      </c>
      <c r="C310" s="40">
        <v>1</v>
      </c>
      <c r="D310" s="39">
        <v>2102</v>
      </c>
      <c r="E310" s="38" t="str">
        <f t="shared" si="6"/>
        <v>24092124</v>
      </c>
      <c r="F310" s="38">
        <f t="shared" si="8"/>
        <v>2</v>
      </c>
      <c r="G310" s="41" t="s">
        <v>885</v>
      </c>
      <c r="H310" s="41" t="s">
        <v>1193</v>
      </c>
    </row>
    <row r="311" spans="1:8" ht="15">
      <c r="A311" s="38">
        <v>310</v>
      </c>
      <c r="B311" s="39">
        <v>5</v>
      </c>
      <c r="C311" s="40">
        <v>1</v>
      </c>
      <c r="D311" s="39">
        <v>2103</v>
      </c>
      <c r="E311" s="38" t="str">
        <f t="shared" si="6"/>
        <v>24092609</v>
      </c>
      <c r="F311" s="38">
        <f t="shared" si="8"/>
        <v>2</v>
      </c>
      <c r="G311" s="41" t="s">
        <v>885</v>
      </c>
      <c r="H311" s="41" t="s">
        <v>1194</v>
      </c>
    </row>
    <row r="312" spans="1:8" ht="15">
      <c r="A312" s="38">
        <v>311</v>
      </c>
      <c r="B312" s="39">
        <v>5</v>
      </c>
      <c r="C312" s="40">
        <v>1</v>
      </c>
      <c r="D312" s="39">
        <v>2104</v>
      </c>
      <c r="E312" s="38" t="str">
        <f t="shared" si="6"/>
        <v>24092653</v>
      </c>
      <c r="F312" s="38">
        <f t="shared" si="8"/>
        <v>2</v>
      </c>
      <c r="G312" s="41" t="s">
        <v>885</v>
      </c>
      <c r="H312" s="41" t="s">
        <v>1195</v>
      </c>
    </row>
    <row r="313" spans="1:8" ht="15">
      <c r="A313" s="38">
        <v>312</v>
      </c>
      <c r="B313" s="39">
        <v>5</v>
      </c>
      <c r="C313" s="40">
        <v>1</v>
      </c>
      <c r="D313" s="39">
        <v>2001</v>
      </c>
      <c r="E313" s="38" t="str">
        <f t="shared" si="6"/>
        <v>24091878</v>
      </c>
      <c r="F313" s="38">
        <f t="shared" si="8"/>
        <v>2</v>
      </c>
      <c r="G313" s="41" t="s">
        <v>885</v>
      </c>
      <c r="H313" s="41" t="s">
        <v>1196</v>
      </c>
    </row>
    <row r="314" spans="1:8" ht="15">
      <c r="A314" s="38">
        <v>313</v>
      </c>
      <c r="B314" s="39">
        <v>5</v>
      </c>
      <c r="C314" s="40">
        <v>1</v>
      </c>
      <c r="D314" s="39">
        <v>2002</v>
      </c>
      <c r="E314" s="38" t="str">
        <f t="shared" si="6"/>
        <v>24092450</v>
      </c>
      <c r="F314" s="38">
        <f t="shared" si="8"/>
        <v>2</v>
      </c>
      <c r="G314" s="41" t="s">
        <v>885</v>
      </c>
      <c r="H314" s="41" t="s">
        <v>1197</v>
      </c>
    </row>
    <row r="315" spans="1:8" ht="15">
      <c r="A315" s="38">
        <v>314</v>
      </c>
      <c r="B315" s="39">
        <v>5</v>
      </c>
      <c r="C315" s="40">
        <v>1</v>
      </c>
      <c r="D315" s="39">
        <v>2003</v>
      </c>
      <c r="E315" s="38" t="str">
        <f t="shared" si="6"/>
        <v>24091858</v>
      </c>
      <c r="F315" s="38">
        <f t="shared" si="8"/>
        <v>2</v>
      </c>
      <c r="G315" s="41" t="s">
        <v>885</v>
      </c>
      <c r="H315" s="41" t="s">
        <v>1198</v>
      </c>
    </row>
    <row r="316" spans="1:8" ht="15">
      <c r="A316" s="38">
        <v>315</v>
      </c>
      <c r="B316" s="39">
        <v>5</v>
      </c>
      <c r="C316" s="40">
        <v>1</v>
      </c>
      <c r="D316" s="39">
        <v>2004</v>
      </c>
      <c r="E316" s="38" t="str">
        <f t="shared" si="6"/>
        <v>24092072</v>
      </c>
      <c r="F316" s="38">
        <f t="shared" si="8"/>
        <v>2</v>
      </c>
      <c r="G316" s="41" t="s">
        <v>885</v>
      </c>
      <c r="H316" s="41" t="s">
        <v>1199</v>
      </c>
    </row>
    <row r="317" spans="1:8" ht="15">
      <c r="A317" s="38">
        <v>316</v>
      </c>
      <c r="B317" s="39">
        <v>5</v>
      </c>
      <c r="C317" s="40">
        <v>1</v>
      </c>
      <c r="D317" s="39">
        <v>1901</v>
      </c>
      <c r="E317" s="38" t="str">
        <f t="shared" si="6"/>
        <v>24091957</v>
      </c>
      <c r="F317" s="38">
        <f t="shared" si="8"/>
        <v>1</v>
      </c>
      <c r="G317" s="41" t="s">
        <v>885</v>
      </c>
      <c r="H317" s="41" t="s">
        <v>1200</v>
      </c>
    </row>
    <row r="318" spans="1:8" ht="15">
      <c r="A318" s="38">
        <v>317</v>
      </c>
      <c r="B318" s="39">
        <v>5</v>
      </c>
      <c r="C318" s="40">
        <v>1</v>
      </c>
      <c r="D318" s="39">
        <v>1902</v>
      </c>
      <c r="E318" s="38" t="str">
        <f t="shared" si="6"/>
        <v>24092456</v>
      </c>
      <c r="F318" s="38">
        <f t="shared" si="8"/>
        <v>1</v>
      </c>
      <c r="G318" s="41" t="s">
        <v>885</v>
      </c>
      <c r="H318" s="41" t="s">
        <v>1201</v>
      </c>
    </row>
    <row r="319" spans="1:8" ht="15">
      <c r="A319" s="38">
        <v>318</v>
      </c>
      <c r="B319" s="39">
        <v>5</v>
      </c>
      <c r="C319" s="40">
        <v>1</v>
      </c>
      <c r="D319" s="39">
        <v>1903</v>
      </c>
      <c r="E319" s="38" t="str">
        <f t="shared" si="6"/>
        <v>24092401</v>
      </c>
      <c r="F319" s="38">
        <f t="shared" si="8"/>
        <v>1</v>
      </c>
      <c r="G319" s="41" t="s">
        <v>885</v>
      </c>
      <c r="H319" s="41" t="s">
        <v>1202</v>
      </c>
    </row>
    <row r="320" spans="1:8" ht="15">
      <c r="A320" s="38">
        <v>319</v>
      </c>
      <c r="B320" s="39">
        <v>5</v>
      </c>
      <c r="C320" s="40">
        <v>1</v>
      </c>
      <c r="D320" s="39">
        <v>1904</v>
      </c>
      <c r="E320" s="38" t="str">
        <f t="shared" si="6"/>
        <v>24092685</v>
      </c>
      <c r="F320" s="38">
        <f t="shared" si="8"/>
        <v>1</v>
      </c>
      <c r="G320" s="41" t="s">
        <v>885</v>
      </c>
      <c r="H320" s="41" t="s">
        <v>1203</v>
      </c>
    </row>
    <row r="321" spans="1:8" ht="15">
      <c r="A321" s="38">
        <v>320</v>
      </c>
      <c r="B321" s="39">
        <v>5</v>
      </c>
      <c r="C321" s="40">
        <v>1</v>
      </c>
      <c r="D321" s="39">
        <v>1801</v>
      </c>
      <c r="E321" s="38" t="str">
        <f t="shared" si="6"/>
        <v>24092458</v>
      </c>
      <c r="F321" s="38">
        <f t="shared" si="8"/>
        <v>1</v>
      </c>
      <c r="G321" s="41" t="s">
        <v>885</v>
      </c>
      <c r="H321" s="41" t="s">
        <v>1204</v>
      </c>
    </row>
    <row r="322" spans="1:8" ht="15">
      <c r="A322" s="38">
        <v>321</v>
      </c>
      <c r="B322" s="39">
        <v>5</v>
      </c>
      <c r="C322" s="40">
        <v>1</v>
      </c>
      <c r="D322" s="39">
        <v>1802</v>
      </c>
      <c r="E322" s="38" t="str">
        <f t="shared" si="6"/>
        <v>24091834</v>
      </c>
      <c r="F322" s="38">
        <f t="shared" si="8"/>
        <v>1</v>
      </c>
      <c r="G322" s="41" t="s">
        <v>885</v>
      </c>
      <c r="H322" s="41" t="s">
        <v>1205</v>
      </c>
    </row>
    <row r="323" spans="1:8" ht="15">
      <c r="A323" s="38">
        <v>322</v>
      </c>
      <c r="B323" s="39">
        <v>5</v>
      </c>
      <c r="C323" s="40">
        <v>1</v>
      </c>
      <c r="D323" s="39">
        <v>1803</v>
      </c>
      <c r="E323" s="38" t="str">
        <f t="shared" si="6"/>
        <v>24092647</v>
      </c>
      <c r="F323" s="38">
        <f t="shared" ref="F323:F386" si="9">IFERROR(IF(VALUE(LEFT(D323,LEN(D323)-2))&lt;10,0,IF(VALUE(LEFT(D323,LEN(D323)-2))&lt;20,1,2)),D323)</f>
        <v>1</v>
      </c>
      <c r="G323" s="41" t="s">
        <v>885</v>
      </c>
      <c r="H323" s="41" t="s">
        <v>1206</v>
      </c>
    </row>
    <row r="324" spans="1:8" ht="15">
      <c r="A324" s="38">
        <v>323</v>
      </c>
      <c r="B324" s="39">
        <v>5</v>
      </c>
      <c r="C324" s="40">
        <v>1</v>
      </c>
      <c r="D324" s="39">
        <v>1804</v>
      </c>
      <c r="E324" s="38" t="str">
        <f t="shared" si="6"/>
        <v>24092480</v>
      </c>
      <c r="F324" s="38">
        <f t="shared" si="9"/>
        <v>1</v>
      </c>
      <c r="G324" s="41" t="s">
        <v>885</v>
      </c>
      <c r="H324" s="41" t="s">
        <v>1207</v>
      </c>
    </row>
    <row r="325" spans="1:8" ht="15">
      <c r="A325" s="38">
        <v>324</v>
      </c>
      <c r="B325" s="39">
        <v>5</v>
      </c>
      <c r="C325" s="40">
        <v>1</v>
      </c>
      <c r="D325" s="39">
        <v>1701</v>
      </c>
      <c r="E325" s="38" t="str">
        <f t="shared" si="6"/>
        <v>24092666</v>
      </c>
      <c r="F325" s="38">
        <f t="shared" si="9"/>
        <v>1</v>
      </c>
      <c r="G325" s="41" t="s">
        <v>885</v>
      </c>
      <c r="H325" s="41" t="s">
        <v>1208</v>
      </c>
    </row>
    <row r="326" spans="1:8" ht="15">
      <c r="A326" s="38">
        <v>325</v>
      </c>
      <c r="B326" s="39">
        <v>5</v>
      </c>
      <c r="C326" s="40">
        <v>1</v>
      </c>
      <c r="D326" s="39">
        <v>1702</v>
      </c>
      <c r="E326" s="38" t="str">
        <f t="shared" si="6"/>
        <v>24092463</v>
      </c>
      <c r="F326" s="38">
        <f t="shared" si="9"/>
        <v>1</v>
      </c>
      <c r="G326" s="41" t="s">
        <v>885</v>
      </c>
      <c r="H326" s="41" t="s">
        <v>1209</v>
      </c>
    </row>
    <row r="327" spans="1:8" ht="15">
      <c r="A327" s="38">
        <v>326</v>
      </c>
      <c r="B327" s="39">
        <v>5</v>
      </c>
      <c r="C327" s="40">
        <v>1</v>
      </c>
      <c r="D327" s="39">
        <v>1703</v>
      </c>
      <c r="E327" s="38" t="str">
        <f t="shared" si="6"/>
        <v>24092448</v>
      </c>
      <c r="F327" s="38">
        <f t="shared" si="9"/>
        <v>1</v>
      </c>
      <c r="G327" s="41" t="s">
        <v>885</v>
      </c>
      <c r="H327" s="41" t="s">
        <v>1210</v>
      </c>
    </row>
    <row r="328" spans="1:8" ht="15">
      <c r="A328" s="38">
        <v>327</v>
      </c>
      <c r="B328" s="39">
        <v>5</v>
      </c>
      <c r="C328" s="40">
        <v>1</v>
      </c>
      <c r="D328" s="39">
        <v>1704</v>
      </c>
      <c r="E328" s="38" t="str">
        <f t="shared" si="6"/>
        <v>24092661</v>
      </c>
      <c r="F328" s="38">
        <f t="shared" si="9"/>
        <v>1</v>
      </c>
      <c r="G328" s="41" t="s">
        <v>885</v>
      </c>
      <c r="H328" s="41" t="s">
        <v>1211</v>
      </c>
    </row>
    <row r="329" spans="1:8" ht="15">
      <c r="A329" s="38">
        <v>328</v>
      </c>
      <c r="B329" s="39">
        <v>5</v>
      </c>
      <c r="C329" s="40">
        <v>1</v>
      </c>
      <c r="D329" s="39">
        <v>201</v>
      </c>
      <c r="E329" s="38" t="str">
        <f t="shared" si="6"/>
        <v>24092356</v>
      </c>
      <c r="F329" s="38">
        <f t="shared" si="9"/>
        <v>0</v>
      </c>
      <c r="G329" s="41" t="s">
        <v>885</v>
      </c>
      <c r="H329" s="41" t="s">
        <v>1212</v>
      </c>
    </row>
    <row r="330" spans="1:8" ht="15">
      <c r="A330" s="38">
        <v>329</v>
      </c>
      <c r="B330" s="39">
        <v>5</v>
      </c>
      <c r="C330" s="40">
        <v>1</v>
      </c>
      <c r="D330" s="39">
        <v>202</v>
      </c>
      <c r="E330" s="38" t="str">
        <f t="shared" si="6"/>
        <v>24091996</v>
      </c>
      <c r="F330" s="38">
        <f t="shared" si="9"/>
        <v>0</v>
      </c>
      <c r="G330" s="41" t="s">
        <v>885</v>
      </c>
      <c r="H330" s="41" t="s">
        <v>1213</v>
      </c>
    </row>
    <row r="331" spans="1:8" ht="15">
      <c r="A331" s="38">
        <v>330</v>
      </c>
      <c r="B331" s="39">
        <v>5</v>
      </c>
      <c r="C331" s="40">
        <v>1</v>
      </c>
      <c r="D331" s="39">
        <v>203</v>
      </c>
      <c r="E331" s="38" t="str">
        <f t="shared" si="6"/>
        <v>24091811</v>
      </c>
      <c r="F331" s="38">
        <f t="shared" si="9"/>
        <v>0</v>
      </c>
      <c r="G331" s="41" t="s">
        <v>885</v>
      </c>
      <c r="H331" s="41" t="s">
        <v>1214</v>
      </c>
    </row>
    <row r="332" spans="1:8" ht="15">
      <c r="A332" s="38">
        <v>331</v>
      </c>
      <c r="B332" s="39">
        <v>5</v>
      </c>
      <c r="C332" s="40">
        <v>1</v>
      </c>
      <c r="D332" s="39">
        <v>204</v>
      </c>
      <c r="E332" s="38" t="str">
        <f t="shared" si="6"/>
        <v>24091994</v>
      </c>
      <c r="F332" s="38">
        <f t="shared" si="9"/>
        <v>0</v>
      </c>
      <c r="G332" s="41" t="s">
        <v>885</v>
      </c>
      <c r="H332" s="41" t="s">
        <v>723</v>
      </c>
    </row>
    <row r="333" spans="1:8" ht="15">
      <c r="A333" s="38">
        <v>332</v>
      </c>
      <c r="B333" s="39">
        <v>5</v>
      </c>
      <c r="C333" s="40">
        <v>1</v>
      </c>
      <c r="D333" s="39">
        <v>101</v>
      </c>
      <c r="E333" s="38" t="str">
        <f t="shared" si="6"/>
        <v>24092350</v>
      </c>
      <c r="F333" s="38">
        <f t="shared" si="9"/>
        <v>0</v>
      </c>
      <c r="G333" s="41" t="s">
        <v>885</v>
      </c>
      <c r="H333" s="41" t="s">
        <v>1215</v>
      </c>
    </row>
    <row r="334" spans="1:8" ht="15">
      <c r="A334" s="38">
        <v>333</v>
      </c>
      <c r="B334" s="39">
        <v>5</v>
      </c>
      <c r="C334" s="40">
        <v>1</v>
      </c>
      <c r="D334" s="39">
        <v>102</v>
      </c>
      <c r="E334" s="38" t="str">
        <f t="shared" si="6"/>
        <v>24092530</v>
      </c>
      <c r="F334" s="38">
        <f t="shared" si="9"/>
        <v>0</v>
      </c>
      <c r="G334" s="41" t="s">
        <v>885</v>
      </c>
      <c r="H334" s="41" t="s">
        <v>1216</v>
      </c>
    </row>
    <row r="335" spans="1:8" ht="15">
      <c r="A335" s="38">
        <v>334</v>
      </c>
      <c r="B335" s="39">
        <v>5</v>
      </c>
      <c r="C335" s="40">
        <v>1</v>
      </c>
      <c r="D335" s="39">
        <v>103</v>
      </c>
      <c r="E335" s="38" t="str">
        <f t="shared" si="6"/>
        <v>24092351</v>
      </c>
      <c r="F335" s="38">
        <f t="shared" si="9"/>
        <v>0</v>
      </c>
      <c r="G335" s="41" t="s">
        <v>885</v>
      </c>
      <c r="H335" s="41" t="s">
        <v>1217</v>
      </c>
    </row>
    <row r="336" spans="1:8" ht="15">
      <c r="A336" s="38">
        <v>335</v>
      </c>
      <c r="B336" s="39">
        <v>5</v>
      </c>
      <c r="C336" s="40">
        <v>1</v>
      </c>
      <c r="D336" s="39">
        <v>104</v>
      </c>
      <c r="E336" s="38" t="str">
        <f t="shared" si="6"/>
        <v>24092529</v>
      </c>
      <c r="F336" s="38">
        <f t="shared" si="9"/>
        <v>0</v>
      </c>
      <c r="G336" s="41" t="s">
        <v>885</v>
      </c>
      <c r="H336" s="41" t="s">
        <v>1218</v>
      </c>
    </row>
    <row r="337" spans="1:8" ht="15">
      <c r="A337" s="38">
        <v>336</v>
      </c>
      <c r="B337" s="39">
        <v>5</v>
      </c>
      <c r="C337" s="40">
        <v>1</v>
      </c>
      <c r="D337" s="39" t="s">
        <v>977</v>
      </c>
      <c r="E337" s="38" t="str">
        <f t="shared" si="6"/>
        <v>24092336</v>
      </c>
      <c r="F337" s="38" t="str">
        <f t="shared" si="9"/>
        <v>地下室</v>
      </c>
      <c r="G337" s="41" t="s">
        <v>885</v>
      </c>
      <c r="H337" s="41" t="s">
        <v>1219</v>
      </c>
    </row>
    <row r="338" spans="1:8" ht="15">
      <c r="A338" s="38">
        <v>337</v>
      </c>
      <c r="B338" s="39">
        <v>5</v>
      </c>
      <c r="C338" s="40">
        <v>1</v>
      </c>
      <c r="D338" s="39">
        <v>1601</v>
      </c>
      <c r="E338" s="38" t="str">
        <f t="shared" si="6"/>
        <v>24092671</v>
      </c>
      <c r="F338" s="38">
        <f t="shared" si="9"/>
        <v>1</v>
      </c>
      <c r="G338" s="41" t="s">
        <v>885</v>
      </c>
      <c r="H338" s="41" t="s">
        <v>1220</v>
      </c>
    </row>
    <row r="339" spans="1:8" ht="15">
      <c r="A339" s="38">
        <v>338</v>
      </c>
      <c r="B339" s="39">
        <v>5</v>
      </c>
      <c r="C339" s="40">
        <v>1</v>
      </c>
      <c r="D339" s="39">
        <v>1602</v>
      </c>
      <c r="E339" s="38" t="str">
        <f t="shared" si="6"/>
        <v>24092460</v>
      </c>
      <c r="F339" s="38">
        <f t="shared" si="9"/>
        <v>1</v>
      </c>
      <c r="G339" s="41" t="s">
        <v>885</v>
      </c>
      <c r="H339" s="41" t="s">
        <v>1221</v>
      </c>
    </row>
    <row r="340" spans="1:8" ht="15">
      <c r="A340" s="38">
        <v>339</v>
      </c>
      <c r="B340" s="39">
        <v>5</v>
      </c>
      <c r="C340" s="40">
        <v>1</v>
      </c>
      <c r="D340" s="39">
        <v>1603</v>
      </c>
      <c r="E340" s="38" t="str">
        <f t="shared" si="6"/>
        <v>24092323</v>
      </c>
      <c r="F340" s="38">
        <f t="shared" si="9"/>
        <v>1</v>
      </c>
      <c r="G340" s="41" t="s">
        <v>885</v>
      </c>
      <c r="H340" s="41" t="s">
        <v>722</v>
      </c>
    </row>
    <row r="341" spans="1:8" ht="15">
      <c r="A341" s="38">
        <v>340</v>
      </c>
      <c r="B341" s="39">
        <v>5</v>
      </c>
      <c r="C341" s="40">
        <v>1</v>
      </c>
      <c r="D341" s="39">
        <v>1604</v>
      </c>
      <c r="E341" s="38" t="str">
        <f t="shared" si="6"/>
        <v>24091829</v>
      </c>
      <c r="F341" s="38">
        <f t="shared" si="9"/>
        <v>1</v>
      </c>
      <c r="G341" s="41" t="s">
        <v>885</v>
      </c>
      <c r="H341" s="41" t="s">
        <v>1222</v>
      </c>
    </row>
    <row r="342" spans="1:8" ht="15">
      <c r="A342" s="38">
        <v>341</v>
      </c>
      <c r="B342" s="39">
        <v>5</v>
      </c>
      <c r="C342" s="40">
        <v>1</v>
      </c>
      <c r="D342" s="39">
        <v>1501</v>
      </c>
      <c r="E342" s="38" t="str">
        <f t="shared" si="6"/>
        <v>24092639</v>
      </c>
      <c r="F342" s="38">
        <f t="shared" si="9"/>
        <v>1</v>
      </c>
      <c r="G342" s="41" t="s">
        <v>885</v>
      </c>
      <c r="H342" s="41" t="s">
        <v>1223</v>
      </c>
    </row>
    <row r="343" spans="1:8" ht="15">
      <c r="A343" s="38">
        <v>342</v>
      </c>
      <c r="B343" s="39">
        <v>5</v>
      </c>
      <c r="C343" s="40">
        <v>1</v>
      </c>
      <c r="D343" s="39">
        <v>1502</v>
      </c>
      <c r="E343" s="38" t="str">
        <f t="shared" si="6"/>
        <v>24092123</v>
      </c>
      <c r="F343" s="38">
        <f t="shared" si="9"/>
        <v>1</v>
      </c>
      <c r="G343" s="41" t="s">
        <v>885</v>
      </c>
      <c r="H343" s="41" t="s">
        <v>1224</v>
      </c>
    </row>
    <row r="344" spans="1:8" ht="15">
      <c r="A344" s="38">
        <v>343</v>
      </c>
      <c r="B344" s="39">
        <v>5</v>
      </c>
      <c r="C344" s="40">
        <v>1</v>
      </c>
      <c r="D344" s="39">
        <v>1503</v>
      </c>
      <c r="E344" s="38" t="str">
        <f t="shared" si="6"/>
        <v>24092629</v>
      </c>
      <c r="F344" s="38">
        <f t="shared" si="9"/>
        <v>1</v>
      </c>
      <c r="G344" s="41" t="s">
        <v>885</v>
      </c>
      <c r="H344" s="41" t="s">
        <v>725</v>
      </c>
    </row>
    <row r="345" spans="1:8" ht="15">
      <c r="A345" s="38">
        <v>344</v>
      </c>
      <c r="B345" s="39">
        <v>5</v>
      </c>
      <c r="C345" s="40">
        <v>1</v>
      </c>
      <c r="D345" s="39">
        <v>1504</v>
      </c>
      <c r="E345" s="38" t="str">
        <f t="shared" si="6"/>
        <v>24092673</v>
      </c>
      <c r="F345" s="38">
        <f t="shared" si="9"/>
        <v>1</v>
      </c>
      <c r="G345" s="41" t="s">
        <v>885</v>
      </c>
      <c r="H345" s="41" t="s">
        <v>1225</v>
      </c>
    </row>
    <row r="346" spans="1:8" ht="15">
      <c r="A346" s="38">
        <v>345</v>
      </c>
      <c r="B346" s="39">
        <v>5</v>
      </c>
      <c r="C346" s="40">
        <v>1</v>
      </c>
      <c r="D346" s="39">
        <v>1401</v>
      </c>
      <c r="E346" s="38" t="str">
        <f t="shared" si="6"/>
        <v>24090494</v>
      </c>
      <c r="F346" s="38">
        <f t="shared" si="9"/>
        <v>1</v>
      </c>
      <c r="G346" s="41" t="s">
        <v>885</v>
      </c>
      <c r="H346" s="41" t="s">
        <v>1226</v>
      </c>
    </row>
    <row r="347" spans="1:8" ht="15">
      <c r="A347" s="38">
        <v>346</v>
      </c>
      <c r="B347" s="39">
        <v>5</v>
      </c>
      <c r="C347" s="40">
        <v>1</v>
      </c>
      <c r="D347" s="39">
        <v>1402</v>
      </c>
      <c r="E347" s="38" t="str">
        <f t="shared" si="6"/>
        <v>24090456</v>
      </c>
      <c r="F347" s="38">
        <f t="shared" si="9"/>
        <v>1</v>
      </c>
      <c r="G347" s="41" t="s">
        <v>885</v>
      </c>
      <c r="H347" s="41" t="s">
        <v>1227</v>
      </c>
    </row>
    <row r="348" spans="1:8" ht="15">
      <c r="A348" s="38">
        <v>347</v>
      </c>
      <c r="B348" s="39">
        <v>5</v>
      </c>
      <c r="C348" s="40">
        <v>1</v>
      </c>
      <c r="D348" s="39">
        <v>1403</v>
      </c>
      <c r="E348" s="38" t="str">
        <f t="shared" si="6"/>
        <v>24090460</v>
      </c>
      <c r="F348" s="38">
        <f t="shared" si="9"/>
        <v>1</v>
      </c>
      <c r="G348" s="41" t="s">
        <v>885</v>
      </c>
      <c r="H348" s="41" t="s">
        <v>1228</v>
      </c>
    </row>
    <row r="349" spans="1:8" ht="15">
      <c r="A349" s="38">
        <v>348</v>
      </c>
      <c r="B349" s="39">
        <v>5</v>
      </c>
      <c r="C349" s="40">
        <v>1</v>
      </c>
      <c r="D349" s="39">
        <v>1404</v>
      </c>
      <c r="E349" s="38" t="str">
        <f t="shared" si="6"/>
        <v>24090445</v>
      </c>
      <c r="F349" s="38">
        <f t="shared" si="9"/>
        <v>1</v>
      </c>
      <c r="G349" s="41" t="s">
        <v>885</v>
      </c>
      <c r="H349" s="41" t="s">
        <v>1229</v>
      </c>
    </row>
    <row r="350" spans="1:8" ht="15">
      <c r="A350" s="38">
        <v>349</v>
      </c>
      <c r="B350" s="39">
        <v>5</v>
      </c>
      <c r="C350" s="40">
        <v>1</v>
      </c>
      <c r="D350" s="39">
        <v>1301</v>
      </c>
      <c r="E350" s="38" t="str">
        <f t="shared" si="6"/>
        <v>24092359</v>
      </c>
      <c r="F350" s="38">
        <f t="shared" si="9"/>
        <v>1</v>
      </c>
      <c r="G350" s="41" t="s">
        <v>885</v>
      </c>
      <c r="H350" s="41" t="s">
        <v>1230</v>
      </c>
    </row>
    <row r="351" spans="1:8" ht="15">
      <c r="A351" s="38">
        <v>350</v>
      </c>
      <c r="B351" s="39">
        <v>5</v>
      </c>
      <c r="C351" s="40">
        <v>1</v>
      </c>
      <c r="D351" s="39">
        <v>1302</v>
      </c>
      <c r="E351" s="38" t="str">
        <f t="shared" si="6"/>
        <v>24092014</v>
      </c>
      <c r="F351" s="38">
        <f t="shared" si="9"/>
        <v>1</v>
      </c>
      <c r="G351" s="41" t="s">
        <v>885</v>
      </c>
      <c r="H351" s="41" t="s">
        <v>1231</v>
      </c>
    </row>
    <row r="352" spans="1:8" ht="15">
      <c r="A352" s="38">
        <v>351</v>
      </c>
      <c r="B352" s="39">
        <v>5</v>
      </c>
      <c r="C352" s="40">
        <v>1</v>
      </c>
      <c r="D352" s="39">
        <v>1303</v>
      </c>
      <c r="E352" s="38" t="str">
        <f t="shared" si="6"/>
        <v>24092111</v>
      </c>
      <c r="F352" s="38">
        <f t="shared" si="9"/>
        <v>1</v>
      </c>
      <c r="G352" s="41" t="s">
        <v>885</v>
      </c>
      <c r="H352" s="41" t="s">
        <v>1232</v>
      </c>
    </row>
    <row r="353" spans="1:8" ht="15">
      <c r="A353" s="38">
        <v>352</v>
      </c>
      <c r="B353" s="39">
        <v>5</v>
      </c>
      <c r="C353" s="40">
        <v>1</v>
      </c>
      <c r="D353" s="39">
        <v>1304</v>
      </c>
      <c r="E353" s="38" t="str">
        <f t="shared" si="6"/>
        <v>24092255</v>
      </c>
      <c r="F353" s="38">
        <f t="shared" si="9"/>
        <v>1</v>
      </c>
      <c r="G353" s="41" t="s">
        <v>885</v>
      </c>
      <c r="H353" s="41" t="s">
        <v>1233</v>
      </c>
    </row>
    <row r="354" spans="1:8" ht="15">
      <c r="A354" s="38">
        <v>353</v>
      </c>
      <c r="B354" s="39">
        <v>5</v>
      </c>
      <c r="C354" s="40">
        <v>1</v>
      </c>
      <c r="D354" s="39">
        <v>1201</v>
      </c>
      <c r="E354" s="38" t="str">
        <f t="shared" si="6"/>
        <v>24092003</v>
      </c>
      <c r="F354" s="38">
        <f t="shared" si="9"/>
        <v>1</v>
      </c>
      <c r="G354" s="41" t="s">
        <v>885</v>
      </c>
      <c r="H354" s="41" t="s">
        <v>1234</v>
      </c>
    </row>
    <row r="355" spans="1:8" ht="15">
      <c r="A355" s="38">
        <v>354</v>
      </c>
      <c r="B355" s="39">
        <v>5</v>
      </c>
      <c r="C355" s="40">
        <v>1</v>
      </c>
      <c r="D355" s="39">
        <v>1202</v>
      </c>
      <c r="E355" s="38" t="str">
        <f t="shared" si="6"/>
        <v>24092257</v>
      </c>
      <c r="F355" s="38">
        <f t="shared" si="9"/>
        <v>1</v>
      </c>
      <c r="G355" s="41" t="s">
        <v>885</v>
      </c>
      <c r="H355" s="41" t="s">
        <v>1235</v>
      </c>
    </row>
    <row r="356" spans="1:8" ht="15">
      <c r="A356" s="38">
        <v>355</v>
      </c>
      <c r="B356" s="39">
        <v>5</v>
      </c>
      <c r="C356" s="40">
        <v>1</v>
      </c>
      <c r="D356" s="39">
        <v>1203</v>
      </c>
      <c r="E356" s="38" t="str">
        <f t="shared" si="6"/>
        <v>24092040</v>
      </c>
      <c r="F356" s="38">
        <f t="shared" si="9"/>
        <v>1</v>
      </c>
      <c r="G356" s="41" t="s">
        <v>885</v>
      </c>
      <c r="H356" s="41" t="s">
        <v>1236</v>
      </c>
    </row>
    <row r="357" spans="1:8" ht="15">
      <c r="A357" s="38">
        <v>356</v>
      </c>
      <c r="B357" s="39">
        <v>5</v>
      </c>
      <c r="C357" s="40">
        <v>1</v>
      </c>
      <c r="D357" s="39">
        <v>1204</v>
      </c>
      <c r="E357" s="38" t="str">
        <f t="shared" si="6"/>
        <v>24092259</v>
      </c>
      <c r="F357" s="38">
        <f t="shared" si="9"/>
        <v>1</v>
      </c>
      <c r="G357" s="41" t="s">
        <v>885</v>
      </c>
      <c r="H357" s="41" t="s">
        <v>1237</v>
      </c>
    </row>
    <row r="358" spans="1:8" ht="15">
      <c r="A358" s="38">
        <v>357</v>
      </c>
      <c r="B358" s="39">
        <v>5</v>
      </c>
      <c r="C358" s="40">
        <v>1</v>
      </c>
      <c r="D358" s="39">
        <v>1101</v>
      </c>
      <c r="E358" s="38" t="str">
        <f t="shared" si="6"/>
        <v>24092009</v>
      </c>
      <c r="F358" s="38">
        <f t="shared" si="9"/>
        <v>1</v>
      </c>
      <c r="G358" s="41" t="s">
        <v>885</v>
      </c>
      <c r="H358" s="41" t="s">
        <v>1238</v>
      </c>
    </row>
    <row r="359" spans="1:8" ht="15">
      <c r="A359" s="38">
        <v>358</v>
      </c>
      <c r="B359" s="39">
        <v>5</v>
      </c>
      <c r="C359" s="40">
        <v>1</v>
      </c>
      <c r="D359" s="39">
        <v>1102</v>
      </c>
      <c r="E359" s="38" t="str">
        <f t="shared" si="6"/>
        <v>24092258</v>
      </c>
      <c r="F359" s="38">
        <f t="shared" si="9"/>
        <v>1</v>
      </c>
      <c r="G359" s="41" t="s">
        <v>885</v>
      </c>
      <c r="H359" s="41" t="s">
        <v>1239</v>
      </c>
    </row>
    <row r="360" spans="1:8" ht="15">
      <c r="A360" s="38">
        <v>359</v>
      </c>
      <c r="B360" s="39">
        <v>5</v>
      </c>
      <c r="C360" s="40">
        <v>1</v>
      </c>
      <c r="D360" s="39">
        <v>1103</v>
      </c>
      <c r="E360" s="38" t="str">
        <f t="shared" si="6"/>
        <v>24092005</v>
      </c>
      <c r="F360" s="38">
        <f t="shared" si="9"/>
        <v>1</v>
      </c>
      <c r="G360" s="41" t="s">
        <v>885</v>
      </c>
      <c r="H360" s="41" t="s">
        <v>1240</v>
      </c>
    </row>
    <row r="361" spans="1:8" ht="15">
      <c r="A361" s="38">
        <v>360</v>
      </c>
      <c r="B361" s="39">
        <v>5</v>
      </c>
      <c r="C361" s="40">
        <v>1</v>
      </c>
      <c r="D361" s="39">
        <v>1104</v>
      </c>
      <c r="E361" s="38" t="str">
        <f t="shared" si="6"/>
        <v>24092020</v>
      </c>
      <c r="F361" s="38">
        <f t="shared" si="9"/>
        <v>1</v>
      </c>
      <c r="G361" s="41" t="s">
        <v>885</v>
      </c>
      <c r="H361" s="41" t="s">
        <v>1241</v>
      </c>
    </row>
    <row r="362" spans="1:8" ht="15">
      <c r="A362" s="38">
        <v>361</v>
      </c>
      <c r="B362" s="39">
        <v>5</v>
      </c>
      <c r="C362" s="40">
        <v>1</v>
      </c>
      <c r="D362" s="39">
        <v>1001</v>
      </c>
      <c r="E362" s="38" t="str">
        <f t="shared" si="6"/>
        <v>24092296</v>
      </c>
      <c r="F362" s="38">
        <f t="shared" si="9"/>
        <v>1</v>
      </c>
      <c r="G362" s="41" t="s">
        <v>885</v>
      </c>
      <c r="H362" s="41" t="s">
        <v>1242</v>
      </c>
    </row>
    <row r="363" spans="1:8" ht="15">
      <c r="A363" s="38">
        <v>362</v>
      </c>
      <c r="B363" s="39">
        <v>5</v>
      </c>
      <c r="C363" s="40">
        <v>1</v>
      </c>
      <c r="D363" s="39">
        <v>1002</v>
      </c>
      <c r="E363" s="38" t="str">
        <f t="shared" si="6"/>
        <v>24092645</v>
      </c>
      <c r="F363" s="38">
        <f t="shared" si="9"/>
        <v>1</v>
      </c>
      <c r="G363" s="41" t="s">
        <v>885</v>
      </c>
      <c r="H363" s="41" t="s">
        <v>1243</v>
      </c>
    </row>
    <row r="364" spans="1:8" ht="15">
      <c r="A364" s="38">
        <v>363</v>
      </c>
      <c r="B364" s="39">
        <v>5</v>
      </c>
      <c r="C364" s="40">
        <v>1</v>
      </c>
      <c r="D364" s="39">
        <v>1003</v>
      </c>
      <c r="E364" s="38" t="str">
        <f t="shared" si="6"/>
        <v>24092387</v>
      </c>
      <c r="F364" s="38">
        <f t="shared" si="9"/>
        <v>1</v>
      </c>
      <c r="G364" s="41" t="s">
        <v>885</v>
      </c>
      <c r="H364" s="41" t="s">
        <v>1244</v>
      </c>
    </row>
    <row r="365" spans="1:8" ht="15">
      <c r="A365" s="38">
        <v>364</v>
      </c>
      <c r="B365" s="39">
        <v>5</v>
      </c>
      <c r="C365" s="40">
        <v>1</v>
      </c>
      <c r="D365" s="39">
        <v>1004</v>
      </c>
      <c r="E365" s="38" t="str">
        <f t="shared" si="6"/>
        <v>24092592</v>
      </c>
      <c r="F365" s="38">
        <f t="shared" si="9"/>
        <v>1</v>
      </c>
      <c r="G365" s="41" t="s">
        <v>885</v>
      </c>
      <c r="H365" s="41" t="s">
        <v>1245</v>
      </c>
    </row>
    <row r="366" spans="1:8" ht="15">
      <c r="A366" s="38">
        <v>365</v>
      </c>
      <c r="B366" s="39">
        <v>5</v>
      </c>
      <c r="C366" s="40">
        <v>1</v>
      </c>
      <c r="D366" s="39">
        <v>901</v>
      </c>
      <c r="E366" s="38" t="str">
        <f t="shared" si="6"/>
        <v>24092561</v>
      </c>
      <c r="F366" s="38">
        <f t="shared" si="9"/>
        <v>0</v>
      </c>
      <c r="G366" s="41" t="s">
        <v>885</v>
      </c>
      <c r="H366" s="41" t="s">
        <v>1246</v>
      </c>
    </row>
    <row r="367" spans="1:8" ht="15">
      <c r="A367" s="38">
        <v>366</v>
      </c>
      <c r="B367" s="39">
        <v>5</v>
      </c>
      <c r="C367" s="40">
        <v>1</v>
      </c>
      <c r="D367" s="39">
        <v>902</v>
      </c>
      <c r="E367" s="38" t="str">
        <f t="shared" si="6"/>
        <v>24092381</v>
      </c>
      <c r="F367" s="38">
        <f t="shared" si="9"/>
        <v>0</v>
      </c>
      <c r="G367" s="41" t="s">
        <v>885</v>
      </c>
      <c r="H367" s="41" t="s">
        <v>1247</v>
      </c>
    </row>
    <row r="368" spans="1:8" ht="15">
      <c r="A368" s="38">
        <v>367</v>
      </c>
      <c r="B368" s="39">
        <v>5</v>
      </c>
      <c r="C368" s="40">
        <v>1</v>
      </c>
      <c r="D368" s="39">
        <v>903</v>
      </c>
      <c r="E368" s="38" t="str">
        <f t="shared" si="6"/>
        <v>24092588</v>
      </c>
      <c r="F368" s="38">
        <f t="shared" si="9"/>
        <v>0</v>
      </c>
      <c r="G368" s="41" t="s">
        <v>885</v>
      </c>
      <c r="H368" s="41" t="s">
        <v>1248</v>
      </c>
    </row>
    <row r="369" spans="1:8" ht="15">
      <c r="A369" s="38">
        <v>368</v>
      </c>
      <c r="B369" s="39">
        <v>5</v>
      </c>
      <c r="C369" s="40">
        <v>1</v>
      </c>
      <c r="D369" s="39">
        <v>904</v>
      </c>
      <c r="E369" s="38" t="str">
        <f t="shared" si="6"/>
        <v>24092476</v>
      </c>
      <c r="F369" s="38">
        <f t="shared" si="9"/>
        <v>0</v>
      </c>
      <c r="G369" s="41" t="s">
        <v>885</v>
      </c>
      <c r="H369" s="41" t="s">
        <v>1249</v>
      </c>
    </row>
    <row r="370" spans="1:8" ht="15">
      <c r="A370" s="38">
        <v>369</v>
      </c>
      <c r="B370" s="39">
        <v>5</v>
      </c>
      <c r="C370" s="40">
        <v>1</v>
      </c>
      <c r="D370" s="39">
        <v>801</v>
      </c>
      <c r="E370" s="38" t="str">
        <f t="shared" si="6"/>
        <v>24092655</v>
      </c>
      <c r="F370" s="38">
        <f t="shared" si="9"/>
        <v>0</v>
      </c>
      <c r="G370" s="41" t="s">
        <v>885</v>
      </c>
      <c r="H370" s="41" t="s">
        <v>1250</v>
      </c>
    </row>
    <row r="371" spans="1:8" ht="15">
      <c r="A371" s="38">
        <v>370</v>
      </c>
      <c r="B371" s="39">
        <v>5</v>
      </c>
      <c r="C371" s="40">
        <v>1</v>
      </c>
      <c r="D371" s="39">
        <v>802</v>
      </c>
      <c r="E371" s="38" t="str">
        <f t="shared" si="6"/>
        <v>24092646</v>
      </c>
      <c r="F371" s="38">
        <f t="shared" si="9"/>
        <v>0</v>
      </c>
      <c r="G371" s="41" t="s">
        <v>885</v>
      </c>
      <c r="H371" s="41" t="s">
        <v>1251</v>
      </c>
    </row>
    <row r="372" spans="1:8" ht="15">
      <c r="A372" s="38">
        <v>371</v>
      </c>
      <c r="B372" s="39">
        <v>5</v>
      </c>
      <c r="C372" s="40">
        <v>1</v>
      </c>
      <c r="D372" s="39">
        <v>803</v>
      </c>
      <c r="E372" s="38" t="str">
        <f t="shared" si="6"/>
        <v>24092619</v>
      </c>
      <c r="F372" s="38">
        <f t="shared" si="9"/>
        <v>0</v>
      </c>
      <c r="G372" s="41" t="s">
        <v>885</v>
      </c>
      <c r="H372" s="41" t="s">
        <v>1252</v>
      </c>
    </row>
    <row r="373" spans="1:8" ht="15">
      <c r="A373" s="38">
        <v>372</v>
      </c>
      <c r="B373" s="39">
        <v>5</v>
      </c>
      <c r="C373" s="40">
        <v>1</v>
      </c>
      <c r="D373" s="39">
        <v>804</v>
      </c>
      <c r="E373" s="38" t="str">
        <f t="shared" si="6"/>
        <v>24092370</v>
      </c>
      <c r="F373" s="38">
        <f t="shared" si="9"/>
        <v>0</v>
      </c>
      <c r="G373" s="41" t="s">
        <v>885</v>
      </c>
      <c r="H373" s="41" t="s">
        <v>1253</v>
      </c>
    </row>
    <row r="374" spans="1:8" ht="15">
      <c r="A374" s="38">
        <v>373</v>
      </c>
      <c r="B374" s="39">
        <v>5</v>
      </c>
      <c r="C374" s="40">
        <v>1</v>
      </c>
      <c r="D374" s="39">
        <v>701</v>
      </c>
      <c r="E374" s="38" t="str">
        <f t="shared" si="6"/>
        <v>24092371</v>
      </c>
      <c r="F374" s="38">
        <f t="shared" si="9"/>
        <v>0</v>
      </c>
      <c r="G374" s="41" t="s">
        <v>885</v>
      </c>
      <c r="H374" s="41" t="s">
        <v>1254</v>
      </c>
    </row>
    <row r="375" spans="1:8" ht="15">
      <c r="A375" s="38">
        <v>374</v>
      </c>
      <c r="B375" s="39">
        <v>5</v>
      </c>
      <c r="C375" s="40">
        <v>1</v>
      </c>
      <c r="D375" s="39">
        <v>702</v>
      </c>
      <c r="E375" s="38" t="str">
        <f t="shared" si="6"/>
        <v>24092575</v>
      </c>
      <c r="F375" s="38">
        <f t="shared" si="9"/>
        <v>0</v>
      </c>
      <c r="G375" s="41" t="s">
        <v>885</v>
      </c>
      <c r="H375" s="41" t="s">
        <v>1255</v>
      </c>
    </row>
    <row r="376" spans="1:8" ht="15">
      <c r="A376" s="38">
        <v>375</v>
      </c>
      <c r="B376" s="39">
        <v>5</v>
      </c>
      <c r="C376" s="40">
        <v>1</v>
      </c>
      <c r="D376" s="39">
        <v>703</v>
      </c>
      <c r="E376" s="38" t="str">
        <f t="shared" si="6"/>
        <v>24092438</v>
      </c>
      <c r="F376" s="38">
        <f t="shared" si="9"/>
        <v>0</v>
      </c>
      <c r="G376" s="41" t="s">
        <v>885</v>
      </c>
      <c r="H376" s="41" t="s">
        <v>1256</v>
      </c>
    </row>
    <row r="377" spans="1:8" ht="15">
      <c r="A377" s="38">
        <v>376</v>
      </c>
      <c r="B377" s="39">
        <v>5</v>
      </c>
      <c r="C377" s="40">
        <v>1</v>
      </c>
      <c r="D377" s="39">
        <v>704</v>
      </c>
      <c r="E377" s="38" t="str">
        <f t="shared" si="6"/>
        <v>24092328</v>
      </c>
      <c r="F377" s="38">
        <f t="shared" si="9"/>
        <v>0</v>
      </c>
      <c r="G377" s="41" t="s">
        <v>885</v>
      </c>
      <c r="H377" s="41" t="s">
        <v>1257</v>
      </c>
    </row>
    <row r="378" spans="1:8" ht="15">
      <c r="A378" s="38">
        <v>377</v>
      </c>
      <c r="B378" s="39">
        <v>5</v>
      </c>
      <c r="C378" s="40">
        <v>1</v>
      </c>
      <c r="D378" s="39">
        <v>601</v>
      </c>
      <c r="E378" s="38" t="str">
        <f t="shared" si="6"/>
        <v>24092304</v>
      </c>
      <c r="F378" s="38">
        <f t="shared" si="9"/>
        <v>0</v>
      </c>
      <c r="G378" s="41" t="s">
        <v>885</v>
      </c>
      <c r="H378" s="41" t="s">
        <v>1258</v>
      </c>
    </row>
    <row r="379" spans="1:8" ht="15">
      <c r="A379" s="38">
        <v>378</v>
      </c>
      <c r="B379" s="39">
        <v>5</v>
      </c>
      <c r="C379" s="40">
        <v>1</v>
      </c>
      <c r="D379" s="39">
        <v>602</v>
      </c>
      <c r="E379" s="38" t="str">
        <f t="shared" si="6"/>
        <v>24092485</v>
      </c>
      <c r="F379" s="38">
        <f t="shared" si="9"/>
        <v>0</v>
      </c>
      <c r="G379" s="41" t="s">
        <v>885</v>
      </c>
      <c r="H379" s="41" t="s">
        <v>1259</v>
      </c>
    </row>
    <row r="380" spans="1:8" ht="15">
      <c r="A380" s="38">
        <v>379</v>
      </c>
      <c r="B380" s="39">
        <v>5</v>
      </c>
      <c r="C380" s="40">
        <v>1</v>
      </c>
      <c r="D380" s="39">
        <v>603</v>
      </c>
      <c r="E380" s="38" t="str">
        <f t="shared" si="6"/>
        <v>24092369</v>
      </c>
      <c r="F380" s="38">
        <f t="shared" si="9"/>
        <v>0</v>
      </c>
      <c r="G380" s="41" t="s">
        <v>885</v>
      </c>
      <c r="H380" s="41" t="s">
        <v>1260</v>
      </c>
    </row>
    <row r="381" spans="1:8" ht="15">
      <c r="A381" s="38">
        <v>380</v>
      </c>
      <c r="B381" s="39">
        <v>5</v>
      </c>
      <c r="C381" s="40">
        <v>1</v>
      </c>
      <c r="D381" s="39">
        <v>604</v>
      </c>
      <c r="E381" s="38" t="str">
        <f t="shared" si="6"/>
        <v>24092519</v>
      </c>
      <c r="F381" s="38">
        <f t="shared" si="9"/>
        <v>0</v>
      </c>
      <c r="G381" s="41" t="s">
        <v>885</v>
      </c>
      <c r="H381" s="41" t="s">
        <v>1261</v>
      </c>
    </row>
    <row r="382" spans="1:8" ht="15">
      <c r="A382" s="38">
        <v>381</v>
      </c>
      <c r="B382" s="39">
        <v>5</v>
      </c>
      <c r="C382" s="40">
        <v>1</v>
      </c>
      <c r="D382" s="39">
        <v>501</v>
      </c>
      <c r="E382" s="38" t="str">
        <f t="shared" si="6"/>
        <v>24092598</v>
      </c>
      <c r="F382" s="38">
        <f t="shared" si="9"/>
        <v>0</v>
      </c>
      <c r="G382" s="41" t="s">
        <v>885</v>
      </c>
      <c r="H382" s="41" t="s">
        <v>1262</v>
      </c>
    </row>
    <row r="383" spans="1:8" ht="15">
      <c r="A383" s="38">
        <v>382</v>
      </c>
      <c r="B383" s="39">
        <v>5</v>
      </c>
      <c r="C383" s="40">
        <v>1</v>
      </c>
      <c r="D383" s="39">
        <v>502</v>
      </c>
      <c r="E383" s="38" t="str">
        <f t="shared" si="6"/>
        <v>24092125</v>
      </c>
      <c r="F383" s="38">
        <f t="shared" si="9"/>
        <v>0</v>
      </c>
      <c r="G383" s="41" t="s">
        <v>885</v>
      </c>
      <c r="H383" s="41" t="s">
        <v>1263</v>
      </c>
    </row>
    <row r="384" spans="1:8" ht="15">
      <c r="A384" s="38">
        <v>383</v>
      </c>
      <c r="B384" s="39">
        <v>5</v>
      </c>
      <c r="C384" s="40">
        <v>1</v>
      </c>
      <c r="D384" s="39">
        <v>503</v>
      </c>
      <c r="E384" s="38" t="str">
        <f t="shared" si="6"/>
        <v>24092389</v>
      </c>
      <c r="F384" s="38">
        <f t="shared" si="9"/>
        <v>0</v>
      </c>
      <c r="G384" s="41" t="s">
        <v>885</v>
      </c>
      <c r="H384" s="41" t="s">
        <v>1264</v>
      </c>
    </row>
    <row r="385" spans="1:8" ht="15">
      <c r="A385" s="38">
        <v>384</v>
      </c>
      <c r="B385" s="39">
        <v>5</v>
      </c>
      <c r="C385" s="40">
        <v>1</v>
      </c>
      <c r="D385" s="39">
        <v>504</v>
      </c>
      <c r="E385" s="38" t="str">
        <f t="shared" si="6"/>
        <v>24092474</v>
      </c>
      <c r="F385" s="38">
        <f t="shared" si="9"/>
        <v>0</v>
      </c>
      <c r="G385" s="41" t="s">
        <v>885</v>
      </c>
      <c r="H385" s="41" t="s">
        <v>1265</v>
      </c>
    </row>
    <row r="386" spans="1:8" ht="15">
      <c r="A386" s="38">
        <v>385</v>
      </c>
      <c r="B386" s="39">
        <v>5</v>
      </c>
      <c r="C386" s="40">
        <v>1</v>
      </c>
      <c r="D386" s="39">
        <v>401</v>
      </c>
      <c r="E386" s="38" t="str">
        <f t="shared" si="6"/>
        <v>24092245</v>
      </c>
      <c r="F386" s="38">
        <f t="shared" si="9"/>
        <v>0</v>
      </c>
      <c r="G386" s="41" t="s">
        <v>885</v>
      </c>
      <c r="H386" s="41" t="s">
        <v>1266</v>
      </c>
    </row>
    <row r="387" spans="1:8" ht="15">
      <c r="A387" s="38">
        <v>386</v>
      </c>
      <c r="B387" s="39">
        <v>5</v>
      </c>
      <c r="C387" s="40">
        <v>1</v>
      </c>
      <c r="D387" s="39">
        <v>402</v>
      </c>
      <c r="E387" s="38" t="str">
        <f t="shared" si="6"/>
        <v>24092223</v>
      </c>
      <c r="F387" s="38">
        <f t="shared" ref="F387:F450" si="10">IFERROR(IF(VALUE(LEFT(D387,LEN(D387)-2))&lt;10,0,IF(VALUE(LEFT(D387,LEN(D387)-2))&lt;20,1,2)),D387)</f>
        <v>0</v>
      </c>
      <c r="G387" s="41" t="s">
        <v>885</v>
      </c>
      <c r="H387" s="41" t="s">
        <v>1267</v>
      </c>
    </row>
    <row r="388" spans="1:8" ht="15">
      <c r="A388" s="38">
        <v>387</v>
      </c>
      <c r="B388" s="39">
        <v>5</v>
      </c>
      <c r="C388" s="40">
        <v>1</v>
      </c>
      <c r="D388" s="39">
        <v>403</v>
      </c>
      <c r="E388" s="38" t="str">
        <f t="shared" si="6"/>
        <v>24091974</v>
      </c>
      <c r="F388" s="38">
        <f t="shared" si="10"/>
        <v>0</v>
      </c>
      <c r="G388" s="41" t="s">
        <v>885</v>
      </c>
      <c r="H388" s="41" t="s">
        <v>1268</v>
      </c>
    </row>
    <row r="389" spans="1:8" ht="15">
      <c r="A389" s="38">
        <v>388</v>
      </c>
      <c r="B389" s="39">
        <v>5</v>
      </c>
      <c r="C389" s="40">
        <v>1</v>
      </c>
      <c r="D389" s="39">
        <v>404</v>
      </c>
      <c r="E389" s="38" t="str">
        <f t="shared" si="6"/>
        <v>24092320</v>
      </c>
      <c r="F389" s="38">
        <f t="shared" si="10"/>
        <v>0</v>
      </c>
      <c r="G389" s="41" t="s">
        <v>885</v>
      </c>
      <c r="H389" s="41" t="s">
        <v>1269</v>
      </c>
    </row>
    <row r="390" spans="1:8" ht="15">
      <c r="A390" s="38">
        <v>389</v>
      </c>
      <c r="B390" s="39">
        <v>5</v>
      </c>
      <c r="C390" s="40">
        <v>1</v>
      </c>
      <c r="D390" s="39">
        <v>301</v>
      </c>
      <c r="E390" s="38" t="str">
        <f t="shared" si="6"/>
        <v>24092001</v>
      </c>
      <c r="F390" s="38">
        <f t="shared" si="10"/>
        <v>0</v>
      </c>
      <c r="G390" s="41" t="s">
        <v>885</v>
      </c>
      <c r="H390" s="41" t="s">
        <v>1270</v>
      </c>
    </row>
    <row r="391" spans="1:8" ht="15">
      <c r="A391" s="38">
        <v>390</v>
      </c>
      <c r="B391" s="39">
        <v>5</v>
      </c>
      <c r="C391" s="40">
        <v>1</v>
      </c>
      <c r="D391" s="39">
        <v>302</v>
      </c>
      <c r="E391" s="38" t="str">
        <f t="shared" si="6"/>
        <v>24092062</v>
      </c>
      <c r="F391" s="38">
        <f t="shared" si="10"/>
        <v>0</v>
      </c>
      <c r="G391" s="41" t="s">
        <v>885</v>
      </c>
      <c r="H391" s="41" t="s">
        <v>1271</v>
      </c>
    </row>
    <row r="392" spans="1:8" ht="15">
      <c r="A392" s="38">
        <v>391</v>
      </c>
      <c r="B392" s="39">
        <v>5</v>
      </c>
      <c r="C392" s="40">
        <v>1</v>
      </c>
      <c r="D392" s="39">
        <v>303</v>
      </c>
      <c r="E392" s="38" t="str">
        <f t="shared" si="6"/>
        <v>24092229</v>
      </c>
      <c r="F392" s="38">
        <f t="shared" si="10"/>
        <v>0</v>
      </c>
      <c r="G392" s="41" t="s">
        <v>885</v>
      </c>
      <c r="H392" s="41" t="s">
        <v>1272</v>
      </c>
    </row>
    <row r="393" spans="1:8" ht="15">
      <c r="A393" s="38">
        <v>392</v>
      </c>
      <c r="B393" s="39">
        <v>5</v>
      </c>
      <c r="C393" s="40">
        <v>1</v>
      </c>
      <c r="D393" s="39">
        <v>304</v>
      </c>
      <c r="E393" s="38" t="str">
        <f t="shared" si="6"/>
        <v>24092250</v>
      </c>
      <c r="F393" s="38">
        <f t="shared" si="10"/>
        <v>0</v>
      </c>
      <c r="G393" s="41" t="s">
        <v>885</v>
      </c>
      <c r="H393" s="41" t="s">
        <v>1273</v>
      </c>
    </row>
    <row r="394" spans="1:8" ht="15">
      <c r="A394" s="38">
        <v>393</v>
      </c>
      <c r="B394" s="39">
        <v>6</v>
      </c>
      <c r="C394" s="40">
        <v>1</v>
      </c>
      <c r="D394" s="39">
        <v>501</v>
      </c>
      <c r="E394" s="38" t="str">
        <f t="shared" si="6"/>
        <v>24092441</v>
      </c>
      <c r="F394" s="38">
        <f t="shared" si="10"/>
        <v>0</v>
      </c>
      <c r="G394" s="41" t="s">
        <v>885</v>
      </c>
      <c r="H394" s="41" t="s">
        <v>731</v>
      </c>
    </row>
    <row r="395" spans="1:8" ht="15">
      <c r="A395" s="38">
        <v>394</v>
      </c>
      <c r="B395" s="39">
        <v>6</v>
      </c>
      <c r="C395" s="40">
        <v>1</v>
      </c>
      <c r="D395" s="39">
        <v>502</v>
      </c>
      <c r="E395" s="38" t="str">
        <f t="shared" si="6"/>
        <v>24092331</v>
      </c>
      <c r="F395" s="38">
        <f t="shared" si="10"/>
        <v>0</v>
      </c>
      <c r="G395" s="41" t="s">
        <v>885</v>
      </c>
      <c r="H395" s="41" t="s">
        <v>1274</v>
      </c>
    </row>
    <row r="396" spans="1:8" ht="15">
      <c r="A396" s="38">
        <v>395</v>
      </c>
      <c r="B396" s="39">
        <v>6</v>
      </c>
      <c r="C396" s="40">
        <v>1</v>
      </c>
      <c r="D396" s="39">
        <v>503</v>
      </c>
      <c r="E396" s="38" t="str">
        <f t="shared" si="6"/>
        <v>24092152</v>
      </c>
      <c r="F396" s="38">
        <f t="shared" si="10"/>
        <v>0</v>
      </c>
      <c r="G396" s="41" t="s">
        <v>885</v>
      </c>
      <c r="H396" s="41" t="s">
        <v>1275</v>
      </c>
    </row>
    <row r="397" spans="1:8" ht="15">
      <c r="A397" s="38">
        <v>396</v>
      </c>
      <c r="B397" s="39">
        <v>6</v>
      </c>
      <c r="C397" s="40">
        <v>1</v>
      </c>
      <c r="D397" s="39">
        <v>504</v>
      </c>
      <c r="E397" s="38" t="str">
        <f t="shared" si="6"/>
        <v>24092201</v>
      </c>
      <c r="F397" s="38">
        <f t="shared" si="10"/>
        <v>0</v>
      </c>
      <c r="G397" s="41" t="s">
        <v>885</v>
      </c>
      <c r="H397" s="41" t="s">
        <v>1276</v>
      </c>
    </row>
    <row r="398" spans="1:8" ht="15">
      <c r="A398" s="38">
        <v>397</v>
      </c>
      <c r="B398" s="39">
        <v>6</v>
      </c>
      <c r="C398" s="40">
        <v>1</v>
      </c>
      <c r="D398" s="39">
        <v>401</v>
      </c>
      <c r="E398" s="38" t="str">
        <f t="shared" si="6"/>
        <v>24092329</v>
      </c>
      <c r="F398" s="38">
        <f t="shared" si="10"/>
        <v>0</v>
      </c>
      <c r="G398" s="41" t="s">
        <v>885</v>
      </c>
      <c r="H398" s="41" t="s">
        <v>1277</v>
      </c>
    </row>
    <row r="399" spans="1:8" ht="15">
      <c r="A399" s="38">
        <v>398</v>
      </c>
      <c r="B399" s="39">
        <v>6</v>
      </c>
      <c r="C399" s="40">
        <v>1</v>
      </c>
      <c r="D399" s="39">
        <v>402</v>
      </c>
      <c r="E399" s="38" t="str">
        <f t="shared" si="6"/>
        <v>24092427</v>
      </c>
      <c r="F399" s="38">
        <f t="shared" si="10"/>
        <v>0</v>
      </c>
      <c r="G399" s="41" t="s">
        <v>885</v>
      </c>
      <c r="H399" s="41" t="s">
        <v>1278</v>
      </c>
    </row>
    <row r="400" spans="1:8" ht="15">
      <c r="A400" s="38">
        <v>399</v>
      </c>
      <c r="B400" s="39">
        <v>6</v>
      </c>
      <c r="C400" s="40">
        <v>1</v>
      </c>
      <c r="D400" s="39">
        <v>403</v>
      </c>
      <c r="E400" s="38" t="str">
        <f t="shared" si="6"/>
        <v>24092380</v>
      </c>
      <c r="F400" s="38">
        <f t="shared" si="10"/>
        <v>0</v>
      </c>
      <c r="G400" s="41" t="s">
        <v>885</v>
      </c>
      <c r="H400" s="41" t="s">
        <v>1279</v>
      </c>
    </row>
    <row r="401" spans="1:8" ht="15">
      <c r="A401" s="38">
        <v>400</v>
      </c>
      <c r="B401" s="39">
        <v>6</v>
      </c>
      <c r="C401" s="40">
        <v>1</v>
      </c>
      <c r="D401" s="39">
        <v>404</v>
      </c>
      <c r="E401" s="38" t="str">
        <f t="shared" si="6"/>
        <v>24092327</v>
      </c>
      <c r="F401" s="38">
        <f t="shared" si="10"/>
        <v>0</v>
      </c>
      <c r="G401" s="41" t="s">
        <v>885</v>
      </c>
      <c r="H401" s="41" t="s">
        <v>1280</v>
      </c>
    </row>
    <row r="402" spans="1:8" ht="15">
      <c r="A402" s="38">
        <v>401</v>
      </c>
      <c r="B402" s="39">
        <v>6</v>
      </c>
      <c r="C402" s="40">
        <v>1</v>
      </c>
      <c r="D402" s="39">
        <v>301</v>
      </c>
      <c r="E402" s="38" t="str">
        <f t="shared" si="6"/>
        <v>24092516</v>
      </c>
      <c r="F402" s="38">
        <f t="shared" si="10"/>
        <v>0</v>
      </c>
      <c r="G402" s="41" t="s">
        <v>885</v>
      </c>
      <c r="H402" s="41" t="s">
        <v>718</v>
      </c>
    </row>
    <row r="403" spans="1:8" ht="15">
      <c r="A403" s="38">
        <v>402</v>
      </c>
      <c r="B403" s="39">
        <v>6</v>
      </c>
      <c r="C403" s="40">
        <v>1</v>
      </c>
      <c r="D403" s="39">
        <v>302</v>
      </c>
      <c r="E403" s="38" t="str">
        <f t="shared" si="6"/>
        <v>24092563</v>
      </c>
      <c r="F403" s="38">
        <f t="shared" si="10"/>
        <v>0</v>
      </c>
      <c r="G403" s="41" t="s">
        <v>885</v>
      </c>
      <c r="H403" s="41" t="s">
        <v>1281</v>
      </c>
    </row>
    <row r="404" spans="1:8" ht="15">
      <c r="A404" s="38">
        <v>403</v>
      </c>
      <c r="B404" s="39">
        <v>6</v>
      </c>
      <c r="C404" s="40">
        <v>1</v>
      </c>
      <c r="D404" s="39">
        <v>303</v>
      </c>
      <c r="E404" s="38" t="str">
        <f t="shared" si="6"/>
        <v>24092390</v>
      </c>
      <c r="F404" s="38">
        <f t="shared" si="10"/>
        <v>0</v>
      </c>
      <c r="G404" s="41" t="s">
        <v>885</v>
      </c>
      <c r="H404" s="41" t="s">
        <v>1282</v>
      </c>
    </row>
    <row r="405" spans="1:8" ht="15">
      <c r="A405" s="38">
        <v>404</v>
      </c>
      <c r="B405" s="39">
        <v>6</v>
      </c>
      <c r="C405" s="40">
        <v>1</v>
      </c>
      <c r="D405" s="39">
        <v>304</v>
      </c>
      <c r="E405" s="38" t="str">
        <f t="shared" si="6"/>
        <v>24092434</v>
      </c>
      <c r="F405" s="38">
        <f t="shared" si="10"/>
        <v>0</v>
      </c>
      <c r="G405" s="41" t="s">
        <v>885</v>
      </c>
      <c r="H405" s="41" t="s">
        <v>1283</v>
      </c>
    </row>
    <row r="406" spans="1:8" ht="15">
      <c r="A406" s="38">
        <v>405</v>
      </c>
      <c r="B406" s="39">
        <v>6</v>
      </c>
      <c r="C406" s="40">
        <v>1</v>
      </c>
      <c r="D406" s="39">
        <v>201</v>
      </c>
      <c r="E406" s="38" t="str">
        <f t="shared" si="6"/>
        <v>24092635</v>
      </c>
      <c r="F406" s="38">
        <f t="shared" si="10"/>
        <v>0</v>
      </c>
      <c r="G406" s="41" t="s">
        <v>885</v>
      </c>
      <c r="H406" s="41" t="s">
        <v>1284</v>
      </c>
    </row>
    <row r="407" spans="1:8" ht="15">
      <c r="A407" s="38">
        <v>406</v>
      </c>
      <c r="B407" s="39">
        <v>6</v>
      </c>
      <c r="C407" s="40">
        <v>1</v>
      </c>
      <c r="D407" s="39">
        <v>202</v>
      </c>
      <c r="E407" s="38" t="str">
        <f t="shared" si="6"/>
        <v>24092507</v>
      </c>
      <c r="F407" s="38">
        <f t="shared" si="10"/>
        <v>0</v>
      </c>
      <c r="G407" s="41" t="s">
        <v>885</v>
      </c>
      <c r="H407" s="41" t="s">
        <v>1285</v>
      </c>
    </row>
    <row r="408" spans="1:8" ht="15">
      <c r="A408" s="38">
        <v>407</v>
      </c>
      <c r="B408" s="39">
        <v>6</v>
      </c>
      <c r="C408" s="40">
        <v>1</v>
      </c>
      <c r="D408" s="39">
        <v>1901</v>
      </c>
      <c r="E408" s="38" t="str">
        <f t="shared" si="6"/>
        <v>24091846</v>
      </c>
      <c r="F408" s="38">
        <f t="shared" si="10"/>
        <v>1</v>
      </c>
      <c r="G408" s="41" t="s">
        <v>885</v>
      </c>
      <c r="H408" s="41" t="s">
        <v>1286</v>
      </c>
    </row>
    <row r="409" spans="1:8" ht="15">
      <c r="A409" s="38">
        <v>408</v>
      </c>
      <c r="B409" s="39">
        <v>6</v>
      </c>
      <c r="C409" s="40">
        <v>1</v>
      </c>
      <c r="D409" s="39">
        <v>1902</v>
      </c>
      <c r="E409" s="38" t="str">
        <f t="shared" si="6"/>
        <v>24091833</v>
      </c>
      <c r="F409" s="38">
        <f t="shared" si="10"/>
        <v>1</v>
      </c>
      <c r="G409" s="41" t="s">
        <v>885</v>
      </c>
      <c r="H409" s="41" t="s">
        <v>1287</v>
      </c>
    </row>
    <row r="410" spans="1:8" ht="15">
      <c r="A410" s="38">
        <v>409</v>
      </c>
      <c r="B410" s="39">
        <v>6</v>
      </c>
      <c r="C410" s="40">
        <v>1</v>
      </c>
      <c r="D410" s="39">
        <v>1903</v>
      </c>
      <c r="E410" s="38" t="str">
        <f t="shared" si="6"/>
        <v>24092095</v>
      </c>
      <c r="F410" s="38">
        <f t="shared" si="10"/>
        <v>1</v>
      </c>
      <c r="G410" s="41" t="s">
        <v>885</v>
      </c>
      <c r="H410" s="41" t="s">
        <v>1288</v>
      </c>
    </row>
    <row r="411" spans="1:8" ht="15">
      <c r="A411" s="38">
        <v>410</v>
      </c>
      <c r="B411" s="39">
        <v>6</v>
      </c>
      <c r="C411" s="40">
        <v>1</v>
      </c>
      <c r="D411" s="39">
        <v>1904</v>
      </c>
      <c r="E411" s="38" t="str">
        <f t="shared" si="6"/>
        <v>24091847</v>
      </c>
      <c r="F411" s="38">
        <f t="shared" si="10"/>
        <v>1</v>
      </c>
      <c r="G411" s="41" t="s">
        <v>885</v>
      </c>
      <c r="H411" s="41" t="s">
        <v>1289</v>
      </c>
    </row>
    <row r="412" spans="1:8" ht="15">
      <c r="A412" s="38">
        <v>411</v>
      </c>
      <c r="B412" s="39">
        <v>6</v>
      </c>
      <c r="C412" s="40">
        <v>1</v>
      </c>
      <c r="D412" s="39">
        <v>1801</v>
      </c>
      <c r="E412" s="38" t="str">
        <f t="shared" si="6"/>
        <v>24091850</v>
      </c>
      <c r="F412" s="38">
        <f t="shared" si="10"/>
        <v>1</v>
      </c>
      <c r="G412" s="41" t="s">
        <v>885</v>
      </c>
      <c r="H412" s="41" t="s">
        <v>1290</v>
      </c>
    </row>
    <row r="413" spans="1:8" ht="15">
      <c r="A413" s="38">
        <v>412</v>
      </c>
      <c r="B413" s="39">
        <v>6</v>
      </c>
      <c r="C413" s="40">
        <v>1</v>
      </c>
      <c r="D413" s="39">
        <v>1802</v>
      </c>
      <c r="E413" s="38" t="str">
        <f t="shared" si="6"/>
        <v>24091840</v>
      </c>
      <c r="F413" s="38">
        <f t="shared" si="10"/>
        <v>1</v>
      </c>
      <c r="G413" s="41" t="s">
        <v>885</v>
      </c>
      <c r="H413" s="41" t="s">
        <v>1291</v>
      </c>
    </row>
    <row r="414" spans="1:8" ht="15">
      <c r="A414" s="38">
        <v>413</v>
      </c>
      <c r="B414" s="39">
        <v>6</v>
      </c>
      <c r="C414" s="40">
        <v>1</v>
      </c>
      <c r="D414" s="39">
        <v>1803</v>
      </c>
      <c r="E414" s="38" t="str">
        <f t="shared" si="6"/>
        <v>24091837</v>
      </c>
      <c r="F414" s="38">
        <f t="shared" si="10"/>
        <v>1</v>
      </c>
      <c r="G414" s="41" t="s">
        <v>885</v>
      </c>
      <c r="H414" s="41" t="s">
        <v>1292</v>
      </c>
    </row>
    <row r="415" spans="1:8" ht="15">
      <c r="A415" s="38">
        <v>414</v>
      </c>
      <c r="B415" s="39">
        <v>6</v>
      </c>
      <c r="C415" s="40">
        <v>1</v>
      </c>
      <c r="D415" s="39">
        <v>1804</v>
      </c>
      <c r="E415" s="38" t="str">
        <f t="shared" si="6"/>
        <v>24091828</v>
      </c>
      <c r="F415" s="38">
        <f t="shared" si="10"/>
        <v>1</v>
      </c>
      <c r="G415" s="41" t="s">
        <v>885</v>
      </c>
      <c r="H415" s="41" t="s">
        <v>1293</v>
      </c>
    </row>
    <row r="416" spans="1:8" ht="15">
      <c r="A416" s="38">
        <v>415</v>
      </c>
      <c r="B416" s="39">
        <v>6</v>
      </c>
      <c r="C416" s="40">
        <v>1</v>
      </c>
      <c r="D416" s="39">
        <v>1701</v>
      </c>
      <c r="E416" s="38" t="str">
        <f t="shared" si="6"/>
        <v>24092405</v>
      </c>
      <c r="F416" s="38">
        <f t="shared" si="10"/>
        <v>1</v>
      </c>
      <c r="G416" s="41" t="s">
        <v>885</v>
      </c>
      <c r="H416" s="41" t="s">
        <v>1294</v>
      </c>
    </row>
    <row r="417" spans="1:8" ht="15">
      <c r="A417" s="38">
        <v>416</v>
      </c>
      <c r="B417" s="39">
        <v>6</v>
      </c>
      <c r="C417" s="40">
        <v>1</v>
      </c>
      <c r="D417" s="39">
        <v>1702</v>
      </c>
      <c r="E417" s="38" t="str">
        <f t="shared" si="6"/>
        <v>24092584</v>
      </c>
      <c r="F417" s="38">
        <f t="shared" si="10"/>
        <v>1</v>
      </c>
      <c r="G417" s="41" t="s">
        <v>885</v>
      </c>
      <c r="H417" s="41" t="s">
        <v>1295</v>
      </c>
    </row>
    <row r="418" spans="1:8" ht="15">
      <c r="A418" s="38">
        <v>417</v>
      </c>
      <c r="B418" s="39">
        <v>6</v>
      </c>
      <c r="C418" s="40">
        <v>1</v>
      </c>
      <c r="D418" s="39">
        <v>1703</v>
      </c>
      <c r="E418" s="38" t="str">
        <f t="shared" si="6"/>
        <v>24092410</v>
      </c>
      <c r="F418" s="38">
        <f t="shared" si="10"/>
        <v>1</v>
      </c>
      <c r="G418" s="41" t="s">
        <v>885</v>
      </c>
      <c r="H418" s="41" t="s">
        <v>1296</v>
      </c>
    </row>
    <row r="419" spans="1:8" ht="15">
      <c r="A419" s="38">
        <v>418</v>
      </c>
      <c r="B419" s="39">
        <v>6</v>
      </c>
      <c r="C419" s="40">
        <v>1</v>
      </c>
      <c r="D419" s="39">
        <v>1704</v>
      </c>
      <c r="E419" s="38" t="str">
        <f t="shared" si="6"/>
        <v>24092560</v>
      </c>
      <c r="F419" s="38">
        <f t="shared" si="10"/>
        <v>1</v>
      </c>
      <c r="G419" s="41" t="s">
        <v>885</v>
      </c>
      <c r="H419" s="41" t="s">
        <v>1297</v>
      </c>
    </row>
    <row r="420" spans="1:8" ht="15">
      <c r="A420" s="38">
        <v>419</v>
      </c>
      <c r="B420" s="39">
        <v>6</v>
      </c>
      <c r="C420" s="40">
        <v>1</v>
      </c>
      <c r="D420" s="39">
        <v>1601</v>
      </c>
      <c r="E420" s="38" t="str">
        <f t="shared" si="6"/>
        <v>24092408</v>
      </c>
      <c r="F420" s="38">
        <f t="shared" si="10"/>
        <v>1</v>
      </c>
      <c r="G420" s="41" t="s">
        <v>885</v>
      </c>
      <c r="H420" s="41" t="s">
        <v>1298</v>
      </c>
    </row>
    <row r="421" spans="1:8" ht="15">
      <c r="A421" s="38">
        <v>420</v>
      </c>
      <c r="B421" s="39">
        <v>6</v>
      </c>
      <c r="C421" s="40">
        <v>1</v>
      </c>
      <c r="D421" s="39">
        <v>1602</v>
      </c>
      <c r="E421" s="38" t="str">
        <f t="shared" si="6"/>
        <v>24092591</v>
      </c>
      <c r="F421" s="38">
        <f t="shared" si="10"/>
        <v>1</v>
      </c>
      <c r="G421" s="41" t="s">
        <v>885</v>
      </c>
      <c r="H421" s="41" t="s">
        <v>1299</v>
      </c>
    </row>
    <row r="422" spans="1:8" ht="15">
      <c r="A422" s="38">
        <v>421</v>
      </c>
      <c r="B422" s="39">
        <v>6</v>
      </c>
      <c r="C422" s="40">
        <v>1</v>
      </c>
      <c r="D422" s="39">
        <v>1603</v>
      </c>
      <c r="E422" s="38" t="str">
        <f t="shared" si="6"/>
        <v>24091830</v>
      </c>
      <c r="F422" s="38">
        <f t="shared" si="10"/>
        <v>1</v>
      </c>
      <c r="G422" s="41" t="s">
        <v>885</v>
      </c>
      <c r="H422" s="41" t="s">
        <v>1300</v>
      </c>
    </row>
    <row r="423" spans="1:8" ht="15">
      <c r="A423" s="38">
        <v>422</v>
      </c>
      <c r="B423" s="39">
        <v>6</v>
      </c>
      <c r="C423" s="40">
        <v>1</v>
      </c>
      <c r="D423" s="39">
        <v>1604</v>
      </c>
      <c r="E423" s="38" t="str">
        <f t="shared" si="6"/>
        <v>24092490</v>
      </c>
      <c r="F423" s="38">
        <f t="shared" si="10"/>
        <v>1</v>
      </c>
      <c r="G423" s="41" t="s">
        <v>885</v>
      </c>
      <c r="H423" s="41" t="s">
        <v>1301</v>
      </c>
    </row>
    <row r="424" spans="1:8" ht="15">
      <c r="A424" s="38">
        <v>423</v>
      </c>
      <c r="B424" s="39">
        <v>6</v>
      </c>
      <c r="C424" s="40">
        <v>1</v>
      </c>
      <c r="D424" s="39">
        <v>1501</v>
      </c>
      <c r="E424" s="38" t="str">
        <f t="shared" si="6"/>
        <v>24092501</v>
      </c>
      <c r="F424" s="38">
        <f t="shared" si="10"/>
        <v>1</v>
      </c>
      <c r="G424" s="41" t="s">
        <v>885</v>
      </c>
      <c r="H424" s="41" t="s">
        <v>1302</v>
      </c>
    </row>
    <row r="425" spans="1:8" ht="15">
      <c r="A425" s="38">
        <v>424</v>
      </c>
      <c r="B425" s="39">
        <v>6</v>
      </c>
      <c r="C425" s="40">
        <v>1</v>
      </c>
      <c r="D425" s="39">
        <v>1502</v>
      </c>
      <c r="E425" s="38" t="str">
        <f t="shared" si="6"/>
        <v>24092567</v>
      </c>
      <c r="F425" s="38">
        <f t="shared" si="10"/>
        <v>1</v>
      </c>
      <c r="G425" s="41" t="s">
        <v>885</v>
      </c>
      <c r="H425" s="41" t="s">
        <v>1303</v>
      </c>
    </row>
    <row r="426" spans="1:8" ht="15">
      <c r="A426" s="38">
        <v>425</v>
      </c>
      <c r="B426" s="39">
        <v>6</v>
      </c>
      <c r="C426" s="40">
        <v>1</v>
      </c>
      <c r="D426" s="39">
        <v>1503</v>
      </c>
      <c r="E426" s="38" t="str">
        <f t="shared" si="6"/>
        <v>24092564</v>
      </c>
      <c r="F426" s="38">
        <f t="shared" si="10"/>
        <v>1</v>
      </c>
      <c r="G426" s="41" t="s">
        <v>885</v>
      </c>
      <c r="H426" s="41" t="s">
        <v>1304</v>
      </c>
    </row>
    <row r="427" spans="1:8" ht="15">
      <c r="A427" s="38">
        <v>426</v>
      </c>
      <c r="B427" s="39">
        <v>6</v>
      </c>
      <c r="C427" s="40">
        <v>1</v>
      </c>
      <c r="D427" s="39">
        <v>1504</v>
      </c>
      <c r="E427" s="38" t="str">
        <f t="shared" si="6"/>
        <v>24092483</v>
      </c>
      <c r="F427" s="38">
        <f t="shared" si="10"/>
        <v>1</v>
      </c>
      <c r="G427" s="41" t="s">
        <v>885</v>
      </c>
      <c r="H427" s="41" t="s">
        <v>1305</v>
      </c>
    </row>
    <row r="428" spans="1:8" ht="15">
      <c r="A428" s="38">
        <v>427</v>
      </c>
      <c r="B428" s="39">
        <v>6</v>
      </c>
      <c r="C428" s="40">
        <v>1</v>
      </c>
      <c r="D428" s="39">
        <v>1401</v>
      </c>
      <c r="E428" s="38" t="str">
        <f t="shared" si="6"/>
        <v>24092299</v>
      </c>
      <c r="F428" s="38">
        <f t="shared" si="10"/>
        <v>1</v>
      </c>
      <c r="G428" s="41" t="s">
        <v>885</v>
      </c>
      <c r="H428" s="41" t="s">
        <v>1306</v>
      </c>
    </row>
    <row r="429" spans="1:8" ht="15">
      <c r="A429" s="38">
        <v>428</v>
      </c>
      <c r="B429" s="39">
        <v>6</v>
      </c>
      <c r="C429" s="40">
        <v>1</v>
      </c>
      <c r="D429" s="39">
        <v>1402</v>
      </c>
      <c r="E429" s="38" t="str">
        <f t="shared" si="6"/>
        <v>24092306</v>
      </c>
      <c r="F429" s="38">
        <f t="shared" si="10"/>
        <v>1</v>
      </c>
      <c r="G429" s="41" t="s">
        <v>885</v>
      </c>
      <c r="H429" s="41" t="s">
        <v>1307</v>
      </c>
    </row>
    <row r="430" spans="1:8" ht="15">
      <c r="A430" s="38">
        <v>429</v>
      </c>
      <c r="B430" s="39">
        <v>6</v>
      </c>
      <c r="C430" s="40">
        <v>1</v>
      </c>
      <c r="D430" s="39">
        <v>1403</v>
      </c>
      <c r="E430" s="38" t="str">
        <f t="shared" si="6"/>
        <v>24092439</v>
      </c>
      <c r="F430" s="38">
        <f t="shared" si="10"/>
        <v>1</v>
      </c>
      <c r="G430" s="41" t="s">
        <v>885</v>
      </c>
      <c r="H430" s="41" t="s">
        <v>1308</v>
      </c>
    </row>
    <row r="431" spans="1:8" ht="15">
      <c r="A431" s="38">
        <v>430</v>
      </c>
      <c r="B431" s="39">
        <v>6</v>
      </c>
      <c r="C431" s="40">
        <v>1</v>
      </c>
      <c r="D431" s="39">
        <v>1404</v>
      </c>
      <c r="E431" s="38" t="str">
        <f t="shared" si="6"/>
        <v>24092365</v>
      </c>
      <c r="F431" s="38">
        <f t="shared" si="10"/>
        <v>1</v>
      </c>
      <c r="G431" s="41" t="s">
        <v>885</v>
      </c>
      <c r="H431" s="41" t="s">
        <v>1309</v>
      </c>
    </row>
    <row r="432" spans="1:8" ht="15">
      <c r="A432" s="38">
        <v>431</v>
      </c>
      <c r="B432" s="39">
        <v>6</v>
      </c>
      <c r="C432" s="40">
        <v>1</v>
      </c>
      <c r="D432" s="39">
        <v>1301</v>
      </c>
      <c r="E432" s="38" t="str">
        <f t="shared" si="6"/>
        <v>24092514</v>
      </c>
      <c r="F432" s="38">
        <f t="shared" si="10"/>
        <v>1</v>
      </c>
      <c r="G432" s="41" t="s">
        <v>885</v>
      </c>
      <c r="H432" s="41" t="s">
        <v>1310</v>
      </c>
    </row>
    <row r="433" spans="1:8" ht="15">
      <c r="A433" s="38">
        <v>432</v>
      </c>
      <c r="B433" s="39">
        <v>6</v>
      </c>
      <c r="C433" s="40">
        <v>1</v>
      </c>
      <c r="D433" s="39">
        <v>1302</v>
      </c>
      <c r="E433" s="38" t="str">
        <f t="shared" si="6"/>
        <v>24092554</v>
      </c>
      <c r="F433" s="38">
        <f t="shared" si="10"/>
        <v>1</v>
      </c>
      <c r="G433" s="41" t="s">
        <v>885</v>
      </c>
      <c r="H433" s="41" t="s">
        <v>1311</v>
      </c>
    </row>
    <row r="434" spans="1:8" ht="15">
      <c r="A434" s="38">
        <v>433</v>
      </c>
      <c r="B434" s="39">
        <v>6</v>
      </c>
      <c r="C434" s="40">
        <v>1</v>
      </c>
      <c r="D434" s="39">
        <v>1303</v>
      </c>
      <c r="E434" s="38" t="str">
        <f t="shared" si="6"/>
        <v>24092396</v>
      </c>
      <c r="F434" s="38">
        <f t="shared" si="10"/>
        <v>1</v>
      </c>
      <c r="G434" s="41" t="s">
        <v>885</v>
      </c>
      <c r="H434" s="41" t="s">
        <v>1312</v>
      </c>
    </row>
    <row r="435" spans="1:8" ht="15">
      <c r="A435" s="38">
        <v>434</v>
      </c>
      <c r="B435" s="39">
        <v>6</v>
      </c>
      <c r="C435" s="40">
        <v>1</v>
      </c>
      <c r="D435" s="39">
        <v>1304</v>
      </c>
      <c r="E435" s="38" t="str">
        <f t="shared" si="6"/>
        <v>24092517</v>
      </c>
      <c r="F435" s="38">
        <f t="shared" si="10"/>
        <v>1</v>
      </c>
      <c r="G435" s="41" t="s">
        <v>885</v>
      </c>
      <c r="H435" s="41" t="s">
        <v>1313</v>
      </c>
    </row>
    <row r="436" spans="1:8" ht="15">
      <c r="A436" s="38">
        <v>435</v>
      </c>
      <c r="B436" s="39">
        <v>6</v>
      </c>
      <c r="C436" s="40">
        <v>1</v>
      </c>
      <c r="D436" s="39">
        <v>203</v>
      </c>
      <c r="E436" s="38" t="str">
        <f t="shared" si="6"/>
        <v>24092303</v>
      </c>
      <c r="F436" s="38">
        <f t="shared" si="10"/>
        <v>0</v>
      </c>
      <c r="G436" s="41" t="s">
        <v>885</v>
      </c>
      <c r="H436" s="41" t="s">
        <v>1314</v>
      </c>
    </row>
    <row r="437" spans="1:8" ht="15">
      <c r="A437" s="38">
        <v>436</v>
      </c>
      <c r="B437" s="39">
        <v>6</v>
      </c>
      <c r="C437" s="40">
        <v>1</v>
      </c>
      <c r="D437" s="39">
        <v>204</v>
      </c>
      <c r="E437" s="38" t="str">
        <f t="shared" si="6"/>
        <v>24092075</v>
      </c>
      <c r="F437" s="38">
        <f t="shared" si="10"/>
        <v>0</v>
      </c>
      <c r="G437" s="41" t="s">
        <v>885</v>
      </c>
      <c r="H437" s="41" t="s">
        <v>728</v>
      </c>
    </row>
    <row r="438" spans="1:8" ht="15">
      <c r="A438" s="38">
        <v>437</v>
      </c>
      <c r="B438" s="39">
        <v>6</v>
      </c>
      <c r="C438" s="40">
        <v>1</v>
      </c>
      <c r="D438" s="39">
        <v>101</v>
      </c>
      <c r="E438" s="38" t="str">
        <f t="shared" si="6"/>
        <v>24092382</v>
      </c>
      <c r="F438" s="38">
        <f t="shared" si="10"/>
        <v>0</v>
      </c>
      <c r="G438" s="41" t="s">
        <v>885</v>
      </c>
      <c r="H438" s="41" t="s">
        <v>1315</v>
      </c>
    </row>
    <row r="439" spans="1:8" ht="15">
      <c r="A439" s="38">
        <v>438</v>
      </c>
      <c r="B439" s="39">
        <v>6</v>
      </c>
      <c r="C439" s="40">
        <v>1</v>
      </c>
      <c r="D439" s="39">
        <v>102</v>
      </c>
      <c r="E439" s="38" t="str">
        <f t="shared" si="6"/>
        <v>24091859</v>
      </c>
      <c r="F439" s="38">
        <f t="shared" si="10"/>
        <v>0</v>
      </c>
      <c r="G439" s="41" t="s">
        <v>885</v>
      </c>
      <c r="H439" s="41" t="s">
        <v>1316</v>
      </c>
    </row>
    <row r="440" spans="1:8" ht="15">
      <c r="A440" s="38">
        <v>439</v>
      </c>
      <c r="B440" s="39">
        <v>6</v>
      </c>
      <c r="C440" s="40">
        <v>1</v>
      </c>
      <c r="D440" s="39">
        <v>103</v>
      </c>
      <c r="E440" s="38" t="str">
        <f t="shared" si="6"/>
        <v>24092578</v>
      </c>
      <c r="F440" s="38">
        <f t="shared" si="10"/>
        <v>0</v>
      </c>
      <c r="G440" s="41" t="s">
        <v>885</v>
      </c>
      <c r="H440" s="41" t="s">
        <v>1317</v>
      </c>
    </row>
    <row r="441" spans="1:8" ht="15">
      <c r="A441" s="38">
        <v>440</v>
      </c>
      <c r="B441" s="39">
        <v>6</v>
      </c>
      <c r="C441" s="40">
        <v>1</v>
      </c>
      <c r="D441" s="39">
        <v>104</v>
      </c>
      <c r="E441" s="38" t="str">
        <f t="shared" si="6"/>
        <v>24092656</v>
      </c>
      <c r="F441" s="38">
        <f t="shared" si="10"/>
        <v>0</v>
      </c>
      <c r="G441" s="41" t="s">
        <v>885</v>
      </c>
      <c r="H441" s="41" t="s">
        <v>1318</v>
      </c>
    </row>
    <row r="442" spans="1:8" ht="15">
      <c r="A442" s="38">
        <v>441</v>
      </c>
      <c r="B442" s="39">
        <v>6</v>
      </c>
      <c r="C442" s="40">
        <v>1</v>
      </c>
      <c r="D442" s="39" t="s">
        <v>977</v>
      </c>
      <c r="E442" s="38" t="str">
        <f t="shared" si="6"/>
        <v>24092334</v>
      </c>
      <c r="F442" s="38" t="str">
        <f t="shared" si="10"/>
        <v>地下室</v>
      </c>
      <c r="G442" s="41" t="s">
        <v>885</v>
      </c>
      <c r="H442" s="41" t="s">
        <v>1319</v>
      </c>
    </row>
    <row r="443" spans="1:8" ht="15">
      <c r="A443" s="38">
        <v>442</v>
      </c>
      <c r="B443" s="39">
        <v>6</v>
      </c>
      <c r="C443" s="40">
        <v>1</v>
      </c>
      <c r="D443" s="39">
        <v>1201</v>
      </c>
      <c r="E443" s="38" t="str">
        <f t="shared" si="6"/>
        <v>24092234</v>
      </c>
      <c r="F443" s="38">
        <f t="shared" si="10"/>
        <v>1</v>
      </c>
      <c r="G443" s="41" t="s">
        <v>885</v>
      </c>
      <c r="H443" s="41" t="s">
        <v>1320</v>
      </c>
    </row>
    <row r="444" spans="1:8" ht="15">
      <c r="A444" s="38">
        <v>443</v>
      </c>
      <c r="B444" s="39">
        <v>6</v>
      </c>
      <c r="C444" s="40">
        <v>1</v>
      </c>
      <c r="D444" s="39">
        <v>1202</v>
      </c>
      <c r="E444" s="38" t="str">
        <f t="shared" si="6"/>
        <v>24092121</v>
      </c>
      <c r="F444" s="38">
        <f t="shared" si="10"/>
        <v>1</v>
      </c>
      <c r="G444" s="41" t="s">
        <v>885</v>
      </c>
      <c r="H444" s="41" t="s">
        <v>1321</v>
      </c>
    </row>
    <row r="445" spans="1:8" ht="15">
      <c r="A445" s="38">
        <v>444</v>
      </c>
      <c r="B445" s="39">
        <v>6</v>
      </c>
      <c r="C445" s="40">
        <v>1</v>
      </c>
      <c r="D445" s="39">
        <v>1203</v>
      </c>
      <c r="E445" s="38" t="str">
        <f t="shared" si="6"/>
        <v>24092248</v>
      </c>
      <c r="F445" s="38">
        <f t="shared" si="10"/>
        <v>1</v>
      </c>
      <c r="G445" s="41" t="s">
        <v>885</v>
      </c>
      <c r="H445" s="41" t="s">
        <v>1322</v>
      </c>
    </row>
    <row r="446" spans="1:8" ht="15">
      <c r="A446" s="38">
        <v>445</v>
      </c>
      <c r="B446" s="39">
        <v>6</v>
      </c>
      <c r="C446" s="40">
        <v>1</v>
      </c>
      <c r="D446" s="39">
        <v>1204</v>
      </c>
      <c r="E446" s="38" t="str">
        <f t="shared" si="6"/>
        <v>24092249</v>
      </c>
      <c r="F446" s="38">
        <f t="shared" si="10"/>
        <v>1</v>
      </c>
      <c r="G446" s="41" t="s">
        <v>885</v>
      </c>
      <c r="H446" s="41" t="s">
        <v>1323</v>
      </c>
    </row>
    <row r="447" spans="1:8" ht="15">
      <c r="A447" s="38">
        <v>446</v>
      </c>
      <c r="B447" s="39">
        <v>6</v>
      </c>
      <c r="C447" s="40">
        <v>1</v>
      </c>
      <c r="D447" s="39">
        <v>1101</v>
      </c>
      <c r="E447" s="38" t="str">
        <f t="shared" si="6"/>
        <v>24091989</v>
      </c>
      <c r="F447" s="38">
        <f t="shared" si="10"/>
        <v>1</v>
      </c>
      <c r="G447" s="41" t="s">
        <v>885</v>
      </c>
      <c r="H447" s="41" t="s">
        <v>1324</v>
      </c>
    </row>
    <row r="448" spans="1:8" ht="15">
      <c r="A448" s="38">
        <v>447</v>
      </c>
      <c r="B448" s="39">
        <v>6</v>
      </c>
      <c r="C448" s="40">
        <v>1</v>
      </c>
      <c r="D448" s="39">
        <v>1102</v>
      </c>
      <c r="E448" s="38" t="str">
        <f t="shared" si="6"/>
        <v>24091822</v>
      </c>
      <c r="F448" s="38">
        <f t="shared" si="10"/>
        <v>1</v>
      </c>
      <c r="G448" s="41" t="s">
        <v>885</v>
      </c>
      <c r="H448" s="41" t="s">
        <v>1325</v>
      </c>
    </row>
    <row r="449" spans="1:8" ht="15">
      <c r="A449" s="38">
        <v>448</v>
      </c>
      <c r="B449" s="39">
        <v>6</v>
      </c>
      <c r="C449" s="40">
        <v>1</v>
      </c>
      <c r="D449" s="39">
        <v>1103</v>
      </c>
      <c r="E449" s="38" t="str">
        <f t="shared" si="6"/>
        <v>24091813</v>
      </c>
      <c r="F449" s="38">
        <f t="shared" si="10"/>
        <v>1</v>
      </c>
      <c r="G449" s="41" t="s">
        <v>885</v>
      </c>
      <c r="H449" s="41" t="s">
        <v>1326</v>
      </c>
    </row>
    <row r="450" spans="1:8" ht="15">
      <c r="A450" s="38">
        <v>449</v>
      </c>
      <c r="B450" s="39">
        <v>6</v>
      </c>
      <c r="C450" s="40">
        <v>1</v>
      </c>
      <c r="D450" s="39">
        <v>1104</v>
      </c>
      <c r="E450" s="38" t="str">
        <f t="shared" ref="E450:E513" si="11">G450&amp;H450</f>
        <v>24091825</v>
      </c>
      <c r="F450" s="38">
        <f t="shared" si="10"/>
        <v>1</v>
      </c>
      <c r="G450" s="41" t="s">
        <v>885</v>
      </c>
      <c r="H450" s="41" t="s">
        <v>1327</v>
      </c>
    </row>
    <row r="451" spans="1:8" ht="15">
      <c r="A451" s="38">
        <v>450</v>
      </c>
      <c r="B451" s="39">
        <v>6</v>
      </c>
      <c r="C451" s="40">
        <v>1</v>
      </c>
      <c r="D451" s="39">
        <v>1001</v>
      </c>
      <c r="E451" s="38" t="str">
        <f t="shared" si="11"/>
        <v>24091810</v>
      </c>
      <c r="F451" s="38">
        <f t="shared" ref="F451:F514" si="12">IFERROR(IF(VALUE(LEFT(D451,LEN(D451)-2))&lt;10,0,IF(VALUE(LEFT(D451,LEN(D451)-2))&lt;20,1,2)),D451)</f>
        <v>1</v>
      </c>
      <c r="G451" s="41" t="s">
        <v>885</v>
      </c>
      <c r="H451" s="41" t="s">
        <v>1328</v>
      </c>
    </row>
    <row r="452" spans="1:8" ht="15">
      <c r="A452" s="38">
        <v>451</v>
      </c>
      <c r="B452" s="39">
        <v>6</v>
      </c>
      <c r="C452" s="40">
        <v>1</v>
      </c>
      <c r="D452" s="39">
        <v>1002</v>
      </c>
      <c r="E452" s="38" t="str">
        <f t="shared" si="11"/>
        <v>24091815</v>
      </c>
      <c r="F452" s="38">
        <f t="shared" si="12"/>
        <v>1</v>
      </c>
      <c r="G452" s="41" t="s">
        <v>885</v>
      </c>
      <c r="H452" s="41" t="s">
        <v>1329</v>
      </c>
    </row>
    <row r="453" spans="1:8" ht="15">
      <c r="A453" s="38">
        <v>452</v>
      </c>
      <c r="B453" s="39">
        <v>6</v>
      </c>
      <c r="C453" s="40">
        <v>1</v>
      </c>
      <c r="D453" s="39">
        <v>1003</v>
      </c>
      <c r="E453" s="38" t="str">
        <f t="shared" si="11"/>
        <v>24092521</v>
      </c>
      <c r="F453" s="38">
        <f t="shared" si="12"/>
        <v>1</v>
      </c>
      <c r="G453" s="41" t="s">
        <v>885</v>
      </c>
      <c r="H453" s="41" t="s">
        <v>1330</v>
      </c>
    </row>
    <row r="454" spans="1:8" ht="15">
      <c r="A454" s="38">
        <v>453</v>
      </c>
      <c r="B454" s="39">
        <v>6</v>
      </c>
      <c r="C454" s="40">
        <v>1</v>
      </c>
      <c r="D454" s="39">
        <v>1004</v>
      </c>
      <c r="E454" s="38" t="str">
        <f t="shared" si="11"/>
        <v>24092527</v>
      </c>
      <c r="F454" s="38">
        <f t="shared" si="12"/>
        <v>1</v>
      </c>
      <c r="G454" s="41" t="s">
        <v>885</v>
      </c>
      <c r="H454" s="41" t="s">
        <v>1331</v>
      </c>
    </row>
    <row r="455" spans="1:8" ht="15">
      <c r="A455" s="38">
        <v>454</v>
      </c>
      <c r="B455" s="39">
        <v>6</v>
      </c>
      <c r="C455" s="40">
        <v>1</v>
      </c>
      <c r="D455" s="39">
        <v>901</v>
      </c>
      <c r="E455" s="38" t="str">
        <f t="shared" si="11"/>
        <v>24092532</v>
      </c>
      <c r="F455" s="38">
        <f t="shared" si="12"/>
        <v>0</v>
      </c>
      <c r="G455" s="41" t="s">
        <v>885</v>
      </c>
      <c r="H455" s="41" t="s">
        <v>1332</v>
      </c>
    </row>
    <row r="456" spans="1:8" ht="15">
      <c r="A456" s="38">
        <v>455</v>
      </c>
      <c r="B456" s="39">
        <v>6</v>
      </c>
      <c r="C456" s="40">
        <v>1</v>
      </c>
      <c r="D456" s="39">
        <v>902</v>
      </c>
      <c r="E456" s="38" t="str">
        <f t="shared" si="11"/>
        <v>24092340</v>
      </c>
      <c r="F456" s="38">
        <f t="shared" si="12"/>
        <v>0</v>
      </c>
      <c r="G456" s="41" t="s">
        <v>885</v>
      </c>
      <c r="H456" s="41" t="s">
        <v>1333</v>
      </c>
    </row>
    <row r="457" spans="1:8" ht="15">
      <c r="A457" s="38">
        <v>456</v>
      </c>
      <c r="B457" s="39">
        <v>6</v>
      </c>
      <c r="C457" s="40">
        <v>1</v>
      </c>
      <c r="D457" s="39">
        <v>903</v>
      </c>
      <c r="E457" s="38" t="str">
        <f t="shared" si="11"/>
        <v>24092343</v>
      </c>
      <c r="F457" s="38">
        <f t="shared" si="12"/>
        <v>0</v>
      </c>
      <c r="G457" s="41" t="s">
        <v>885</v>
      </c>
      <c r="H457" s="41" t="s">
        <v>1334</v>
      </c>
    </row>
    <row r="458" spans="1:8" ht="15">
      <c r="A458" s="38">
        <v>457</v>
      </c>
      <c r="B458" s="39">
        <v>6</v>
      </c>
      <c r="C458" s="40">
        <v>1</v>
      </c>
      <c r="D458" s="39">
        <v>904</v>
      </c>
      <c r="E458" s="38" t="str">
        <f t="shared" si="11"/>
        <v>24092354</v>
      </c>
      <c r="F458" s="38">
        <f t="shared" si="12"/>
        <v>0</v>
      </c>
      <c r="G458" s="41" t="s">
        <v>885</v>
      </c>
      <c r="H458" s="41" t="s">
        <v>1335</v>
      </c>
    </row>
    <row r="459" spans="1:8" ht="15">
      <c r="A459" s="38">
        <v>458</v>
      </c>
      <c r="B459" s="39">
        <v>6</v>
      </c>
      <c r="C459" s="40">
        <v>1</v>
      </c>
      <c r="D459" s="39">
        <v>801</v>
      </c>
      <c r="E459" s="38" t="str">
        <f t="shared" si="11"/>
        <v>24092536</v>
      </c>
      <c r="F459" s="38">
        <f t="shared" si="12"/>
        <v>0</v>
      </c>
      <c r="G459" s="41" t="s">
        <v>885</v>
      </c>
      <c r="H459" s="41" t="s">
        <v>1336</v>
      </c>
    </row>
    <row r="460" spans="1:8" ht="15">
      <c r="A460" s="38">
        <v>459</v>
      </c>
      <c r="B460" s="39">
        <v>6</v>
      </c>
      <c r="C460" s="40">
        <v>1</v>
      </c>
      <c r="D460" s="39">
        <v>802</v>
      </c>
      <c r="E460" s="38" t="str">
        <f t="shared" si="11"/>
        <v>24092523</v>
      </c>
      <c r="F460" s="38">
        <f t="shared" si="12"/>
        <v>0</v>
      </c>
      <c r="G460" s="41" t="s">
        <v>885</v>
      </c>
      <c r="H460" s="41" t="s">
        <v>1337</v>
      </c>
    </row>
    <row r="461" spans="1:8" ht="15">
      <c r="A461" s="38">
        <v>460</v>
      </c>
      <c r="B461" s="39">
        <v>6</v>
      </c>
      <c r="C461" s="40">
        <v>1</v>
      </c>
      <c r="D461" s="39">
        <v>803</v>
      </c>
      <c r="E461" s="38" t="str">
        <f t="shared" si="11"/>
        <v>24092453</v>
      </c>
      <c r="F461" s="38">
        <f t="shared" si="12"/>
        <v>0</v>
      </c>
      <c r="G461" s="41" t="s">
        <v>885</v>
      </c>
      <c r="H461" s="41" t="s">
        <v>1338</v>
      </c>
    </row>
    <row r="462" spans="1:8" ht="15">
      <c r="A462" s="38">
        <v>461</v>
      </c>
      <c r="B462" s="39">
        <v>6</v>
      </c>
      <c r="C462" s="40">
        <v>1</v>
      </c>
      <c r="D462" s="39">
        <v>804</v>
      </c>
      <c r="E462" s="38" t="str">
        <f t="shared" si="11"/>
        <v>24092348</v>
      </c>
      <c r="F462" s="38">
        <f t="shared" si="12"/>
        <v>0</v>
      </c>
      <c r="G462" s="41" t="s">
        <v>885</v>
      </c>
      <c r="H462" s="41" t="s">
        <v>1339</v>
      </c>
    </row>
    <row r="463" spans="1:8" ht="15">
      <c r="A463" s="38">
        <v>462</v>
      </c>
      <c r="B463" s="39">
        <v>6</v>
      </c>
      <c r="C463" s="40">
        <v>1</v>
      </c>
      <c r="D463" s="39">
        <v>701</v>
      </c>
      <c r="E463" s="38" t="str">
        <f t="shared" si="11"/>
        <v>24092210</v>
      </c>
      <c r="F463" s="38">
        <f t="shared" si="12"/>
        <v>0</v>
      </c>
      <c r="G463" s="41" t="s">
        <v>885</v>
      </c>
      <c r="H463" s="41" t="s">
        <v>1340</v>
      </c>
    </row>
    <row r="464" spans="1:8" ht="15">
      <c r="A464" s="38">
        <v>463</v>
      </c>
      <c r="B464" s="39">
        <v>6</v>
      </c>
      <c r="C464" s="40">
        <v>1</v>
      </c>
      <c r="D464" s="39">
        <v>702</v>
      </c>
      <c r="E464" s="38" t="str">
        <f t="shared" si="11"/>
        <v>24092183</v>
      </c>
      <c r="F464" s="38">
        <f t="shared" si="12"/>
        <v>0</v>
      </c>
      <c r="G464" s="41" t="s">
        <v>885</v>
      </c>
      <c r="H464" s="41" t="s">
        <v>1341</v>
      </c>
    </row>
    <row r="465" spans="1:8" ht="15">
      <c r="A465" s="38">
        <v>464</v>
      </c>
      <c r="B465" s="39">
        <v>6</v>
      </c>
      <c r="C465" s="40">
        <v>1</v>
      </c>
      <c r="D465" s="39">
        <v>703</v>
      </c>
      <c r="E465" s="38" t="str">
        <f t="shared" si="11"/>
        <v>24092199</v>
      </c>
      <c r="F465" s="38">
        <f t="shared" si="12"/>
        <v>0</v>
      </c>
      <c r="G465" s="41" t="s">
        <v>885</v>
      </c>
      <c r="H465" s="41" t="s">
        <v>1342</v>
      </c>
    </row>
    <row r="466" spans="1:8" ht="15">
      <c r="A466" s="38">
        <v>465</v>
      </c>
      <c r="B466" s="39">
        <v>6</v>
      </c>
      <c r="C466" s="40">
        <v>1</v>
      </c>
      <c r="D466" s="39">
        <v>704</v>
      </c>
      <c r="E466" s="38" t="str">
        <f t="shared" si="11"/>
        <v>24092193</v>
      </c>
      <c r="F466" s="38">
        <f t="shared" si="12"/>
        <v>0</v>
      </c>
      <c r="G466" s="41" t="s">
        <v>885</v>
      </c>
      <c r="H466" s="41" t="s">
        <v>1343</v>
      </c>
    </row>
    <row r="467" spans="1:8" ht="15">
      <c r="A467" s="38">
        <v>466</v>
      </c>
      <c r="B467" s="39">
        <v>6</v>
      </c>
      <c r="C467" s="40">
        <v>1</v>
      </c>
      <c r="D467" s="39">
        <v>601</v>
      </c>
      <c r="E467" s="38" t="str">
        <f t="shared" si="11"/>
        <v>24092191</v>
      </c>
      <c r="F467" s="38">
        <f t="shared" si="12"/>
        <v>0</v>
      </c>
      <c r="G467" s="41" t="s">
        <v>885</v>
      </c>
      <c r="H467" s="41" t="s">
        <v>1344</v>
      </c>
    </row>
    <row r="468" spans="1:8" ht="15">
      <c r="A468" s="38">
        <v>467</v>
      </c>
      <c r="B468" s="39">
        <v>6</v>
      </c>
      <c r="C468" s="40">
        <v>1</v>
      </c>
      <c r="D468" s="39">
        <v>602</v>
      </c>
      <c r="E468" s="38" t="str">
        <f t="shared" si="11"/>
        <v>24092192</v>
      </c>
      <c r="F468" s="38">
        <f t="shared" si="12"/>
        <v>0</v>
      </c>
      <c r="G468" s="41" t="s">
        <v>885</v>
      </c>
      <c r="H468" s="41" t="s">
        <v>1345</v>
      </c>
    </row>
    <row r="469" spans="1:8" ht="15">
      <c r="A469" s="38">
        <v>468</v>
      </c>
      <c r="B469" s="39">
        <v>6</v>
      </c>
      <c r="C469" s="40">
        <v>1</v>
      </c>
      <c r="D469" s="39">
        <v>603</v>
      </c>
      <c r="E469" s="38" t="str">
        <f t="shared" si="11"/>
        <v>24092184</v>
      </c>
      <c r="F469" s="38">
        <f t="shared" si="12"/>
        <v>0</v>
      </c>
      <c r="G469" s="41" t="s">
        <v>885</v>
      </c>
      <c r="H469" s="41" t="s">
        <v>1346</v>
      </c>
    </row>
    <row r="470" spans="1:8" ht="15">
      <c r="A470" s="38">
        <v>469</v>
      </c>
      <c r="B470" s="39">
        <v>6</v>
      </c>
      <c r="C470" s="40">
        <v>1</v>
      </c>
      <c r="D470" s="39">
        <v>604</v>
      </c>
      <c r="E470" s="38" t="str">
        <f t="shared" si="11"/>
        <v>24092186</v>
      </c>
      <c r="F470" s="38">
        <f t="shared" si="12"/>
        <v>0</v>
      </c>
      <c r="G470" s="41" t="s">
        <v>885</v>
      </c>
      <c r="H470" s="41" t="s">
        <v>1347</v>
      </c>
    </row>
    <row r="471" spans="1:8" ht="15">
      <c r="A471" s="38">
        <v>470</v>
      </c>
      <c r="B471" s="39">
        <v>6</v>
      </c>
      <c r="C471" s="40">
        <v>1</v>
      </c>
      <c r="D471" s="39">
        <v>2601</v>
      </c>
      <c r="E471" s="38" t="str">
        <f t="shared" si="11"/>
        <v>24092626</v>
      </c>
      <c r="F471" s="38">
        <f t="shared" si="12"/>
        <v>2</v>
      </c>
      <c r="G471" s="41" t="s">
        <v>885</v>
      </c>
      <c r="H471" s="41" t="s">
        <v>1348</v>
      </c>
    </row>
    <row r="472" spans="1:8" ht="15">
      <c r="A472" s="38">
        <v>471</v>
      </c>
      <c r="B472" s="39">
        <v>6</v>
      </c>
      <c r="C472" s="40">
        <v>1</v>
      </c>
      <c r="D472" s="39">
        <v>2602</v>
      </c>
      <c r="E472" s="38" t="str">
        <f t="shared" si="11"/>
        <v>24092571</v>
      </c>
      <c r="F472" s="38">
        <f t="shared" si="12"/>
        <v>2</v>
      </c>
      <c r="G472" s="41" t="s">
        <v>885</v>
      </c>
      <c r="H472" s="41" t="s">
        <v>1349</v>
      </c>
    </row>
    <row r="473" spans="1:8" ht="15">
      <c r="A473" s="38">
        <v>472</v>
      </c>
      <c r="B473" s="39">
        <v>6</v>
      </c>
      <c r="C473" s="40">
        <v>1</v>
      </c>
      <c r="D473" s="39">
        <v>2603</v>
      </c>
      <c r="E473" s="38" t="str">
        <f t="shared" si="11"/>
        <v>24092487</v>
      </c>
      <c r="F473" s="38">
        <f t="shared" si="12"/>
        <v>2</v>
      </c>
      <c r="G473" s="41" t="s">
        <v>885</v>
      </c>
      <c r="H473" s="41" t="s">
        <v>1350</v>
      </c>
    </row>
    <row r="474" spans="1:8" ht="15">
      <c r="A474" s="38">
        <v>473</v>
      </c>
      <c r="B474" s="39">
        <v>6</v>
      </c>
      <c r="C474" s="40">
        <v>1</v>
      </c>
      <c r="D474" s="39">
        <v>2604</v>
      </c>
      <c r="E474" s="38" t="str">
        <f t="shared" si="11"/>
        <v>24092508</v>
      </c>
      <c r="F474" s="38">
        <f t="shared" si="12"/>
        <v>2</v>
      </c>
      <c r="G474" s="41" t="s">
        <v>885</v>
      </c>
      <c r="H474" s="41" t="s">
        <v>1351</v>
      </c>
    </row>
    <row r="475" spans="1:8" ht="15">
      <c r="A475" s="38">
        <v>474</v>
      </c>
      <c r="B475" s="39">
        <v>6</v>
      </c>
      <c r="C475" s="40">
        <v>1</v>
      </c>
      <c r="D475" s="39">
        <v>2501</v>
      </c>
      <c r="E475" s="38" t="str">
        <f t="shared" si="11"/>
        <v>24091999</v>
      </c>
      <c r="F475" s="38">
        <f t="shared" si="12"/>
        <v>2</v>
      </c>
      <c r="G475" s="41" t="s">
        <v>885</v>
      </c>
      <c r="H475" s="41" t="s">
        <v>1352</v>
      </c>
    </row>
    <row r="476" spans="1:8" ht="15">
      <c r="A476" s="38">
        <v>475</v>
      </c>
      <c r="B476" s="39">
        <v>6</v>
      </c>
      <c r="C476" s="40">
        <v>1</v>
      </c>
      <c r="D476" s="39">
        <v>2502</v>
      </c>
      <c r="E476" s="38" t="str">
        <f t="shared" si="11"/>
        <v>24091916</v>
      </c>
      <c r="F476" s="38">
        <f t="shared" si="12"/>
        <v>2</v>
      </c>
      <c r="G476" s="41" t="s">
        <v>885</v>
      </c>
      <c r="H476" s="41" t="s">
        <v>1353</v>
      </c>
    </row>
    <row r="477" spans="1:8" ht="15">
      <c r="A477" s="38">
        <v>476</v>
      </c>
      <c r="B477" s="39">
        <v>6</v>
      </c>
      <c r="C477" s="40">
        <v>1</v>
      </c>
      <c r="D477" s="39">
        <v>2503</v>
      </c>
      <c r="E477" s="38" t="str">
        <f t="shared" si="11"/>
        <v>24092518</v>
      </c>
      <c r="F477" s="38">
        <f t="shared" si="12"/>
        <v>2</v>
      </c>
      <c r="G477" s="41" t="s">
        <v>885</v>
      </c>
      <c r="H477" s="41" t="s">
        <v>1354</v>
      </c>
    </row>
    <row r="478" spans="1:8" ht="15">
      <c r="A478" s="38">
        <v>477</v>
      </c>
      <c r="B478" s="39">
        <v>6</v>
      </c>
      <c r="C478" s="40">
        <v>1</v>
      </c>
      <c r="D478" s="39">
        <v>2504</v>
      </c>
      <c r="E478" s="38" t="str">
        <f t="shared" si="11"/>
        <v>24092513</v>
      </c>
      <c r="F478" s="38">
        <f t="shared" si="12"/>
        <v>2</v>
      </c>
      <c r="G478" s="41" t="s">
        <v>885</v>
      </c>
      <c r="H478" s="41" t="s">
        <v>1355</v>
      </c>
    </row>
    <row r="479" spans="1:8" ht="15">
      <c r="A479" s="38">
        <v>478</v>
      </c>
      <c r="B479" s="39">
        <v>6</v>
      </c>
      <c r="C479" s="40">
        <v>1</v>
      </c>
      <c r="D479" s="39">
        <v>2401</v>
      </c>
      <c r="E479" s="38" t="str">
        <f t="shared" si="11"/>
        <v>24091812</v>
      </c>
      <c r="F479" s="38">
        <f t="shared" si="12"/>
        <v>2</v>
      </c>
      <c r="G479" s="41" t="s">
        <v>885</v>
      </c>
      <c r="H479" s="41" t="s">
        <v>1356</v>
      </c>
    </row>
    <row r="480" spans="1:8" ht="15">
      <c r="A480" s="38">
        <v>479</v>
      </c>
      <c r="B480" s="39">
        <v>6</v>
      </c>
      <c r="C480" s="40">
        <v>1</v>
      </c>
      <c r="D480" s="39">
        <v>2402</v>
      </c>
      <c r="E480" s="38" t="str">
        <f t="shared" si="11"/>
        <v>24091814</v>
      </c>
      <c r="F480" s="38">
        <f t="shared" si="12"/>
        <v>2</v>
      </c>
      <c r="G480" s="41" t="s">
        <v>885</v>
      </c>
      <c r="H480" s="41" t="s">
        <v>1357</v>
      </c>
    </row>
    <row r="481" spans="1:8" ht="15">
      <c r="A481" s="38">
        <v>480</v>
      </c>
      <c r="B481" s="39">
        <v>6</v>
      </c>
      <c r="C481" s="40">
        <v>1</v>
      </c>
      <c r="D481" s="39">
        <v>2403</v>
      </c>
      <c r="E481" s="38" t="str">
        <f t="shared" si="11"/>
        <v>24091818</v>
      </c>
      <c r="F481" s="38">
        <f t="shared" si="12"/>
        <v>2</v>
      </c>
      <c r="G481" s="41" t="s">
        <v>885</v>
      </c>
      <c r="H481" s="41" t="s">
        <v>1358</v>
      </c>
    </row>
    <row r="482" spans="1:8" ht="15">
      <c r="A482" s="38">
        <v>481</v>
      </c>
      <c r="B482" s="39">
        <v>6</v>
      </c>
      <c r="C482" s="40">
        <v>1</v>
      </c>
      <c r="D482" s="39">
        <v>2404</v>
      </c>
      <c r="E482" s="38" t="str">
        <f t="shared" si="11"/>
        <v>24092241</v>
      </c>
      <c r="F482" s="38">
        <f t="shared" si="12"/>
        <v>2</v>
      </c>
      <c r="G482" s="41" t="s">
        <v>885</v>
      </c>
      <c r="H482" s="41" t="s">
        <v>1359</v>
      </c>
    </row>
    <row r="483" spans="1:8" ht="15">
      <c r="A483" s="38">
        <v>482</v>
      </c>
      <c r="B483" s="39">
        <v>6</v>
      </c>
      <c r="C483" s="40">
        <v>1</v>
      </c>
      <c r="D483" s="39">
        <v>2301</v>
      </c>
      <c r="E483" s="38" t="str">
        <f t="shared" si="11"/>
        <v>24092061</v>
      </c>
      <c r="F483" s="38">
        <f t="shared" si="12"/>
        <v>2</v>
      </c>
      <c r="G483" s="41" t="s">
        <v>885</v>
      </c>
      <c r="H483" s="41" t="s">
        <v>1360</v>
      </c>
    </row>
    <row r="484" spans="1:8" ht="15">
      <c r="A484" s="38">
        <v>483</v>
      </c>
      <c r="B484" s="39">
        <v>6</v>
      </c>
      <c r="C484" s="40">
        <v>1</v>
      </c>
      <c r="D484" s="39">
        <v>2302</v>
      </c>
      <c r="E484" s="38" t="str">
        <f t="shared" si="11"/>
        <v>24092060</v>
      </c>
      <c r="F484" s="38">
        <f t="shared" si="12"/>
        <v>2</v>
      </c>
      <c r="G484" s="41" t="s">
        <v>885</v>
      </c>
      <c r="H484" s="38">
        <v>2060</v>
      </c>
    </row>
    <row r="485" spans="1:8" ht="15">
      <c r="A485" s="38">
        <v>484</v>
      </c>
      <c r="B485" s="39">
        <v>6</v>
      </c>
      <c r="C485" s="40">
        <v>1</v>
      </c>
      <c r="D485" s="39">
        <v>2303</v>
      </c>
      <c r="E485" s="38" t="str">
        <f t="shared" si="11"/>
        <v>24092244</v>
      </c>
      <c r="F485" s="38">
        <f t="shared" si="12"/>
        <v>2</v>
      </c>
      <c r="G485" s="41" t="s">
        <v>885</v>
      </c>
      <c r="H485" s="41" t="s">
        <v>1361</v>
      </c>
    </row>
    <row r="486" spans="1:8" ht="15">
      <c r="A486" s="38">
        <v>485</v>
      </c>
      <c r="B486" s="39">
        <v>6</v>
      </c>
      <c r="C486" s="40">
        <v>1</v>
      </c>
      <c r="D486" s="39">
        <v>2304</v>
      </c>
      <c r="E486" s="38" t="str">
        <f t="shared" si="11"/>
        <v>24091997</v>
      </c>
      <c r="F486" s="38">
        <f t="shared" si="12"/>
        <v>2</v>
      </c>
      <c r="G486" s="41" t="s">
        <v>885</v>
      </c>
      <c r="H486" s="41" t="s">
        <v>1362</v>
      </c>
    </row>
    <row r="487" spans="1:8" ht="15">
      <c r="A487" s="38">
        <v>486</v>
      </c>
      <c r="B487" s="39">
        <v>6</v>
      </c>
      <c r="C487" s="40">
        <v>1</v>
      </c>
      <c r="D487" s="39">
        <v>2201</v>
      </c>
      <c r="E487" s="38" t="str">
        <f t="shared" si="11"/>
        <v>24092178</v>
      </c>
      <c r="F487" s="38">
        <f t="shared" si="12"/>
        <v>2</v>
      </c>
      <c r="G487" s="41" t="s">
        <v>885</v>
      </c>
      <c r="H487" s="41" t="s">
        <v>1363</v>
      </c>
    </row>
    <row r="488" spans="1:8" ht="15">
      <c r="A488" s="38">
        <v>487</v>
      </c>
      <c r="B488" s="39">
        <v>6</v>
      </c>
      <c r="C488" s="40">
        <v>1</v>
      </c>
      <c r="D488" s="39">
        <v>2202</v>
      </c>
      <c r="E488" s="38" t="str">
        <f t="shared" si="11"/>
        <v>24092174</v>
      </c>
      <c r="F488" s="38">
        <f t="shared" si="12"/>
        <v>2</v>
      </c>
      <c r="G488" s="41" t="s">
        <v>885</v>
      </c>
      <c r="H488" s="41" t="s">
        <v>1364</v>
      </c>
    </row>
    <row r="489" spans="1:8" ht="15">
      <c r="A489" s="38">
        <v>488</v>
      </c>
      <c r="B489" s="39">
        <v>6</v>
      </c>
      <c r="C489" s="40">
        <v>1</v>
      </c>
      <c r="D489" s="39">
        <v>2203</v>
      </c>
      <c r="E489" s="38" t="str">
        <f t="shared" si="11"/>
        <v>24092167</v>
      </c>
      <c r="F489" s="38">
        <f t="shared" si="12"/>
        <v>2</v>
      </c>
      <c r="G489" s="41" t="s">
        <v>885</v>
      </c>
      <c r="H489" s="41" t="s">
        <v>1365</v>
      </c>
    </row>
    <row r="490" spans="1:8" ht="15">
      <c r="A490" s="38">
        <v>489</v>
      </c>
      <c r="B490" s="39">
        <v>6</v>
      </c>
      <c r="C490" s="40">
        <v>1</v>
      </c>
      <c r="D490" s="39">
        <v>2204</v>
      </c>
      <c r="E490" s="38" t="str">
        <f t="shared" si="11"/>
        <v>24091889</v>
      </c>
      <c r="F490" s="38">
        <f t="shared" si="12"/>
        <v>2</v>
      </c>
      <c r="G490" s="41" t="s">
        <v>885</v>
      </c>
      <c r="H490" s="41" t="s">
        <v>1366</v>
      </c>
    </row>
    <row r="491" spans="1:8" ht="15">
      <c r="A491" s="38">
        <v>490</v>
      </c>
      <c r="B491" s="39">
        <v>6</v>
      </c>
      <c r="C491" s="40">
        <v>1</v>
      </c>
      <c r="D491" s="39">
        <v>2101</v>
      </c>
      <c r="E491" s="38" t="str">
        <f t="shared" si="11"/>
        <v>24092149</v>
      </c>
      <c r="F491" s="38">
        <f t="shared" si="12"/>
        <v>2</v>
      </c>
      <c r="G491" s="41" t="s">
        <v>885</v>
      </c>
      <c r="H491" s="41" t="s">
        <v>1367</v>
      </c>
    </row>
    <row r="492" spans="1:8" ht="15">
      <c r="A492" s="38">
        <v>491</v>
      </c>
      <c r="B492" s="39">
        <v>6</v>
      </c>
      <c r="C492" s="40">
        <v>1</v>
      </c>
      <c r="D492" s="39">
        <v>2102</v>
      </c>
      <c r="E492" s="38" t="str">
        <f t="shared" si="11"/>
        <v>24092151</v>
      </c>
      <c r="F492" s="38">
        <f t="shared" si="12"/>
        <v>2</v>
      </c>
      <c r="G492" s="41" t="s">
        <v>885</v>
      </c>
      <c r="H492" s="41" t="s">
        <v>1368</v>
      </c>
    </row>
    <row r="493" spans="1:8" ht="15">
      <c r="A493" s="38">
        <v>492</v>
      </c>
      <c r="B493" s="39">
        <v>6</v>
      </c>
      <c r="C493" s="40">
        <v>1</v>
      </c>
      <c r="D493" s="39">
        <v>2103</v>
      </c>
      <c r="E493" s="38" t="str">
        <f t="shared" si="11"/>
        <v>24091901</v>
      </c>
      <c r="F493" s="38">
        <f t="shared" si="12"/>
        <v>2</v>
      </c>
      <c r="G493" s="41" t="s">
        <v>885</v>
      </c>
      <c r="H493" s="41" t="s">
        <v>1369</v>
      </c>
    </row>
    <row r="494" spans="1:8" ht="15">
      <c r="A494" s="38">
        <v>493</v>
      </c>
      <c r="B494" s="39">
        <v>6</v>
      </c>
      <c r="C494" s="40">
        <v>1</v>
      </c>
      <c r="D494" s="39">
        <v>2104</v>
      </c>
      <c r="E494" s="38" t="str">
        <f t="shared" si="11"/>
        <v>24092176</v>
      </c>
      <c r="F494" s="38">
        <f t="shared" si="12"/>
        <v>2</v>
      </c>
      <c r="G494" s="41" t="s">
        <v>885</v>
      </c>
      <c r="H494" s="41" t="s">
        <v>1370</v>
      </c>
    </row>
    <row r="495" spans="1:8" ht="15">
      <c r="A495" s="38">
        <v>494</v>
      </c>
      <c r="B495" s="39">
        <v>6</v>
      </c>
      <c r="C495" s="40">
        <v>1</v>
      </c>
      <c r="D495" s="39">
        <v>2001</v>
      </c>
      <c r="E495" s="38" t="str">
        <f t="shared" si="11"/>
        <v>24092099</v>
      </c>
      <c r="F495" s="38">
        <f t="shared" si="12"/>
        <v>2</v>
      </c>
      <c r="G495" s="41" t="s">
        <v>885</v>
      </c>
      <c r="H495" s="41" t="s">
        <v>1371</v>
      </c>
    </row>
    <row r="496" spans="1:8" ht="15">
      <c r="A496" s="38">
        <v>495</v>
      </c>
      <c r="B496" s="39">
        <v>6</v>
      </c>
      <c r="C496" s="40">
        <v>1</v>
      </c>
      <c r="D496" s="39">
        <v>2002</v>
      </c>
      <c r="E496" s="38" t="str">
        <f t="shared" si="11"/>
        <v>24091853</v>
      </c>
      <c r="F496" s="38">
        <f t="shared" si="12"/>
        <v>2</v>
      </c>
      <c r="G496" s="41" t="s">
        <v>885</v>
      </c>
      <c r="H496" s="41" t="s">
        <v>717</v>
      </c>
    </row>
    <row r="497" spans="1:8" ht="15">
      <c r="A497" s="38">
        <v>496</v>
      </c>
      <c r="B497" s="39">
        <v>6</v>
      </c>
      <c r="C497" s="40">
        <v>1</v>
      </c>
      <c r="D497" s="39">
        <v>2003</v>
      </c>
      <c r="E497" s="38" t="str">
        <f t="shared" si="11"/>
        <v>24092171</v>
      </c>
      <c r="F497" s="38">
        <f t="shared" si="12"/>
        <v>2</v>
      </c>
      <c r="G497" s="41" t="s">
        <v>885</v>
      </c>
      <c r="H497" s="41" t="s">
        <v>1372</v>
      </c>
    </row>
    <row r="498" spans="1:8" ht="15">
      <c r="A498" s="38">
        <v>497</v>
      </c>
      <c r="B498" s="39">
        <v>6</v>
      </c>
      <c r="C498" s="40">
        <v>1</v>
      </c>
      <c r="D498" s="39">
        <v>2004</v>
      </c>
      <c r="E498" s="38" t="str">
        <f t="shared" si="11"/>
        <v>24092172</v>
      </c>
      <c r="F498" s="38">
        <f t="shared" si="12"/>
        <v>2</v>
      </c>
      <c r="G498" s="41" t="s">
        <v>885</v>
      </c>
      <c r="H498" s="41" t="s">
        <v>1373</v>
      </c>
    </row>
    <row r="499" spans="1:8" ht="15">
      <c r="A499" s="38">
        <v>498</v>
      </c>
      <c r="B499" s="39">
        <v>7</v>
      </c>
      <c r="C499" s="40">
        <v>1</v>
      </c>
      <c r="D499" s="39">
        <v>2301</v>
      </c>
      <c r="E499" s="38" t="str">
        <f t="shared" si="11"/>
        <v>24092627</v>
      </c>
      <c r="F499" s="38">
        <f t="shared" si="12"/>
        <v>2</v>
      </c>
      <c r="G499" s="41" t="s">
        <v>885</v>
      </c>
      <c r="H499" s="41" t="s">
        <v>1374</v>
      </c>
    </row>
    <row r="500" spans="1:8" ht="15">
      <c r="A500" s="38">
        <v>499</v>
      </c>
      <c r="B500" s="39">
        <v>7</v>
      </c>
      <c r="C500" s="40">
        <v>1</v>
      </c>
      <c r="D500" s="39">
        <v>2302</v>
      </c>
      <c r="E500" s="38" t="str">
        <f t="shared" si="11"/>
        <v>24092332</v>
      </c>
      <c r="F500" s="38">
        <f t="shared" si="12"/>
        <v>2</v>
      </c>
      <c r="G500" s="41" t="s">
        <v>885</v>
      </c>
      <c r="H500" s="41" t="s">
        <v>1375</v>
      </c>
    </row>
    <row r="501" spans="1:8" ht="15">
      <c r="A501" s="38">
        <v>500</v>
      </c>
      <c r="B501" s="39">
        <v>7</v>
      </c>
      <c r="C501" s="40">
        <v>1</v>
      </c>
      <c r="D501" s="39">
        <v>2303</v>
      </c>
      <c r="E501" s="38" t="str">
        <f t="shared" si="11"/>
        <v>24092489</v>
      </c>
      <c r="F501" s="38">
        <f t="shared" si="12"/>
        <v>2</v>
      </c>
      <c r="G501" s="41" t="s">
        <v>885</v>
      </c>
      <c r="H501" s="41" t="s">
        <v>1376</v>
      </c>
    </row>
    <row r="502" spans="1:8" ht="15">
      <c r="A502" s="38">
        <v>501</v>
      </c>
      <c r="B502" s="39">
        <v>7</v>
      </c>
      <c r="C502" s="40">
        <v>1</v>
      </c>
      <c r="D502" s="39">
        <v>2304</v>
      </c>
      <c r="E502" s="38" t="str">
        <f t="shared" si="11"/>
        <v>24092211</v>
      </c>
      <c r="F502" s="38">
        <f t="shared" si="12"/>
        <v>2</v>
      </c>
      <c r="G502" s="41" t="s">
        <v>885</v>
      </c>
      <c r="H502" s="41" t="s">
        <v>1377</v>
      </c>
    </row>
    <row r="503" spans="1:8" ht="15">
      <c r="A503" s="38">
        <v>502</v>
      </c>
      <c r="B503" s="39">
        <v>7</v>
      </c>
      <c r="C503" s="40">
        <v>1</v>
      </c>
      <c r="D503" s="39">
        <v>2201</v>
      </c>
      <c r="E503" s="38" t="str">
        <f t="shared" si="11"/>
        <v>24092486</v>
      </c>
      <c r="F503" s="38">
        <f t="shared" si="12"/>
        <v>2</v>
      </c>
      <c r="G503" s="41" t="s">
        <v>885</v>
      </c>
      <c r="H503" s="41" t="s">
        <v>1378</v>
      </c>
    </row>
    <row r="504" spans="1:8" ht="15">
      <c r="A504" s="38">
        <v>503</v>
      </c>
      <c r="B504" s="39">
        <v>7</v>
      </c>
      <c r="C504" s="40">
        <v>1</v>
      </c>
      <c r="D504" s="39">
        <v>2202</v>
      </c>
      <c r="E504" s="38" t="str">
        <f t="shared" si="11"/>
        <v>24092505</v>
      </c>
      <c r="F504" s="38">
        <f t="shared" si="12"/>
        <v>2</v>
      </c>
      <c r="G504" s="41" t="s">
        <v>885</v>
      </c>
      <c r="H504" s="41" t="s">
        <v>1379</v>
      </c>
    </row>
    <row r="505" spans="1:8" ht="15">
      <c r="A505" s="38">
        <v>504</v>
      </c>
      <c r="B505" s="39">
        <v>7</v>
      </c>
      <c r="C505" s="40">
        <v>1</v>
      </c>
      <c r="D505" s="39">
        <v>2203</v>
      </c>
      <c r="E505" s="38" t="str">
        <f t="shared" si="11"/>
        <v>24092958</v>
      </c>
      <c r="F505" s="38">
        <f t="shared" si="12"/>
        <v>2</v>
      </c>
      <c r="G505" s="41" t="s">
        <v>885</v>
      </c>
      <c r="H505" s="41" t="s">
        <v>1380</v>
      </c>
    </row>
    <row r="506" spans="1:8" ht="15">
      <c r="A506" s="38">
        <v>505</v>
      </c>
      <c r="B506" s="39">
        <v>7</v>
      </c>
      <c r="C506" s="40">
        <v>1</v>
      </c>
      <c r="D506" s="39">
        <v>2204</v>
      </c>
      <c r="E506" s="38" t="str">
        <f t="shared" si="11"/>
        <v>24092220</v>
      </c>
      <c r="F506" s="38">
        <f t="shared" si="12"/>
        <v>2</v>
      </c>
      <c r="G506" s="41" t="s">
        <v>885</v>
      </c>
      <c r="H506" s="41" t="s">
        <v>1381</v>
      </c>
    </row>
    <row r="507" spans="1:8" ht="15">
      <c r="A507" s="38">
        <v>506</v>
      </c>
      <c r="B507" s="39">
        <v>7</v>
      </c>
      <c r="C507" s="40">
        <v>1</v>
      </c>
      <c r="D507" s="39">
        <v>2101</v>
      </c>
      <c r="E507" s="38" t="str">
        <f t="shared" si="11"/>
        <v>24092219</v>
      </c>
      <c r="F507" s="38">
        <f t="shared" si="12"/>
        <v>2</v>
      </c>
      <c r="G507" s="41" t="s">
        <v>885</v>
      </c>
      <c r="H507" s="41" t="s">
        <v>1382</v>
      </c>
    </row>
    <row r="508" spans="1:8" ht="15">
      <c r="A508" s="38">
        <v>507</v>
      </c>
      <c r="B508" s="39">
        <v>7</v>
      </c>
      <c r="C508" s="40">
        <v>1</v>
      </c>
      <c r="D508" s="39">
        <v>2102</v>
      </c>
      <c r="E508" s="38" t="str">
        <f t="shared" si="11"/>
        <v>24092282</v>
      </c>
      <c r="F508" s="38">
        <f t="shared" si="12"/>
        <v>2</v>
      </c>
      <c r="G508" s="41" t="s">
        <v>885</v>
      </c>
      <c r="H508" s="41" t="s">
        <v>1383</v>
      </c>
    </row>
    <row r="509" spans="1:8" ht="15">
      <c r="A509" s="38">
        <v>508</v>
      </c>
      <c r="B509" s="39">
        <v>7</v>
      </c>
      <c r="C509" s="40">
        <v>1</v>
      </c>
      <c r="D509" s="39">
        <v>2103</v>
      </c>
      <c r="E509" s="38" t="str">
        <f t="shared" si="11"/>
        <v>24092205</v>
      </c>
      <c r="F509" s="38">
        <f t="shared" si="12"/>
        <v>2</v>
      </c>
      <c r="G509" s="41" t="s">
        <v>885</v>
      </c>
      <c r="H509" s="41" t="s">
        <v>712</v>
      </c>
    </row>
    <row r="510" spans="1:8" ht="15">
      <c r="A510" s="38">
        <v>509</v>
      </c>
      <c r="B510" s="39">
        <v>7</v>
      </c>
      <c r="C510" s="40">
        <v>1</v>
      </c>
      <c r="D510" s="39">
        <v>2104</v>
      </c>
      <c r="E510" s="38" t="str">
        <f t="shared" si="11"/>
        <v>24091954</v>
      </c>
      <c r="F510" s="38">
        <f t="shared" si="12"/>
        <v>2</v>
      </c>
      <c r="G510" s="41" t="s">
        <v>885</v>
      </c>
      <c r="H510" s="41" t="s">
        <v>1384</v>
      </c>
    </row>
    <row r="511" spans="1:8" ht="15">
      <c r="A511" s="38">
        <v>510</v>
      </c>
      <c r="B511" s="39">
        <v>7</v>
      </c>
      <c r="C511" s="40">
        <v>1</v>
      </c>
      <c r="D511" s="39">
        <v>2001</v>
      </c>
      <c r="E511" s="38" t="str">
        <f t="shared" si="11"/>
        <v>24092206</v>
      </c>
      <c r="F511" s="38">
        <f t="shared" si="12"/>
        <v>2</v>
      </c>
      <c r="G511" s="41" t="s">
        <v>885</v>
      </c>
      <c r="H511" s="41" t="s">
        <v>1385</v>
      </c>
    </row>
    <row r="512" spans="1:8" ht="15">
      <c r="A512" s="38">
        <v>511</v>
      </c>
      <c r="B512" s="39">
        <v>7</v>
      </c>
      <c r="C512" s="40">
        <v>1</v>
      </c>
      <c r="D512" s="39">
        <v>2002</v>
      </c>
      <c r="E512" s="38" t="str">
        <f t="shared" si="11"/>
        <v>24091968</v>
      </c>
      <c r="F512" s="38">
        <f t="shared" si="12"/>
        <v>2</v>
      </c>
      <c r="G512" s="41" t="s">
        <v>885</v>
      </c>
      <c r="H512" s="41" t="s">
        <v>1386</v>
      </c>
    </row>
    <row r="513" spans="1:8" ht="15">
      <c r="A513" s="38">
        <v>512</v>
      </c>
      <c r="B513" s="39">
        <v>7</v>
      </c>
      <c r="C513" s="40">
        <v>1</v>
      </c>
      <c r="D513" s="39">
        <v>2003</v>
      </c>
      <c r="E513" s="38" t="str">
        <f t="shared" si="11"/>
        <v>24092212</v>
      </c>
      <c r="F513" s="38">
        <f t="shared" si="12"/>
        <v>2</v>
      </c>
      <c r="G513" s="41" t="s">
        <v>885</v>
      </c>
      <c r="H513" s="41" t="s">
        <v>1387</v>
      </c>
    </row>
    <row r="514" spans="1:8" ht="15">
      <c r="A514" s="38">
        <v>513</v>
      </c>
      <c r="B514" s="39">
        <v>7</v>
      </c>
      <c r="C514" s="40">
        <v>1</v>
      </c>
      <c r="D514" s="39">
        <v>2004</v>
      </c>
      <c r="E514" s="38" t="str">
        <f t="shared" ref="E514:E577" si="13">G514&amp;H514</f>
        <v>24092038</v>
      </c>
      <c r="F514" s="38">
        <f t="shared" si="12"/>
        <v>2</v>
      </c>
      <c r="G514" s="41" t="s">
        <v>885</v>
      </c>
      <c r="H514" s="41" t="s">
        <v>1388</v>
      </c>
    </row>
    <row r="515" spans="1:8" ht="15">
      <c r="A515" s="38">
        <v>514</v>
      </c>
      <c r="B515" s="39">
        <v>7</v>
      </c>
      <c r="C515" s="40">
        <v>1</v>
      </c>
      <c r="D515" s="39">
        <v>1901</v>
      </c>
      <c r="E515" s="38" t="str">
        <f t="shared" si="13"/>
        <v>24091807</v>
      </c>
      <c r="F515" s="38">
        <f t="shared" ref="F515:F578" si="14">IFERROR(IF(VALUE(LEFT(D515,LEN(D515)-2))&lt;10,0,IF(VALUE(LEFT(D515,LEN(D515)-2))&lt;20,1,2)),D515)</f>
        <v>1</v>
      </c>
      <c r="G515" s="41" t="s">
        <v>885</v>
      </c>
      <c r="H515" s="41" t="s">
        <v>1389</v>
      </c>
    </row>
    <row r="516" spans="1:8" ht="15">
      <c r="A516" s="38">
        <v>515</v>
      </c>
      <c r="B516" s="39">
        <v>7</v>
      </c>
      <c r="C516" s="40">
        <v>1</v>
      </c>
      <c r="D516" s="39">
        <v>1902</v>
      </c>
      <c r="E516" s="38" t="str">
        <f t="shared" si="13"/>
        <v>24092039</v>
      </c>
      <c r="F516" s="38">
        <f t="shared" si="14"/>
        <v>1</v>
      </c>
      <c r="G516" s="41" t="s">
        <v>885</v>
      </c>
      <c r="H516" s="41" t="s">
        <v>1390</v>
      </c>
    </row>
    <row r="517" spans="1:8" ht="15">
      <c r="A517" s="38">
        <v>516</v>
      </c>
      <c r="B517" s="39">
        <v>7</v>
      </c>
      <c r="C517" s="40">
        <v>1</v>
      </c>
      <c r="D517" s="39">
        <v>1903</v>
      </c>
      <c r="E517" s="38" t="str">
        <f t="shared" si="13"/>
        <v>24091806</v>
      </c>
      <c r="F517" s="38">
        <f t="shared" si="14"/>
        <v>1</v>
      </c>
      <c r="G517" s="41" t="s">
        <v>885</v>
      </c>
      <c r="H517" s="41" t="s">
        <v>1391</v>
      </c>
    </row>
    <row r="518" spans="1:8" ht="15">
      <c r="A518" s="38">
        <v>517</v>
      </c>
      <c r="B518" s="39">
        <v>7</v>
      </c>
      <c r="C518" s="40">
        <v>1</v>
      </c>
      <c r="D518" s="39">
        <v>1904</v>
      </c>
      <c r="E518" s="38" t="str">
        <f t="shared" si="13"/>
        <v>24092286</v>
      </c>
      <c r="F518" s="38">
        <f t="shared" si="14"/>
        <v>1</v>
      </c>
      <c r="G518" s="41" t="s">
        <v>885</v>
      </c>
      <c r="H518" s="41" t="s">
        <v>1392</v>
      </c>
    </row>
    <row r="519" spans="1:8" ht="15">
      <c r="A519" s="38">
        <v>518</v>
      </c>
      <c r="B519" s="39">
        <v>7</v>
      </c>
      <c r="C519" s="40">
        <v>1</v>
      </c>
      <c r="D519" s="39">
        <v>1801</v>
      </c>
      <c r="E519" s="38" t="str">
        <f t="shared" si="13"/>
        <v>24092288</v>
      </c>
      <c r="F519" s="38">
        <f t="shared" si="14"/>
        <v>1</v>
      </c>
      <c r="G519" s="41" t="s">
        <v>885</v>
      </c>
      <c r="H519" s="41" t="s">
        <v>1393</v>
      </c>
    </row>
    <row r="520" spans="1:8" ht="15">
      <c r="A520" s="38">
        <v>519</v>
      </c>
      <c r="B520" s="39">
        <v>7</v>
      </c>
      <c r="C520" s="40">
        <v>1</v>
      </c>
      <c r="D520" s="39">
        <v>1802</v>
      </c>
      <c r="E520" s="38" t="str">
        <f t="shared" si="13"/>
        <v>24092042</v>
      </c>
      <c r="F520" s="38">
        <f t="shared" si="14"/>
        <v>1</v>
      </c>
      <c r="G520" s="41" t="s">
        <v>885</v>
      </c>
      <c r="H520" s="41" t="s">
        <v>1394</v>
      </c>
    </row>
    <row r="521" spans="1:8" ht="15">
      <c r="A521" s="38">
        <v>520</v>
      </c>
      <c r="B521" s="39">
        <v>7</v>
      </c>
      <c r="C521" s="40">
        <v>1</v>
      </c>
      <c r="D521" s="39">
        <v>1803</v>
      </c>
      <c r="E521" s="38" t="str">
        <f t="shared" si="13"/>
        <v>24092055</v>
      </c>
      <c r="F521" s="38">
        <f t="shared" si="14"/>
        <v>1</v>
      </c>
      <c r="G521" s="41" t="s">
        <v>885</v>
      </c>
      <c r="H521" s="41" t="s">
        <v>1395</v>
      </c>
    </row>
    <row r="522" spans="1:8" ht="15">
      <c r="A522" s="38">
        <v>521</v>
      </c>
      <c r="B522" s="39">
        <v>7</v>
      </c>
      <c r="C522" s="40">
        <v>1</v>
      </c>
      <c r="D522" s="39">
        <v>1804</v>
      </c>
      <c r="E522" s="38" t="str">
        <f t="shared" si="13"/>
        <v>24092284</v>
      </c>
      <c r="F522" s="38">
        <f t="shared" si="14"/>
        <v>1</v>
      </c>
      <c r="G522" s="41" t="s">
        <v>885</v>
      </c>
      <c r="H522" s="41" t="s">
        <v>716</v>
      </c>
    </row>
    <row r="523" spans="1:8" ht="15">
      <c r="A523" s="38">
        <v>522</v>
      </c>
      <c r="B523" s="39">
        <v>7</v>
      </c>
      <c r="C523" s="40">
        <v>1</v>
      </c>
      <c r="D523" s="39">
        <v>1701</v>
      </c>
      <c r="E523" s="38" t="str">
        <f t="shared" si="13"/>
        <v>24092189</v>
      </c>
      <c r="F523" s="38">
        <f t="shared" si="14"/>
        <v>1</v>
      </c>
      <c r="G523" s="41" t="s">
        <v>885</v>
      </c>
      <c r="H523" s="41" t="s">
        <v>1396</v>
      </c>
    </row>
    <row r="524" spans="1:8" ht="15">
      <c r="A524" s="38">
        <v>523</v>
      </c>
      <c r="B524" s="39">
        <v>7</v>
      </c>
      <c r="C524" s="40">
        <v>1</v>
      </c>
      <c r="D524" s="39">
        <v>1702</v>
      </c>
      <c r="E524" s="38" t="str">
        <f t="shared" si="13"/>
        <v>24092228</v>
      </c>
      <c r="F524" s="38">
        <f t="shared" si="14"/>
        <v>1</v>
      </c>
      <c r="G524" s="41" t="s">
        <v>885</v>
      </c>
      <c r="H524" s="41" t="s">
        <v>1397</v>
      </c>
    </row>
    <row r="525" spans="1:8" ht="15">
      <c r="A525" s="38">
        <v>524</v>
      </c>
      <c r="B525" s="39">
        <v>7</v>
      </c>
      <c r="C525" s="40">
        <v>1</v>
      </c>
      <c r="D525" s="39">
        <v>1703</v>
      </c>
      <c r="E525" s="38" t="str">
        <f t="shared" si="13"/>
        <v>24091949</v>
      </c>
      <c r="F525" s="38">
        <f t="shared" si="14"/>
        <v>1</v>
      </c>
      <c r="G525" s="41" t="s">
        <v>885</v>
      </c>
      <c r="H525" s="41" t="s">
        <v>1398</v>
      </c>
    </row>
    <row r="526" spans="1:8" ht="15">
      <c r="A526" s="38">
        <v>525</v>
      </c>
      <c r="B526" s="39">
        <v>7</v>
      </c>
      <c r="C526" s="40">
        <v>1</v>
      </c>
      <c r="D526" s="39">
        <v>1704</v>
      </c>
      <c r="E526" s="38" t="str">
        <f t="shared" si="13"/>
        <v>24092195</v>
      </c>
      <c r="F526" s="38">
        <f t="shared" si="14"/>
        <v>1</v>
      </c>
      <c r="G526" s="41" t="s">
        <v>885</v>
      </c>
      <c r="H526" s="41" t="s">
        <v>1399</v>
      </c>
    </row>
    <row r="527" spans="1:8" ht="15">
      <c r="A527" s="38">
        <v>526</v>
      </c>
      <c r="B527" s="39">
        <v>7</v>
      </c>
      <c r="C527" s="40">
        <v>1</v>
      </c>
      <c r="D527" s="39">
        <v>901</v>
      </c>
      <c r="E527" s="38" t="str">
        <f t="shared" si="13"/>
        <v>24092397</v>
      </c>
      <c r="F527" s="38">
        <f t="shared" si="14"/>
        <v>0</v>
      </c>
      <c r="G527" s="41" t="s">
        <v>885</v>
      </c>
      <c r="H527" s="41" t="s">
        <v>1400</v>
      </c>
    </row>
    <row r="528" spans="1:8" ht="15">
      <c r="A528" s="38">
        <v>527</v>
      </c>
      <c r="B528" s="39">
        <v>7</v>
      </c>
      <c r="C528" s="40">
        <v>1</v>
      </c>
      <c r="D528" s="39">
        <v>902</v>
      </c>
      <c r="E528" s="38" t="str">
        <f t="shared" si="13"/>
        <v>24092582</v>
      </c>
      <c r="F528" s="38">
        <f t="shared" si="14"/>
        <v>0</v>
      </c>
      <c r="G528" s="41" t="s">
        <v>885</v>
      </c>
      <c r="H528" s="41" t="s">
        <v>1401</v>
      </c>
    </row>
    <row r="529" spans="1:8" ht="15">
      <c r="A529" s="38">
        <v>528</v>
      </c>
      <c r="B529" s="39">
        <v>7</v>
      </c>
      <c r="C529" s="40">
        <v>1</v>
      </c>
      <c r="D529" s="39">
        <v>903</v>
      </c>
      <c r="E529" s="38" t="str">
        <f t="shared" si="13"/>
        <v>24092658</v>
      </c>
      <c r="F529" s="38">
        <f t="shared" si="14"/>
        <v>0</v>
      </c>
      <c r="G529" s="41" t="s">
        <v>885</v>
      </c>
      <c r="H529" s="41" t="s">
        <v>1402</v>
      </c>
    </row>
    <row r="530" spans="1:8" ht="15">
      <c r="A530" s="38">
        <v>529</v>
      </c>
      <c r="B530" s="39">
        <v>7</v>
      </c>
      <c r="C530" s="40">
        <v>1</v>
      </c>
      <c r="D530" s="39">
        <v>904</v>
      </c>
      <c r="E530" s="38" t="str">
        <f t="shared" si="13"/>
        <v>24092469</v>
      </c>
      <c r="F530" s="38">
        <f t="shared" si="14"/>
        <v>0</v>
      </c>
      <c r="G530" s="41" t="s">
        <v>885</v>
      </c>
      <c r="H530" s="41" t="s">
        <v>1403</v>
      </c>
    </row>
    <row r="531" spans="1:8" ht="15">
      <c r="A531" s="38">
        <v>530</v>
      </c>
      <c r="B531" s="39">
        <v>7</v>
      </c>
      <c r="C531" s="40">
        <v>1</v>
      </c>
      <c r="D531" s="39">
        <v>801</v>
      </c>
      <c r="E531" s="38" t="str">
        <f t="shared" si="13"/>
        <v>24092404</v>
      </c>
      <c r="F531" s="38">
        <f t="shared" si="14"/>
        <v>0</v>
      </c>
      <c r="G531" s="41" t="s">
        <v>885</v>
      </c>
      <c r="H531" s="41" t="s">
        <v>1404</v>
      </c>
    </row>
    <row r="532" spans="1:8" ht="15">
      <c r="A532" s="38">
        <v>531</v>
      </c>
      <c r="B532" s="39">
        <v>7</v>
      </c>
      <c r="C532" s="40">
        <v>1</v>
      </c>
      <c r="D532" s="39">
        <v>802</v>
      </c>
      <c r="E532" s="38" t="str">
        <f t="shared" si="13"/>
        <v>24092623</v>
      </c>
      <c r="F532" s="38">
        <f t="shared" si="14"/>
        <v>0</v>
      </c>
      <c r="G532" s="41" t="s">
        <v>885</v>
      </c>
      <c r="H532" s="41" t="s">
        <v>1405</v>
      </c>
    </row>
    <row r="533" spans="1:8" ht="15">
      <c r="A533" s="38">
        <v>532</v>
      </c>
      <c r="B533" s="39">
        <v>7</v>
      </c>
      <c r="C533" s="40">
        <v>1</v>
      </c>
      <c r="D533" s="39">
        <v>803</v>
      </c>
      <c r="E533" s="38" t="str">
        <f t="shared" si="13"/>
        <v>24092399</v>
      </c>
      <c r="F533" s="38">
        <f t="shared" si="14"/>
        <v>0</v>
      </c>
      <c r="G533" s="41" t="s">
        <v>885</v>
      </c>
      <c r="H533" s="41" t="s">
        <v>1406</v>
      </c>
    </row>
    <row r="534" spans="1:8" ht="15">
      <c r="A534" s="38">
        <v>533</v>
      </c>
      <c r="B534" s="39">
        <v>7</v>
      </c>
      <c r="C534" s="40">
        <v>1</v>
      </c>
      <c r="D534" s="39">
        <v>804</v>
      </c>
      <c r="E534" s="38" t="str">
        <f t="shared" si="13"/>
        <v>24092475</v>
      </c>
      <c r="F534" s="38">
        <f t="shared" si="14"/>
        <v>0</v>
      </c>
      <c r="G534" s="41" t="s">
        <v>885</v>
      </c>
      <c r="H534" s="41" t="s">
        <v>1407</v>
      </c>
    </row>
    <row r="535" spans="1:8" ht="15">
      <c r="A535" s="38">
        <v>534</v>
      </c>
      <c r="B535" s="39">
        <v>7</v>
      </c>
      <c r="C535" s="40">
        <v>1</v>
      </c>
      <c r="D535" s="39">
        <v>701</v>
      </c>
      <c r="E535" s="38" t="str">
        <f t="shared" si="13"/>
        <v>24091801</v>
      </c>
      <c r="F535" s="38">
        <f t="shared" si="14"/>
        <v>0</v>
      </c>
      <c r="G535" s="41" t="s">
        <v>885</v>
      </c>
      <c r="H535" s="41" t="s">
        <v>1408</v>
      </c>
    </row>
    <row r="536" spans="1:8" ht="15">
      <c r="A536" s="38">
        <v>535</v>
      </c>
      <c r="B536" s="39">
        <v>7</v>
      </c>
      <c r="C536" s="40">
        <v>1</v>
      </c>
      <c r="D536" s="39">
        <v>702</v>
      </c>
      <c r="E536" s="38" t="str">
        <f t="shared" si="13"/>
        <v>24091969</v>
      </c>
      <c r="F536" s="38">
        <f t="shared" si="14"/>
        <v>0</v>
      </c>
      <c r="G536" s="41" t="s">
        <v>885</v>
      </c>
      <c r="H536" s="41" t="s">
        <v>1409</v>
      </c>
    </row>
    <row r="537" spans="1:8" ht="15">
      <c r="A537" s="38">
        <v>536</v>
      </c>
      <c r="B537" s="39">
        <v>7</v>
      </c>
      <c r="C537" s="40">
        <v>1</v>
      </c>
      <c r="D537" s="39">
        <v>703</v>
      </c>
      <c r="E537" s="38" t="str">
        <f t="shared" si="13"/>
        <v>24091976</v>
      </c>
      <c r="F537" s="38">
        <f t="shared" si="14"/>
        <v>0</v>
      </c>
      <c r="G537" s="41" t="s">
        <v>885</v>
      </c>
      <c r="H537" s="41" t="s">
        <v>1410</v>
      </c>
    </row>
    <row r="538" spans="1:8" ht="15">
      <c r="A538" s="38">
        <v>537</v>
      </c>
      <c r="B538" s="39">
        <v>7</v>
      </c>
      <c r="C538" s="40">
        <v>1</v>
      </c>
      <c r="D538" s="39">
        <v>704</v>
      </c>
      <c r="E538" s="38" t="str">
        <f t="shared" si="13"/>
        <v>24091971</v>
      </c>
      <c r="F538" s="38">
        <f t="shared" si="14"/>
        <v>0</v>
      </c>
      <c r="G538" s="41" t="s">
        <v>885</v>
      </c>
      <c r="H538" s="41" t="s">
        <v>1411</v>
      </c>
    </row>
    <row r="539" spans="1:8" ht="15">
      <c r="A539" s="38">
        <v>538</v>
      </c>
      <c r="B539" s="39">
        <v>7</v>
      </c>
      <c r="C539" s="40">
        <v>1</v>
      </c>
      <c r="D539" s="39">
        <v>601</v>
      </c>
      <c r="E539" s="38" t="str">
        <f t="shared" si="13"/>
        <v>24092247</v>
      </c>
      <c r="F539" s="38">
        <f t="shared" si="14"/>
        <v>0</v>
      </c>
      <c r="G539" s="41" t="s">
        <v>885</v>
      </c>
      <c r="H539" s="41" t="s">
        <v>1412</v>
      </c>
    </row>
    <row r="540" spans="1:8" ht="15">
      <c r="A540" s="38">
        <v>539</v>
      </c>
      <c r="B540" s="39">
        <v>7</v>
      </c>
      <c r="C540" s="40">
        <v>1</v>
      </c>
      <c r="D540" s="39">
        <v>602</v>
      </c>
      <c r="E540" s="38" t="str">
        <f t="shared" si="13"/>
        <v>24091803</v>
      </c>
      <c r="F540" s="38">
        <f t="shared" si="14"/>
        <v>0</v>
      </c>
      <c r="G540" s="41" t="s">
        <v>885</v>
      </c>
      <c r="H540" s="41" t="s">
        <v>1413</v>
      </c>
    </row>
    <row r="541" spans="1:8" ht="15">
      <c r="A541" s="38">
        <v>540</v>
      </c>
      <c r="B541" s="39">
        <v>7</v>
      </c>
      <c r="C541" s="40">
        <v>1</v>
      </c>
      <c r="D541" s="39">
        <v>603</v>
      </c>
      <c r="E541" s="38" t="str">
        <f t="shared" si="13"/>
        <v>24091802</v>
      </c>
      <c r="F541" s="38">
        <f t="shared" si="14"/>
        <v>0</v>
      </c>
      <c r="G541" s="41" t="s">
        <v>885</v>
      </c>
      <c r="H541" s="41" t="s">
        <v>1414</v>
      </c>
    </row>
    <row r="542" spans="1:8" ht="15">
      <c r="A542" s="38">
        <v>541</v>
      </c>
      <c r="B542" s="39">
        <v>7</v>
      </c>
      <c r="C542" s="40">
        <v>1</v>
      </c>
      <c r="D542" s="39">
        <v>604</v>
      </c>
      <c r="E542" s="38" t="str">
        <f t="shared" si="13"/>
        <v>24092225</v>
      </c>
      <c r="F542" s="38">
        <f t="shared" si="14"/>
        <v>0</v>
      </c>
      <c r="G542" s="41" t="s">
        <v>885</v>
      </c>
      <c r="H542" s="41" t="s">
        <v>1415</v>
      </c>
    </row>
    <row r="543" spans="1:8" ht="15">
      <c r="A543" s="38">
        <v>542</v>
      </c>
      <c r="B543" s="39">
        <v>7</v>
      </c>
      <c r="C543" s="40">
        <v>1</v>
      </c>
      <c r="D543" s="39">
        <v>501</v>
      </c>
      <c r="E543" s="38" t="str">
        <f t="shared" si="13"/>
        <v>24092113</v>
      </c>
      <c r="F543" s="38">
        <f t="shared" si="14"/>
        <v>0</v>
      </c>
      <c r="G543" s="41" t="s">
        <v>885</v>
      </c>
      <c r="H543" s="41" t="s">
        <v>1416</v>
      </c>
    </row>
    <row r="544" spans="1:8" ht="15">
      <c r="A544" s="38">
        <v>543</v>
      </c>
      <c r="B544" s="39">
        <v>7</v>
      </c>
      <c r="C544" s="40">
        <v>1</v>
      </c>
      <c r="D544" s="39">
        <v>502</v>
      </c>
      <c r="E544" s="38" t="str">
        <f t="shared" si="13"/>
        <v>24091882</v>
      </c>
      <c r="F544" s="38">
        <f t="shared" si="14"/>
        <v>0</v>
      </c>
      <c r="G544" s="41" t="s">
        <v>885</v>
      </c>
      <c r="H544" s="41" t="s">
        <v>1417</v>
      </c>
    </row>
    <row r="545" spans="1:8" ht="15">
      <c r="A545" s="38">
        <v>544</v>
      </c>
      <c r="B545" s="39">
        <v>7</v>
      </c>
      <c r="C545" s="40">
        <v>1</v>
      </c>
      <c r="D545" s="39">
        <v>503</v>
      </c>
      <c r="E545" s="38" t="str">
        <f t="shared" si="13"/>
        <v>24091809</v>
      </c>
      <c r="F545" s="38">
        <f t="shared" si="14"/>
        <v>0</v>
      </c>
      <c r="G545" s="41" t="s">
        <v>885</v>
      </c>
      <c r="H545" s="41" t="s">
        <v>1418</v>
      </c>
    </row>
    <row r="546" spans="1:8" ht="15">
      <c r="A546" s="38">
        <v>545</v>
      </c>
      <c r="B546" s="39">
        <v>7</v>
      </c>
      <c r="C546" s="40">
        <v>1</v>
      </c>
      <c r="D546" s="39">
        <v>504</v>
      </c>
      <c r="E546" s="38" t="str">
        <f t="shared" si="13"/>
        <v>24091817</v>
      </c>
      <c r="F546" s="38">
        <f t="shared" si="14"/>
        <v>0</v>
      </c>
      <c r="G546" s="41" t="s">
        <v>885</v>
      </c>
      <c r="H546" s="41" t="s">
        <v>1419</v>
      </c>
    </row>
    <row r="547" spans="1:8" ht="15">
      <c r="A547" s="38">
        <v>546</v>
      </c>
      <c r="B547" s="39">
        <v>7</v>
      </c>
      <c r="C547" s="40">
        <v>1</v>
      </c>
      <c r="D547" s="39">
        <v>401</v>
      </c>
      <c r="E547" s="38" t="str">
        <f t="shared" si="13"/>
        <v>24091885</v>
      </c>
      <c r="F547" s="38">
        <f t="shared" si="14"/>
        <v>0</v>
      </c>
      <c r="G547" s="41" t="s">
        <v>885</v>
      </c>
      <c r="H547" s="41" t="s">
        <v>1420</v>
      </c>
    </row>
    <row r="548" spans="1:8" ht="15">
      <c r="A548" s="38">
        <v>547</v>
      </c>
      <c r="B548" s="39">
        <v>7</v>
      </c>
      <c r="C548" s="40">
        <v>1</v>
      </c>
      <c r="D548" s="39">
        <v>402</v>
      </c>
      <c r="E548" s="38" t="str">
        <f t="shared" si="13"/>
        <v>24092070</v>
      </c>
      <c r="F548" s="38">
        <f t="shared" si="14"/>
        <v>0</v>
      </c>
      <c r="G548" s="41" t="s">
        <v>885</v>
      </c>
      <c r="H548" s="41" t="s">
        <v>730</v>
      </c>
    </row>
    <row r="549" spans="1:8" ht="15">
      <c r="A549" s="38">
        <v>548</v>
      </c>
      <c r="B549" s="39">
        <v>7</v>
      </c>
      <c r="C549" s="40">
        <v>1</v>
      </c>
      <c r="D549" s="39">
        <v>403</v>
      </c>
      <c r="E549" s="38" t="str">
        <f t="shared" si="13"/>
        <v>24091872</v>
      </c>
      <c r="F549" s="38">
        <f t="shared" si="14"/>
        <v>0</v>
      </c>
      <c r="G549" s="41" t="s">
        <v>885</v>
      </c>
      <c r="H549" s="41" t="s">
        <v>1421</v>
      </c>
    </row>
    <row r="550" spans="1:8" ht="15">
      <c r="A550" s="38">
        <v>549</v>
      </c>
      <c r="B550" s="39">
        <v>7</v>
      </c>
      <c r="C550" s="40">
        <v>1</v>
      </c>
      <c r="D550" s="39">
        <v>404</v>
      </c>
      <c r="E550" s="38" t="str">
        <f t="shared" si="13"/>
        <v>24092066</v>
      </c>
      <c r="F550" s="38">
        <f t="shared" si="14"/>
        <v>0</v>
      </c>
      <c r="G550" s="41" t="s">
        <v>885</v>
      </c>
      <c r="H550" s="41" t="s">
        <v>1422</v>
      </c>
    </row>
    <row r="551" spans="1:8" ht="15">
      <c r="A551" s="38">
        <v>550</v>
      </c>
      <c r="B551" s="39">
        <v>7</v>
      </c>
      <c r="C551" s="40">
        <v>1</v>
      </c>
      <c r="D551" s="39">
        <v>301</v>
      </c>
      <c r="E551" s="38" t="str">
        <f t="shared" si="13"/>
        <v>24092120</v>
      </c>
      <c r="F551" s="38">
        <f t="shared" si="14"/>
        <v>0</v>
      </c>
      <c r="G551" s="41" t="s">
        <v>885</v>
      </c>
      <c r="H551" s="41" t="s">
        <v>1423</v>
      </c>
    </row>
    <row r="552" spans="1:8" ht="15">
      <c r="A552" s="38">
        <v>551</v>
      </c>
      <c r="B552" s="39">
        <v>7</v>
      </c>
      <c r="C552" s="40">
        <v>1</v>
      </c>
      <c r="D552" s="39">
        <v>302</v>
      </c>
      <c r="E552" s="38" t="str">
        <f t="shared" si="13"/>
        <v>24091819</v>
      </c>
      <c r="F552" s="38">
        <f t="shared" si="14"/>
        <v>0</v>
      </c>
      <c r="G552" s="41" t="s">
        <v>885</v>
      </c>
      <c r="H552" s="41" t="s">
        <v>1424</v>
      </c>
    </row>
    <row r="553" spans="1:8" ht="15">
      <c r="A553" s="38">
        <v>552</v>
      </c>
      <c r="B553" s="39">
        <v>7</v>
      </c>
      <c r="C553" s="40">
        <v>1</v>
      </c>
      <c r="D553" s="39">
        <v>303</v>
      </c>
      <c r="E553" s="38" t="str">
        <f t="shared" si="13"/>
        <v>24092069</v>
      </c>
      <c r="F553" s="38">
        <f t="shared" si="14"/>
        <v>0</v>
      </c>
      <c r="G553" s="41" t="s">
        <v>885</v>
      </c>
      <c r="H553" s="41" t="s">
        <v>1425</v>
      </c>
    </row>
    <row r="554" spans="1:8" ht="15">
      <c r="A554" s="38">
        <v>553</v>
      </c>
      <c r="B554" s="39">
        <v>7</v>
      </c>
      <c r="C554" s="40">
        <v>1</v>
      </c>
      <c r="D554" s="39">
        <v>304</v>
      </c>
      <c r="E554" s="38" t="str">
        <f t="shared" si="13"/>
        <v>24092119</v>
      </c>
      <c r="F554" s="38">
        <f t="shared" si="14"/>
        <v>0</v>
      </c>
      <c r="G554" s="41" t="s">
        <v>885</v>
      </c>
      <c r="H554" s="41" t="s">
        <v>1426</v>
      </c>
    </row>
    <row r="555" spans="1:8" ht="15">
      <c r="A555" s="38">
        <v>554</v>
      </c>
      <c r="B555" s="39">
        <v>7</v>
      </c>
      <c r="C555" s="40">
        <v>1</v>
      </c>
      <c r="D555" s="39">
        <v>201</v>
      </c>
      <c r="E555" s="38" t="str">
        <f t="shared" si="13"/>
        <v>24092162</v>
      </c>
      <c r="F555" s="38">
        <f t="shared" si="14"/>
        <v>0</v>
      </c>
      <c r="G555" s="41" t="s">
        <v>885</v>
      </c>
      <c r="H555" s="41" t="s">
        <v>1427</v>
      </c>
    </row>
    <row r="556" spans="1:8" ht="15">
      <c r="A556" s="38">
        <v>555</v>
      </c>
      <c r="B556" s="39">
        <v>7</v>
      </c>
      <c r="C556" s="40">
        <v>1</v>
      </c>
      <c r="D556" s="39">
        <v>202</v>
      </c>
      <c r="E556" s="38" t="str">
        <f t="shared" si="13"/>
        <v>24092106</v>
      </c>
      <c r="F556" s="38">
        <f t="shared" si="14"/>
        <v>0</v>
      </c>
      <c r="G556" s="41" t="s">
        <v>885</v>
      </c>
      <c r="H556" s="41" t="s">
        <v>1428</v>
      </c>
    </row>
    <row r="557" spans="1:8" ht="15">
      <c r="A557" s="38">
        <v>556</v>
      </c>
      <c r="B557" s="39">
        <v>7</v>
      </c>
      <c r="C557" s="40">
        <v>1</v>
      </c>
      <c r="D557" s="39">
        <v>203</v>
      </c>
      <c r="E557" s="38" t="str">
        <f t="shared" si="13"/>
        <v>24092157</v>
      </c>
      <c r="F557" s="38">
        <f t="shared" si="14"/>
        <v>0</v>
      </c>
      <c r="G557" s="41" t="s">
        <v>885</v>
      </c>
      <c r="H557" s="41" t="s">
        <v>1429</v>
      </c>
    </row>
    <row r="558" spans="1:8" ht="15">
      <c r="A558" s="38">
        <v>557</v>
      </c>
      <c r="B558" s="39">
        <v>7</v>
      </c>
      <c r="C558" s="40">
        <v>1</v>
      </c>
      <c r="D558" s="39">
        <v>204</v>
      </c>
      <c r="E558" s="38" t="str">
        <f t="shared" si="13"/>
        <v>24092134</v>
      </c>
      <c r="F558" s="38">
        <f t="shared" si="14"/>
        <v>0</v>
      </c>
      <c r="G558" s="41" t="s">
        <v>885</v>
      </c>
      <c r="H558" s="41" t="s">
        <v>1430</v>
      </c>
    </row>
    <row r="559" spans="1:8" ht="15">
      <c r="A559" s="38">
        <v>558</v>
      </c>
      <c r="B559" s="39">
        <v>7</v>
      </c>
      <c r="C559" s="40">
        <v>1</v>
      </c>
      <c r="D559" s="39">
        <v>101</v>
      </c>
      <c r="E559" s="38" t="str">
        <f t="shared" si="13"/>
        <v>24092105</v>
      </c>
      <c r="F559" s="38">
        <f t="shared" si="14"/>
        <v>0</v>
      </c>
      <c r="G559" s="41" t="s">
        <v>885</v>
      </c>
      <c r="H559" s="41" t="s">
        <v>1431</v>
      </c>
    </row>
    <row r="560" spans="1:8" ht="15">
      <c r="A560" s="38">
        <v>559</v>
      </c>
      <c r="B560" s="39">
        <v>7</v>
      </c>
      <c r="C560" s="40">
        <v>1</v>
      </c>
      <c r="D560" s="39">
        <v>102</v>
      </c>
      <c r="E560" s="38" t="str">
        <f t="shared" si="13"/>
        <v>24091861</v>
      </c>
      <c r="F560" s="38">
        <f t="shared" si="14"/>
        <v>0</v>
      </c>
      <c r="G560" s="41" t="s">
        <v>885</v>
      </c>
      <c r="H560" s="41" t="s">
        <v>1432</v>
      </c>
    </row>
    <row r="561" spans="1:8" ht="15">
      <c r="A561" s="38">
        <v>560</v>
      </c>
      <c r="B561" s="39">
        <v>7</v>
      </c>
      <c r="C561" s="40">
        <v>1</v>
      </c>
      <c r="D561" s="39">
        <v>103</v>
      </c>
      <c r="E561" s="38" t="str">
        <f t="shared" si="13"/>
        <v>24091863</v>
      </c>
      <c r="F561" s="38">
        <f t="shared" si="14"/>
        <v>0</v>
      </c>
      <c r="G561" s="41" t="s">
        <v>885</v>
      </c>
      <c r="H561" s="41" t="s">
        <v>1433</v>
      </c>
    </row>
    <row r="562" spans="1:8" ht="15">
      <c r="A562" s="38">
        <v>561</v>
      </c>
      <c r="B562" s="39">
        <v>7</v>
      </c>
      <c r="C562" s="40">
        <v>1</v>
      </c>
      <c r="D562" s="39">
        <v>104</v>
      </c>
      <c r="E562" s="38" t="str">
        <f t="shared" si="13"/>
        <v>24091866</v>
      </c>
      <c r="F562" s="38">
        <f t="shared" si="14"/>
        <v>0</v>
      </c>
      <c r="G562" s="41" t="s">
        <v>885</v>
      </c>
      <c r="H562" s="41" t="s">
        <v>1434</v>
      </c>
    </row>
    <row r="563" spans="1:8" ht="15">
      <c r="A563" s="38">
        <v>562</v>
      </c>
      <c r="B563" s="39">
        <v>7</v>
      </c>
      <c r="C563" s="40">
        <v>1</v>
      </c>
      <c r="D563" s="39" t="s">
        <v>977</v>
      </c>
      <c r="E563" s="38" t="str">
        <f t="shared" si="13"/>
        <v>24092525</v>
      </c>
      <c r="F563" s="38" t="str">
        <f t="shared" si="14"/>
        <v>地下室</v>
      </c>
      <c r="G563" s="41" t="s">
        <v>885</v>
      </c>
      <c r="H563" s="41" t="s">
        <v>1435</v>
      </c>
    </row>
    <row r="564" spans="1:8" ht="15">
      <c r="A564" s="38">
        <v>563</v>
      </c>
      <c r="B564" s="39">
        <v>7</v>
      </c>
      <c r="C564" s="40">
        <v>1</v>
      </c>
      <c r="D564" s="39">
        <v>1601</v>
      </c>
      <c r="E564" s="38" t="str">
        <f t="shared" si="13"/>
        <v>24092204</v>
      </c>
      <c r="F564" s="38">
        <f t="shared" si="14"/>
        <v>1</v>
      </c>
      <c r="G564" s="41" t="s">
        <v>885</v>
      </c>
      <c r="H564" s="41" t="s">
        <v>1436</v>
      </c>
    </row>
    <row r="565" spans="1:8" ht="15">
      <c r="A565" s="38">
        <v>564</v>
      </c>
      <c r="B565" s="39">
        <v>7</v>
      </c>
      <c r="C565" s="40">
        <v>1</v>
      </c>
      <c r="D565" s="39">
        <v>1602</v>
      </c>
      <c r="E565" s="38" t="str">
        <f t="shared" si="13"/>
        <v>24091943</v>
      </c>
      <c r="F565" s="38">
        <f t="shared" si="14"/>
        <v>1</v>
      </c>
      <c r="G565" s="41" t="s">
        <v>885</v>
      </c>
      <c r="H565" s="41" t="s">
        <v>1437</v>
      </c>
    </row>
    <row r="566" spans="1:8" ht="15">
      <c r="A566" s="38">
        <v>565</v>
      </c>
      <c r="B566" s="39">
        <v>7</v>
      </c>
      <c r="C566" s="40">
        <v>1</v>
      </c>
      <c r="D566" s="39">
        <v>1603</v>
      </c>
      <c r="E566" s="38" t="str">
        <f t="shared" si="13"/>
        <v>24092277</v>
      </c>
      <c r="F566" s="38">
        <f t="shared" si="14"/>
        <v>1</v>
      </c>
      <c r="G566" s="41" t="s">
        <v>885</v>
      </c>
      <c r="H566" s="41" t="s">
        <v>1438</v>
      </c>
    </row>
    <row r="567" spans="1:8" ht="15">
      <c r="A567" s="38">
        <v>566</v>
      </c>
      <c r="B567" s="39">
        <v>7</v>
      </c>
      <c r="C567" s="40">
        <v>1</v>
      </c>
      <c r="D567" s="39">
        <v>1604</v>
      </c>
      <c r="E567" s="38" t="str">
        <f t="shared" si="13"/>
        <v>24091937</v>
      </c>
      <c r="F567" s="38">
        <f t="shared" si="14"/>
        <v>1</v>
      </c>
      <c r="G567" s="41" t="s">
        <v>885</v>
      </c>
      <c r="H567" s="41" t="s">
        <v>1439</v>
      </c>
    </row>
    <row r="568" spans="1:8" ht="15">
      <c r="A568" s="38">
        <v>567</v>
      </c>
      <c r="B568" s="39">
        <v>7</v>
      </c>
      <c r="C568" s="40">
        <v>1</v>
      </c>
      <c r="D568" s="39">
        <v>1501</v>
      </c>
      <c r="E568" s="38" t="str">
        <f t="shared" si="13"/>
        <v>24091944</v>
      </c>
      <c r="F568" s="38">
        <f t="shared" si="14"/>
        <v>1</v>
      </c>
      <c r="G568" s="41" t="s">
        <v>885</v>
      </c>
      <c r="H568" s="41" t="s">
        <v>1440</v>
      </c>
    </row>
    <row r="569" spans="1:8" ht="15">
      <c r="A569" s="38">
        <v>568</v>
      </c>
      <c r="B569" s="39">
        <v>7</v>
      </c>
      <c r="C569" s="40">
        <v>1</v>
      </c>
      <c r="D569" s="39">
        <v>1502</v>
      </c>
      <c r="E569" s="38" t="str">
        <f t="shared" si="13"/>
        <v>24091942</v>
      </c>
      <c r="F569" s="38">
        <f t="shared" si="14"/>
        <v>1</v>
      </c>
      <c r="G569" s="41" t="s">
        <v>885</v>
      </c>
      <c r="H569" s="41" t="s">
        <v>1441</v>
      </c>
    </row>
    <row r="570" spans="1:8" ht="15">
      <c r="A570" s="38">
        <v>569</v>
      </c>
      <c r="B570" s="39">
        <v>7</v>
      </c>
      <c r="C570" s="40">
        <v>1</v>
      </c>
      <c r="D570" s="39">
        <v>1503</v>
      </c>
      <c r="E570" s="38" t="str">
        <f t="shared" si="13"/>
        <v>24092196</v>
      </c>
      <c r="F570" s="38">
        <f t="shared" si="14"/>
        <v>1</v>
      </c>
      <c r="G570" s="41" t="s">
        <v>885</v>
      </c>
      <c r="H570" s="41" t="s">
        <v>1442</v>
      </c>
    </row>
    <row r="571" spans="1:8" ht="15">
      <c r="A571" s="38">
        <v>570</v>
      </c>
      <c r="B571" s="39">
        <v>7</v>
      </c>
      <c r="C571" s="40">
        <v>1</v>
      </c>
      <c r="D571" s="39">
        <v>1504</v>
      </c>
      <c r="E571" s="38" t="str">
        <f t="shared" si="13"/>
        <v>24092242</v>
      </c>
      <c r="F571" s="38">
        <f t="shared" si="14"/>
        <v>1</v>
      </c>
      <c r="G571" s="41" t="s">
        <v>885</v>
      </c>
      <c r="H571" s="41" t="s">
        <v>1443</v>
      </c>
    </row>
    <row r="572" spans="1:8" ht="15">
      <c r="A572" s="38">
        <v>571</v>
      </c>
      <c r="B572" s="39">
        <v>7</v>
      </c>
      <c r="C572" s="40">
        <v>1</v>
      </c>
      <c r="D572" s="39">
        <v>1401</v>
      </c>
      <c r="E572" s="38" t="str">
        <f t="shared" si="13"/>
        <v>24091998</v>
      </c>
      <c r="F572" s="38">
        <f t="shared" si="14"/>
        <v>1</v>
      </c>
      <c r="G572" s="41" t="s">
        <v>885</v>
      </c>
      <c r="H572" s="41" t="s">
        <v>1444</v>
      </c>
    </row>
    <row r="573" spans="1:8" ht="15">
      <c r="A573" s="38">
        <v>572</v>
      </c>
      <c r="B573" s="39">
        <v>7</v>
      </c>
      <c r="C573" s="40">
        <v>1</v>
      </c>
      <c r="D573" s="39">
        <v>1402</v>
      </c>
      <c r="E573" s="38" t="str">
        <f t="shared" si="13"/>
        <v>24091990</v>
      </c>
      <c r="F573" s="38">
        <f t="shared" si="14"/>
        <v>1</v>
      </c>
      <c r="G573" s="41" t="s">
        <v>885</v>
      </c>
      <c r="H573" s="41" t="s">
        <v>1445</v>
      </c>
    </row>
    <row r="574" spans="1:8" ht="15">
      <c r="A574" s="38">
        <v>573</v>
      </c>
      <c r="B574" s="39">
        <v>7</v>
      </c>
      <c r="C574" s="40">
        <v>1</v>
      </c>
      <c r="D574" s="39">
        <v>1403</v>
      </c>
      <c r="E574" s="38" t="str">
        <f t="shared" si="13"/>
        <v>24092230</v>
      </c>
      <c r="F574" s="38">
        <f t="shared" si="14"/>
        <v>1</v>
      </c>
      <c r="G574" s="41" t="s">
        <v>885</v>
      </c>
      <c r="H574" s="41" t="s">
        <v>1446</v>
      </c>
    </row>
    <row r="575" spans="1:8" ht="15">
      <c r="A575" s="38">
        <v>574</v>
      </c>
      <c r="B575" s="39">
        <v>7</v>
      </c>
      <c r="C575" s="40">
        <v>1</v>
      </c>
      <c r="D575" s="39">
        <v>1404</v>
      </c>
      <c r="E575" s="38" t="str">
        <f t="shared" si="13"/>
        <v>24092071</v>
      </c>
      <c r="F575" s="38">
        <f t="shared" si="14"/>
        <v>1</v>
      </c>
      <c r="G575" s="41" t="s">
        <v>885</v>
      </c>
      <c r="H575" s="41" t="s">
        <v>1447</v>
      </c>
    </row>
    <row r="576" spans="1:8" ht="15">
      <c r="A576" s="38">
        <v>575</v>
      </c>
      <c r="B576" s="39">
        <v>7</v>
      </c>
      <c r="C576" s="40">
        <v>1</v>
      </c>
      <c r="D576" s="39">
        <v>1301</v>
      </c>
      <c r="E576" s="38" t="str">
        <f t="shared" si="13"/>
        <v>24092059</v>
      </c>
      <c r="F576" s="38">
        <f t="shared" si="14"/>
        <v>1</v>
      </c>
      <c r="G576" s="41" t="s">
        <v>885</v>
      </c>
      <c r="H576" s="41" t="s">
        <v>1448</v>
      </c>
    </row>
    <row r="577" spans="1:8" ht="15">
      <c r="A577" s="38">
        <v>576</v>
      </c>
      <c r="B577" s="39">
        <v>7</v>
      </c>
      <c r="C577" s="40">
        <v>1</v>
      </c>
      <c r="D577" s="39">
        <v>1302</v>
      </c>
      <c r="E577" s="38" t="str">
        <f t="shared" si="13"/>
        <v>24092240</v>
      </c>
      <c r="F577" s="38">
        <f t="shared" si="14"/>
        <v>1</v>
      </c>
      <c r="G577" s="41" t="s">
        <v>885</v>
      </c>
      <c r="H577" s="41" t="s">
        <v>1449</v>
      </c>
    </row>
    <row r="578" spans="1:8" ht="15">
      <c r="A578" s="38">
        <v>577</v>
      </c>
      <c r="B578" s="39">
        <v>7</v>
      </c>
      <c r="C578" s="40">
        <v>1</v>
      </c>
      <c r="D578" s="39">
        <v>1303</v>
      </c>
      <c r="E578" s="38" t="str">
        <f t="shared" ref="E578:E641" si="15">G578&amp;H578</f>
        <v>24092067</v>
      </c>
      <c r="F578" s="38">
        <f t="shared" si="14"/>
        <v>1</v>
      </c>
      <c r="G578" s="41" t="s">
        <v>885</v>
      </c>
      <c r="H578" s="41" t="s">
        <v>1450</v>
      </c>
    </row>
    <row r="579" spans="1:8" ht="15">
      <c r="A579" s="38">
        <v>578</v>
      </c>
      <c r="B579" s="39">
        <v>7</v>
      </c>
      <c r="C579" s="40">
        <v>1</v>
      </c>
      <c r="D579" s="39">
        <v>1304</v>
      </c>
      <c r="E579" s="38" t="str">
        <f t="shared" si="15"/>
        <v>24092064</v>
      </c>
      <c r="F579" s="38">
        <f t="shared" ref="F579:F642" si="16">IFERROR(IF(VALUE(LEFT(D579,LEN(D579)-2))&lt;10,0,IF(VALUE(LEFT(D579,LEN(D579)-2))&lt;20,1,2)),D579)</f>
        <v>1</v>
      </c>
      <c r="G579" s="41" t="s">
        <v>885</v>
      </c>
      <c r="H579" s="41" t="s">
        <v>1451</v>
      </c>
    </row>
    <row r="580" spans="1:8" ht="15">
      <c r="A580" s="38">
        <v>579</v>
      </c>
      <c r="B580" s="39">
        <v>7</v>
      </c>
      <c r="C580" s="40">
        <v>1</v>
      </c>
      <c r="D580" s="39">
        <v>1201</v>
      </c>
      <c r="E580" s="38" t="str">
        <f t="shared" si="15"/>
        <v>24092266</v>
      </c>
      <c r="F580" s="38">
        <f t="shared" si="16"/>
        <v>1</v>
      </c>
      <c r="G580" s="41" t="s">
        <v>885</v>
      </c>
      <c r="H580" s="41" t="s">
        <v>1452</v>
      </c>
    </row>
    <row r="581" spans="1:8" ht="15">
      <c r="A581" s="38">
        <v>580</v>
      </c>
      <c r="B581" s="39">
        <v>7</v>
      </c>
      <c r="C581" s="40">
        <v>1</v>
      </c>
      <c r="D581" s="39">
        <v>1202</v>
      </c>
      <c r="E581" s="38" t="str">
        <f t="shared" si="15"/>
        <v>24091991</v>
      </c>
      <c r="F581" s="38">
        <f t="shared" si="16"/>
        <v>1</v>
      </c>
      <c r="G581" s="41" t="s">
        <v>885</v>
      </c>
      <c r="H581" s="41" t="s">
        <v>1453</v>
      </c>
    </row>
    <row r="582" spans="1:8" ht="15">
      <c r="A582" s="38">
        <v>581</v>
      </c>
      <c r="B582" s="39">
        <v>7</v>
      </c>
      <c r="C582" s="40">
        <v>1</v>
      </c>
      <c r="D582" s="39">
        <v>1203</v>
      </c>
      <c r="E582" s="38" t="str">
        <f t="shared" si="15"/>
        <v>24092271</v>
      </c>
      <c r="F582" s="38">
        <f t="shared" si="16"/>
        <v>1</v>
      </c>
      <c r="G582" s="41" t="s">
        <v>885</v>
      </c>
      <c r="H582" s="41" t="s">
        <v>1454</v>
      </c>
    </row>
    <row r="583" spans="1:8" ht="15">
      <c r="A583" s="38">
        <v>582</v>
      </c>
      <c r="B583" s="39">
        <v>7</v>
      </c>
      <c r="C583" s="40">
        <v>1</v>
      </c>
      <c r="D583" s="39">
        <v>1204</v>
      </c>
      <c r="E583" s="38" t="str">
        <f t="shared" si="15"/>
        <v>24092267</v>
      </c>
      <c r="F583" s="38">
        <f t="shared" si="16"/>
        <v>1</v>
      </c>
      <c r="G583" s="41" t="s">
        <v>885</v>
      </c>
      <c r="H583" s="41" t="s">
        <v>1455</v>
      </c>
    </row>
    <row r="584" spans="1:8" ht="15">
      <c r="A584" s="38">
        <v>583</v>
      </c>
      <c r="B584" s="39">
        <v>7</v>
      </c>
      <c r="C584" s="40">
        <v>1</v>
      </c>
      <c r="D584" s="39">
        <v>1101</v>
      </c>
      <c r="E584" s="38" t="str">
        <f t="shared" si="15"/>
        <v>24092011</v>
      </c>
      <c r="F584" s="38">
        <f t="shared" si="16"/>
        <v>1</v>
      </c>
      <c r="G584" s="41" t="s">
        <v>885</v>
      </c>
      <c r="H584" s="41" t="s">
        <v>1456</v>
      </c>
    </row>
    <row r="585" spans="1:8" ht="15">
      <c r="A585" s="38">
        <v>584</v>
      </c>
      <c r="B585" s="39">
        <v>7</v>
      </c>
      <c r="C585" s="40">
        <v>1</v>
      </c>
      <c r="D585" s="39">
        <v>1102</v>
      </c>
      <c r="E585" s="38" t="str">
        <f t="shared" si="15"/>
        <v>24092021</v>
      </c>
      <c r="F585" s="38">
        <f t="shared" si="16"/>
        <v>1</v>
      </c>
      <c r="G585" s="41" t="s">
        <v>885</v>
      </c>
      <c r="H585" s="41" t="s">
        <v>1457</v>
      </c>
    </row>
    <row r="586" spans="1:8" ht="15">
      <c r="A586" s="38">
        <v>585</v>
      </c>
      <c r="B586" s="39">
        <v>7</v>
      </c>
      <c r="C586" s="40">
        <v>1</v>
      </c>
      <c r="D586" s="39">
        <v>1103</v>
      </c>
      <c r="E586" s="38" t="str">
        <f t="shared" si="15"/>
        <v>24092013</v>
      </c>
      <c r="F586" s="38">
        <f t="shared" si="16"/>
        <v>1</v>
      </c>
      <c r="G586" s="41" t="s">
        <v>885</v>
      </c>
      <c r="H586" s="41" t="s">
        <v>1458</v>
      </c>
    </row>
    <row r="587" spans="1:8" ht="15">
      <c r="A587" s="38">
        <v>586</v>
      </c>
      <c r="B587" s="39">
        <v>7</v>
      </c>
      <c r="C587" s="40">
        <v>1</v>
      </c>
      <c r="D587" s="39">
        <v>1104</v>
      </c>
      <c r="E587" s="38" t="str">
        <f t="shared" si="15"/>
        <v>24092264</v>
      </c>
      <c r="F587" s="38">
        <f t="shared" si="16"/>
        <v>1</v>
      </c>
      <c r="G587" s="41" t="s">
        <v>885</v>
      </c>
      <c r="H587" s="41" t="s">
        <v>1459</v>
      </c>
    </row>
    <row r="588" spans="1:8" ht="15">
      <c r="A588" s="38">
        <v>587</v>
      </c>
      <c r="B588" s="39">
        <v>7</v>
      </c>
      <c r="C588" s="40">
        <v>1</v>
      </c>
      <c r="D588" s="39">
        <v>1001</v>
      </c>
      <c r="E588" s="38" t="str">
        <f t="shared" si="15"/>
        <v>24092018</v>
      </c>
      <c r="F588" s="38">
        <f t="shared" si="16"/>
        <v>1</v>
      </c>
      <c r="G588" s="41" t="s">
        <v>885</v>
      </c>
      <c r="H588" s="41" t="s">
        <v>726</v>
      </c>
    </row>
    <row r="589" spans="1:8" ht="15">
      <c r="A589" s="38">
        <v>588</v>
      </c>
      <c r="B589" s="39">
        <v>7</v>
      </c>
      <c r="C589" s="40">
        <v>1</v>
      </c>
      <c r="D589" s="39">
        <v>1002</v>
      </c>
      <c r="E589" s="38" t="str">
        <f t="shared" si="15"/>
        <v>24092273</v>
      </c>
      <c r="F589" s="38">
        <f t="shared" si="16"/>
        <v>1</v>
      </c>
      <c r="G589" s="41" t="s">
        <v>885</v>
      </c>
      <c r="H589" s="41" t="s">
        <v>721</v>
      </c>
    </row>
    <row r="590" spans="1:8" ht="15">
      <c r="A590" s="38">
        <v>589</v>
      </c>
      <c r="B590" s="39">
        <v>7</v>
      </c>
      <c r="C590" s="40">
        <v>1</v>
      </c>
      <c r="D590" s="39">
        <v>1003</v>
      </c>
      <c r="E590" s="38" t="str">
        <f t="shared" si="15"/>
        <v>24092402</v>
      </c>
      <c r="F590" s="38">
        <f t="shared" si="16"/>
        <v>1</v>
      </c>
      <c r="G590" s="41" t="s">
        <v>885</v>
      </c>
      <c r="H590" s="41" t="s">
        <v>1460</v>
      </c>
    </row>
    <row r="591" spans="1:8" ht="15">
      <c r="A591" s="38">
        <v>590</v>
      </c>
      <c r="B591" s="39">
        <v>7</v>
      </c>
      <c r="C591" s="40">
        <v>1</v>
      </c>
      <c r="D591" s="39">
        <v>1004</v>
      </c>
      <c r="E591" s="38" t="str">
        <f t="shared" si="15"/>
        <v>24092647</v>
      </c>
      <c r="F591" s="38">
        <f t="shared" si="16"/>
        <v>1</v>
      </c>
      <c r="G591" s="41" t="s">
        <v>885</v>
      </c>
      <c r="H591" s="41" t="s">
        <v>1206</v>
      </c>
    </row>
    <row r="592" spans="1:8" ht="15">
      <c r="A592" s="38">
        <v>591</v>
      </c>
      <c r="B592" s="39">
        <v>9</v>
      </c>
      <c r="C592" s="40">
        <v>1</v>
      </c>
      <c r="D592" s="39">
        <v>201</v>
      </c>
      <c r="E592" s="38" t="str">
        <f t="shared" si="15"/>
        <v>24092292</v>
      </c>
      <c r="F592" s="38">
        <f t="shared" si="16"/>
        <v>0</v>
      </c>
      <c r="G592" s="41" t="s">
        <v>885</v>
      </c>
      <c r="H592" s="41" t="s">
        <v>1461</v>
      </c>
    </row>
    <row r="593" spans="1:8" ht="15">
      <c r="A593" s="38">
        <v>592</v>
      </c>
      <c r="B593" s="39">
        <v>9</v>
      </c>
      <c r="C593" s="40">
        <v>1</v>
      </c>
      <c r="D593" s="39">
        <v>202</v>
      </c>
      <c r="E593" s="38" t="str">
        <f t="shared" si="15"/>
        <v>24092550</v>
      </c>
      <c r="F593" s="38">
        <f t="shared" si="16"/>
        <v>0</v>
      </c>
      <c r="G593" s="41" t="s">
        <v>885</v>
      </c>
      <c r="H593" s="41" t="s">
        <v>1462</v>
      </c>
    </row>
    <row r="594" spans="1:8" ht="15">
      <c r="A594" s="38">
        <v>593</v>
      </c>
      <c r="B594" s="39">
        <v>9</v>
      </c>
      <c r="C594" s="40">
        <v>1</v>
      </c>
      <c r="D594" s="39">
        <v>203</v>
      </c>
      <c r="E594" s="38" t="str">
        <f t="shared" si="15"/>
        <v>24092667</v>
      </c>
      <c r="F594" s="38">
        <f t="shared" si="16"/>
        <v>0</v>
      </c>
      <c r="G594" s="41" t="s">
        <v>885</v>
      </c>
      <c r="H594" s="41" t="s">
        <v>1463</v>
      </c>
    </row>
    <row r="595" spans="1:8" ht="15">
      <c r="A595" s="38">
        <v>594</v>
      </c>
      <c r="B595" s="39">
        <v>9</v>
      </c>
      <c r="C595" s="40">
        <v>1</v>
      </c>
      <c r="D595" s="39">
        <v>204</v>
      </c>
      <c r="E595" s="38" t="str">
        <f t="shared" si="15"/>
        <v>24092459</v>
      </c>
      <c r="F595" s="38">
        <f t="shared" si="16"/>
        <v>0</v>
      </c>
      <c r="G595" s="41" t="s">
        <v>885</v>
      </c>
      <c r="H595" s="41" t="s">
        <v>1464</v>
      </c>
    </row>
    <row r="596" spans="1:8" ht="15">
      <c r="A596" s="38">
        <v>595</v>
      </c>
      <c r="B596" s="39">
        <v>9</v>
      </c>
      <c r="C596" s="40">
        <v>1</v>
      </c>
      <c r="D596" s="39">
        <v>101</v>
      </c>
      <c r="E596" s="38" t="str">
        <f t="shared" si="15"/>
        <v>24092246</v>
      </c>
      <c r="F596" s="38">
        <f t="shared" si="16"/>
        <v>0</v>
      </c>
      <c r="G596" s="41" t="s">
        <v>885</v>
      </c>
      <c r="H596" s="41" t="s">
        <v>1465</v>
      </c>
    </row>
    <row r="597" spans="1:8" ht="15">
      <c r="A597" s="38">
        <v>596</v>
      </c>
      <c r="B597" s="39">
        <v>9</v>
      </c>
      <c r="C597" s="40">
        <v>1</v>
      </c>
      <c r="D597" s="39">
        <v>102</v>
      </c>
      <c r="E597" s="38" t="str">
        <f t="shared" si="15"/>
        <v>24091820</v>
      </c>
      <c r="F597" s="38">
        <f t="shared" si="16"/>
        <v>0</v>
      </c>
      <c r="G597" s="41" t="s">
        <v>885</v>
      </c>
      <c r="H597" s="41" t="s">
        <v>1466</v>
      </c>
    </row>
    <row r="598" spans="1:8" ht="15">
      <c r="A598" s="38">
        <v>597</v>
      </c>
      <c r="B598" s="39">
        <v>9</v>
      </c>
      <c r="C598" s="40">
        <v>1</v>
      </c>
      <c r="D598" s="39">
        <v>103</v>
      </c>
      <c r="E598" s="38" t="str">
        <f t="shared" si="15"/>
        <v>24092065</v>
      </c>
      <c r="F598" s="38">
        <f t="shared" si="16"/>
        <v>0</v>
      </c>
      <c r="G598" s="41" t="s">
        <v>885</v>
      </c>
      <c r="H598" s="41" t="s">
        <v>1467</v>
      </c>
    </row>
    <row r="599" spans="1:8" ht="15">
      <c r="A599" s="38">
        <v>598</v>
      </c>
      <c r="B599" s="39">
        <v>9</v>
      </c>
      <c r="C599" s="40">
        <v>1</v>
      </c>
      <c r="D599" s="39">
        <v>104</v>
      </c>
      <c r="E599" s="38" t="str">
        <f t="shared" si="15"/>
        <v>24092546</v>
      </c>
      <c r="F599" s="38">
        <f t="shared" si="16"/>
        <v>0</v>
      </c>
      <c r="G599" s="41" t="s">
        <v>885</v>
      </c>
      <c r="H599" s="41" t="s">
        <v>1468</v>
      </c>
    </row>
    <row r="600" spans="1:8" ht="15">
      <c r="A600" s="38">
        <v>599</v>
      </c>
      <c r="B600" s="39">
        <v>9</v>
      </c>
      <c r="C600" s="40">
        <v>1</v>
      </c>
      <c r="D600" s="39" t="s">
        <v>977</v>
      </c>
      <c r="E600" s="38" t="str">
        <f t="shared" si="15"/>
        <v>24090496</v>
      </c>
      <c r="F600" s="38" t="str">
        <f t="shared" si="16"/>
        <v>地下室</v>
      </c>
      <c r="G600" s="41" t="s">
        <v>885</v>
      </c>
      <c r="H600" s="41" t="s">
        <v>1469</v>
      </c>
    </row>
    <row r="601" spans="1:8" ht="15">
      <c r="A601" s="38">
        <v>600</v>
      </c>
      <c r="B601" s="39">
        <v>9</v>
      </c>
      <c r="C601" s="40">
        <v>1</v>
      </c>
      <c r="D601" s="39">
        <v>2301</v>
      </c>
      <c r="E601" s="38" t="str">
        <f t="shared" si="15"/>
        <v>24092222</v>
      </c>
      <c r="F601" s="38">
        <f t="shared" si="16"/>
        <v>2</v>
      </c>
      <c r="G601" s="41" t="s">
        <v>885</v>
      </c>
      <c r="H601" s="41" t="s">
        <v>1470</v>
      </c>
    </row>
    <row r="602" spans="1:8" ht="15">
      <c r="A602" s="38">
        <v>601</v>
      </c>
      <c r="B602" s="39">
        <v>9</v>
      </c>
      <c r="C602" s="40">
        <v>1</v>
      </c>
      <c r="D602" s="39">
        <v>2302</v>
      </c>
      <c r="E602" s="38" t="str">
        <f t="shared" si="15"/>
        <v>24092051</v>
      </c>
      <c r="F602" s="38">
        <f t="shared" si="16"/>
        <v>2</v>
      </c>
      <c r="G602" s="41" t="s">
        <v>885</v>
      </c>
      <c r="H602" s="41" t="s">
        <v>1471</v>
      </c>
    </row>
    <row r="603" spans="1:8" ht="15">
      <c r="A603" s="38">
        <v>602</v>
      </c>
      <c r="B603" s="39">
        <v>9</v>
      </c>
      <c r="C603" s="40">
        <v>1</v>
      </c>
      <c r="D603" s="39">
        <v>2303</v>
      </c>
      <c r="E603" s="38" t="str">
        <f t="shared" si="15"/>
        <v>24092232</v>
      </c>
      <c r="F603" s="38">
        <f t="shared" si="16"/>
        <v>2</v>
      </c>
      <c r="G603" s="41" t="s">
        <v>885</v>
      </c>
      <c r="H603" s="41" t="s">
        <v>1472</v>
      </c>
    </row>
    <row r="604" spans="1:8" ht="15">
      <c r="A604" s="38">
        <v>603</v>
      </c>
      <c r="B604" s="39">
        <v>9</v>
      </c>
      <c r="C604" s="40">
        <v>1</v>
      </c>
      <c r="D604" s="39">
        <v>2304</v>
      </c>
      <c r="E604" s="38" t="str">
        <f t="shared" si="15"/>
        <v>24092052</v>
      </c>
      <c r="F604" s="38">
        <f t="shared" si="16"/>
        <v>2</v>
      </c>
      <c r="G604" s="41" t="s">
        <v>885</v>
      </c>
      <c r="H604" s="41" t="s">
        <v>1473</v>
      </c>
    </row>
    <row r="605" spans="1:8" ht="15">
      <c r="A605" s="38">
        <v>604</v>
      </c>
      <c r="B605" s="39">
        <v>9</v>
      </c>
      <c r="C605" s="40">
        <v>1</v>
      </c>
      <c r="D605" s="39">
        <v>2201</v>
      </c>
      <c r="E605" s="38" t="str">
        <f t="shared" si="15"/>
        <v>24091970</v>
      </c>
      <c r="F605" s="38">
        <f t="shared" si="16"/>
        <v>2</v>
      </c>
      <c r="G605" s="41" t="s">
        <v>885</v>
      </c>
      <c r="H605" s="41" t="s">
        <v>1474</v>
      </c>
    </row>
    <row r="606" spans="1:8" ht="15">
      <c r="A606" s="38">
        <v>605</v>
      </c>
      <c r="B606" s="39">
        <v>9</v>
      </c>
      <c r="C606" s="40">
        <v>1</v>
      </c>
      <c r="D606" s="39">
        <v>2202</v>
      </c>
      <c r="E606" s="38" t="str">
        <f t="shared" si="15"/>
        <v>24092224</v>
      </c>
      <c r="F606" s="38">
        <f t="shared" si="16"/>
        <v>2</v>
      </c>
      <c r="G606" s="41" t="s">
        <v>885</v>
      </c>
      <c r="H606" s="41" t="s">
        <v>1475</v>
      </c>
    </row>
    <row r="607" spans="1:8" ht="15">
      <c r="A607" s="38">
        <v>606</v>
      </c>
      <c r="B607" s="39">
        <v>9</v>
      </c>
      <c r="C607" s="40">
        <v>1</v>
      </c>
      <c r="D607" s="39">
        <v>2203</v>
      </c>
      <c r="E607" s="38" t="str">
        <f t="shared" si="15"/>
        <v>24091981</v>
      </c>
      <c r="F607" s="38">
        <f t="shared" si="16"/>
        <v>2</v>
      </c>
      <c r="G607" s="41" t="s">
        <v>885</v>
      </c>
      <c r="H607" s="41" t="s">
        <v>1476</v>
      </c>
    </row>
    <row r="608" spans="1:8" ht="15">
      <c r="A608" s="38">
        <v>607</v>
      </c>
      <c r="B608" s="39">
        <v>9</v>
      </c>
      <c r="C608" s="40">
        <v>1</v>
      </c>
      <c r="D608" s="39">
        <v>2204</v>
      </c>
      <c r="E608" s="38" t="str">
        <f t="shared" si="15"/>
        <v>24092226</v>
      </c>
      <c r="F608" s="38">
        <f t="shared" si="16"/>
        <v>2</v>
      </c>
      <c r="G608" s="41" t="s">
        <v>885</v>
      </c>
      <c r="H608" s="41" t="s">
        <v>1477</v>
      </c>
    </row>
    <row r="609" spans="1:8" ht="15">
      <c r="A609" s="38">
        <v>608</v>
      </c>
      <c r="B609" s="39">
        <v>9</v>
      </c>
      <c r="C609" s="40">
        <v>1</v>
      </c>
      <c r="D609" s="39">
        <v>2101</v>
      </c>
      <c r="E609" s="38" t="str">
        <f t="shared" si="15"/>
        <v>24092620</v>
      </c>
      <c r="F609" s="38">
        <f t="shared" si="16"/>
        <v>2</v>
      </c>
      <c r="G609" s="41" t="s">
        <v>885</v>
      </c>
      <c r="H609" s="41" t="s">
        <v>1478</v>
      </c>
    </row>
    <row r="610" spans="1:8" ht="15">
      <c r="A610" s="38">
        <v>609</v>
      </c>
      <c r="B610" s="39">
        <v>9</v>
      </c>
      <c r="C610" s="40">
        <v>1</v>
      </c>
      <c r="D610" s="39">
        <v>2102</v>
      </c>
      <c r="E610" s="38" t="str">
        <f t="shared" si="15"/>
        <v>24092373</v>
      </c>
      <c r="F610" s="38">
        <f t="shared" si="16"/>
        <v>2</v>
      </c>
      <c r="G610" s="41" t="s">
        <v>885</v>
      </c>
      <c r="H610" s="41" t="s">
        <v>1479</v>
      </c>
    </row>
    <row r="611" spans="1:8" ht="15">
      <c r="A611" s="38">
        <v>610</v>
      </c>
      <c r="B611" s="39">
        <v>9</v>
      </c>
      <c r="C611" s="40">
        <v>1</v>
      </c>
      <c r="D611" s="39">
        <v>2103</v>
      </c>
      <c r="E611" s="38" t="str">
        <f t="shared" si="15"/>
        <v>24091973</v>
      </c>
      <c r="F611" s="38">
        <f t="shared" si="16"/>
        <v>2</v>
      </c>
      <c r="G611" s="41" t="s">
        <v>885</v>
      </c>
      <c r="H611" s="41" t="s">
        <v>1480</v>
      </c>
    </row>
    <row r="612" spans="1:8" ht="15">
      <c r="A612" s="38">
        <v>611</v>
      </c>
      <c r="B612" s="39">
        <v>9</v>
      </c>
      <c r="C612" s="40">
        <v>1</v>
      </c>
      <c r="D612" s="39">
        <v>2104</v>
      </c>
      <c r="E612" s="38" t="str">
        <f t="shared" si="15"/>
        <v>24092054</v>
      </c>
      <c r="F612" s="38">
        <f t="shared" si="16"/>
        <v>2</v>
      </c>
      <c r="G612" s="41" t="s">
        <v>885</v>
      </c>
      <c r="H612" s="41" t="s">
        <v>1481</v>
      </c>
    </row>
    <row r="613" spans="1:8" ht="15">
      <c r="A613" s="38">
        <v>612</v>
      </c>
      <c r="B613" s="39">
        <v>9</v>
      </c>
      <c r="C613" s="40">
        <v>1</v>
      </c>
      <c r="D613" s="39">
        <v>2001</v>
      </c>
      <c r="E613" s="38" t="str">
        <f t="shared" si="15"/>
        <v>24092556</v>
      </c>
      <c r="F613" s="38">
        <f t="shared" si="16"/>
        <v>2</v>
      </c>
      <c r="G613" s="41" t="s">
        <v>885</v>
      </c>
      <c r="H613" s="41" t="s">
        <v>1482</v>
      </c>
    </row>
    <row r="614" spans="1:8" ht="15">
      <c r="A614" s="38">
        <v>613</v>
      </c>
      <c r="B614" s="39">
        <v>9</v>
      </c>
      <c r="C614" s="40">
        <v>1</v>
      </c>
      <c r="D614" s="39">
        <v>2002</v>
      </c>
      <c r="E614" s="38" t="str">
        <f t="shared" si="15"/>
        <v>24092367</v>
      </c>
      <c r="F614" s="38">
        <f t="shared" si="16"/>
        <v>2</v>
      </c>
      <c r="G614" s="41" t="s">
        <v>885</v>
      </c>
      <c r="H614" s="41" t="s">
        <v>1483</v>
      </c>
    </row>
    <row r="615" spans="1:8" ht="15">
      <c r="A615" s="38">
        <v>614</v>
      </c>
      <c r="B615" s="39">
        <v>9</v>
      </c>
      <c r="C615" s="40">
        <v>1</v>
      </c>
      <c r="D615" s="39">
        <v>2003</v>
      </c>
      <c r="E615" s="38" t="str">
        <f t="shared" si="15"/>
        <v>24092558</v>
      </c>
      <c r="F615" s="38">
        <f t="shared" si="16"/>
        <v>2</v>
      </c>
      <c r="G615" s="41" t="s">
        <v>885</v>
      </c>
      <c r="H615" s="41" t="s">
        <v>1484</v>
      </c>
    </row>
    <row r="616" spans="1:8" ht="15">
      <c r="A616" s="38">
        <v>615</v>
      </c>
      <c r="B616" s="39">
        <v>9</v>
      </c>
      <c r="C616" s="40">
        <v>1</v>
      </c>
      <c r="D616" s="39">
        <v>2004</v>
      </c>
      <c r="E616" s="38" t="str">
        <f t="shared" si="15"/>
        <v>24092437</v>
      </c>
      <c r="F616" s="38">
        <f t="shared" si="16"/>
        <v>2</v>
      </c>
      <c r="G616" s="41" t="s">
        <v>885</v>
      </c>
      <c r="H616" s="41" t="s">
        <v>1485</v>
      </c>
    </row>
    <row r="617" spans="1:8" ht="15">
      <c r="A617" s="38">
        <v>616</v>
      </c>
      <c r="B617" s="39">
        <v>9</v>
      </c>
      <c r="C617" s="40">
        <v>1</v>
      </c>
      <c r="D617" s="39">
        <v>1901</v>
      </c>
      <c r="E617" s="38" t="str">
        <f t="shared" si="15"/>
        <v>24092553</v>
      </c>
      <c r="F617" s="38">
        <f t="shared" si="16"/>
        <v>1</v>
      </c>
      <c r="G617" s="41" t="s">
        <v>885</v>
      </c>
      <c r="H617" s="41" t="s">
        <v>1486</v>
      </c>
    </row>
    <row r="618" spans="1:8" ht="15">
      <c r="A618" s="38">
        <v>617</v>
      </c>
      <c r="B618" s="39">
        <v>9</v>
      </c>
      <c r="C618" s="40">
        <v>1</v>
      </c>
      <c r="D618" s="39">
        <v>1902</v>
      </c>
      <c r="E618" s="38" t="str">
        <f t="shared" si="15"/>
        <v>24092562</v>
      </c>
      <c r="F618" s="38">
        <f t="shared" si="16"/>
        <v>1</v>
      </c>
      <c r="G618" s="41" t="s">
        <v>885</v>
      </c>
      <c r="H618" s="41" t="s">
        <v>1487</v>
      </c>
    </row>
    <row r="619" spans="1:8" ht="15">
      <c r="A619" s="38">
        <v>618</v>
      </c>
      <c r="B619" s="39">
        <v>9</v>
      </c>
      <c r="C619" s="40">
        <v>1</v>
      </c>
      <c r="D619" s="39">
        <v>1903</v>
      </c>
      <c r="E619" s="38" t="str">
        <f t="shared" si="15"/>
        <v>24092559</v>
      </c>
      <c r="F619" s="38">
        <f t="shared" si="16"/>
        <v>1</v>
      </c>
      <c r="G619" s="41" t="s">
        <v>885</v>
      </c>
      <c r="H619" s="41" t="s">
        <v>1488</v>
      </c>
    </row>
    <row r="620" spans="1:8" ht="15">
      <c r="A620" s="38">
        <v>619</v>
      </c>
      <c r="B620" s="39">
        <v>9</v>
      </c>
      <c r="C620" s="40">
        <v>1</v>
      </c>
      <c r="D620" s="39">
        <v>1904</v>
      </c>
      <c r="E620" s="38" t="str">
        <f t="shared" si="15"/>
        <v>24092557</v>
      </c>
      <c r="F620" s="38">
        <f t="shared" si="16"/>
        <v>1</v>
      </c>
      <c r="G620" s="41" t="s">
        <v>885</v>
      </c>
      <c r="H620" s="41" t="s">
        <v>1489</v>
      </c>
    </row>
    <row r="621" spans="1:8" ht="15">
      <c r="A621" s="38">
        <v>620</v>
      </c>
      <c r="B621" s="39">
        <v>9</v>
      </c>
      <c r="C621" s="40">
        <v>1</v>
      </c>
      <c r="D621" s="39">
        <v>1801</v>
      </c>
      <c r="E621" s="38" t="str">
        <f t="shared" si="15"/>
        <v>24092158</v>
      </c>
      <c r="F621" s="38">
        <f t="shared" si="16"/>
        <v>1</v>
      </c>
      <c r="G621" s="41" t="s">
        <v>885</v>
      </c>
      <c r="H621" s="41" t="s">
        <v>1490</v>
      </c>
    </row>
    <row r="622" spans="1:8" ht="15">
      <c r="A622" s="38">
        <v>621</v>
      </c>
      <c r="B622" s="39">
        <v>9</v>
      </c>
      <c r="C622" s="40">
        <v>1</v>
      </c>
      <c r="D622" s="39">
        <v>1802</v>
      </c>
      <c r="E622" s="38" t="str">
        <f t="shared" si="15"/>
        <v>24091909</v>
      </c>
      <c r="F622" s="38">
        <f t="shared" si="16"/>
        <v>1</v>
      </c>
      <c r="G622" s="41" t="s">
        <v>885</v>
      </c>
      <c r="H622" s="41" t="s">
        <v>1491</v>
      </c>
    </row>
    <row r="623" spans="1:8" ht="15">
      <c r="A623" s="38">
        <v>622</v>
      </c>
      <c r="B623" s="39">
        <v>9</v>
      </c>
      <c r="C623" s="40">
        <v>1</v>
      </c>
      <c r="D623" s="39">
        <v>1803</v>
      </c>
      <c r="E623" s="38" t="str">
        <f t="shared" si="15"/>
        <v>24091888</v>
      </c>
      <c r="F623" s="38">
        <f t="shared" si="16"/>
        <v>1</v>
      </c>
      <c r="G623" s="41" t="s">
        <v>885</v>
      </c>
      <c r="H623" s="41" t="s">
        <v>1492</v>
      </c>
    </row>
    <row r="624" spans="1:8" ht="15">
      <c r="A624" s="38">
        <v>623</v>
      </c>
      <c r="B624" s="39">
        <v>9</v>
      </c>
      <c r="C624" s="40">
        <v>1</v>
      </c>
      <c r="D624" s="39">
        <v>1804</v>
      </c>
      <c r="E624" s="38" t="str">
        <f t="shared" si="15"/>
        <v>24091920</v>
      </c>
      <c r="F624" s="38">
        <f t="shared" si="16"/>
        <v>1</v>
      </c>
      <c r="G624" s="41" t="s">
        <v>885</v>
      </c>
      <c r="H624" s="41" t="s">
        <v>1493</v>
      </c>
    </row>
    <row r="625" spans="1:8" ht="15">
      <c r="A625" s="38">
        <v>624</v>
      </c>
      <c r="B625" s="39">
        <v>9</v>
      </c>
      <c r="C625" s="40">
        <v>1</v>
      </c>
      <c r="D625" s="39">
        <v>1701</v>
      </c>
      <c r="E625" s="38" t="str">
        <f t="shared" si="15"/>
        <v>24092156</v>
      </c>
      <c r="F625" s="38">
        <f t="shared" si="16"/>
        <v>1</v>
      </c>
      <c r="G625" s="41" t="s">
        <v>885</v>
      </c>
      <c r="H625" s="41" t="s">
        <v>1494</v>
      </c>
    </row>
    <row r="626" spans="1:8" ht="15">
      <c r="A626" s="38">
        <v>625</v>
      </c>
      <c r="B626" s="39">
        <v>9</v>
      </c>
      <c r="C626" s="40">
        <v>1</v>
      </c>
      <c r="D626" s="39">
        <v>1702</v>
      </c>
      <c r="E626" s="38" t="str">
        <f t="shared" si="15"/>
        <v>24091907</v>
      </c>
      <c r="F626" s="38">
        <f t="shared" si="16"/>
        <v>1</v>
      </c>
      <c r="G626" s="41" t="s">
        <v>885</v>
      </c>
      <c r="H626" s="41" t="s">
        <v>1495</v>
      </c>
    </row>
    <row r="627" spans="1:8" ht="15">
      <c r="A627" s="38">
        <v>626</v>
      </c>
      <c r="B627" s="39">
        <v>9</v>
      </c>
      <c r="C627" s="40">
        <v>1</v>
      </c>
      <c r="D627" s="39">
        <v>1703</v>
      </c>
      <c r="E627" s="38" t="str">
        <f t="shared" si="15"/>
        <v>24092160</v>
      </c>
      <c r="F627" s="38">
        <f t="shared" si="16"/>
        <v>1</v>
      </c>
      <c r="G627" s="41" t="s">
        <v>885</v>
      </c>
      <c r="H627" s="41" t="s">
        <v>713</v>
      </c>
    </row>
    <row r="628" spans="1:8" ht="15">
      <c r="A628" s="38">
        <v>627</v>
      </c>
      <c r="B628" s="39">
        <v>9</v>
      </c>
      <c r="C628" s="40">
        <v>1</v>
      </c>
      <c r="D628" s="39">
        <v>1704</v>
      </c>
      <c r="E628" s="38" t="str">
        <f t="shared" si="15"/>
        <v>24092161</v>
      </c>
      <c r="F628" s="38">
        <f t="shared" si="16"/>
        <v>1</v>
      </c>
      <c r="G628" s="41" t="s">
        <v>885</v>
      </c>
      <c r="H628" s="41" t="s">
        <v>1496</v>
      </c>
    </row>
    <row r="629" spans="1:8" ht="15">
      <c r="A629" s="38">
        <v>628</v>
      </c>
      <c r="B629" s="39">
        <v>9</v>
      </c>
      <c r="C629" s="40">
        <v>1</v>
      </c>
      <c r="D629" s="39">
        <v>901</v>
      </c>
      <c r="E629" s="38" t="str">
        <f t="shared" si="15"/>
        <v>24092254</v>
      </c>
      <c r="F629" s="38">
        <f t="shared" si="16"/>
        <v>0</v>
      </c>
      <c r="G629" s="41" t="s">
        <v>885</v>
      </c>
      <c r="H629" s="41" t="s">
        <v>1497</v>
      </c>
    </row>
    <row r="630" spans="1:8" ht="15">
      <c r="A630" s="38">
        <v>629</v>
      </c>
      <c r="B630" s="39">
        <v>9</v>
      </c>
      <c r="C630" s="40">
        <v>1</v>
      </c>
      <c r="D630" s="39">
        <v>902</v>
      </c>
      <c r="E630" s="38" t="str">
        <f t="shared" si="15"/>
        <v>24092008</v>
      </c>
      <c r="F630" s="38">
        <f t="shared" si="16"/>
        <v>0</v>
      </c>
      <c r="G630" s="41" t="s">
        <v>885</v>
      </c>
      <c r="H630" s="41" t="s">
        <v>1498</v>
      </c>
    </row>
    <row r="631" spans="1:8" ht="15">
      <c r="A631" s="38">
        <v>630</v>
      </c>
      <c r="B631" s="39">
        <v>9</v>
      </c>
      <c r="C631" s="40">
        <v>1</v>
      </c>
      <c r="D631" s="39">
        <v>903</v>
      </c>
      <c r="E631" s="38" t="str">
        <f t="shared" si="15"/>
        <v>24092263</v>
      </c>
      <c r="F631" s="38">
        <f t="shared" si="16"/>
        <v>0</v>
      </c>
      <c r="G631" s="41" t="s">
        <v>885</v>
      </c>
      <c r="H631" s="41" t="s">
        <v>1499</v>
      </c>
    </row>
    <row r="632" spans="1:8" ht="15">
      <c r="A632" s="38">
        <v>631</v>
      </c>
      <c r="B632" s="39">
        <v>9</v>
      </c>
      <c r="C632" s="40">
        <v>1</v>
      </c>
      <c r="D632" s="39">
        <v>904</v>
      </c>
      <c r="E632" s="38" t="str">
        <f t="shared" si="15"/>
        <v>24092256</v>
      </c>
      <c r="F632" s="38">
        <f t="shared" si="16"/>
        <v>0</v>
      </c>
      <c r="G632" s="41" t="s">
        <v>885</v>
      </c>
      <c r="H632" s="41" t="s">
        <v>1500</v>
      </c>
    </row>
    <row r="633" spans="1:8" ht="15">
      <c r="A633" s="38">
        <v>632</v>
      </c>
      <c r="B633" s="39">
        <v>9</v>
      </c>
      <c r="C633" s="40">
        <v>1</v>
      </c>
      <c r="D633" s="39">
        <v>801</v>
      </c>
      <c r="E633" s="38" t="str">
        <f t="shared" si="15"/>
        <v>24092280</v>
      </c>
      <c r="F633" s="38">
        <f t="shared" si="16"/>
        <v>0</v>
      </c>
      <c r="G633" s="41" t="s">
        <v>885</v>
      </c>
      <c r="H633" s="41" t="s">
        <v>1501</v>
      </c>
    </row>
    <row r="634" spans="1:8" ht="15">
      <c r="A634" s="38">
        <v>633</v>
      </c>
      <c r="B634" s="39">
        <v>9</v>
      </c>
      <c r="C634" s="40">
        <v>1</v>
      </c>
      <c r="D634" s="39">
        <v>802</v>
      </c>
      <c r="E634" s="38" t="str">
        <f t="shared" si="15"/>
        <v>24091959</v>
      </c>
      <c r="F634" s="38">
        <f t="shared" si="16"/>
        <v>0</v>
      </c>
      <c r="G634" s="41" t="s">
        <v>885</v>
      </c>
      <c r="H634" s="41" t="s">
        <v>1502</v>
      </c>
    </row>
    <row r="635" spans="1:8" ht="15">
      <c r="A635" s="38">
        <v>634</v>
      </c>
      <c r="B635" s="39">
        <v>9</v>
      </c>
      <c r="C635" s="40">
        <v>1</v>
      </c>
      <c r="D635" s="39">
        <v>803</v>
      </c>
      <c r="E635" s="38" t="str">
        <f t="shared" si="15"/>
        <v>24092214</v>
      </c>
      <c r="F635" s="38">
        <f t="shared" si="16"/>
        <v>0</v>
      </c>
      <c r="G635" s="41" t="s">
        <v>885</v>
      </c>
      <c r="H635" s="41" t="s">
        <v>1503</v>
      </c>
    </row>
    <row r="636" spans="1:8" ht="15">
      <c r="A636" s="38">
        <v>635</v>
      </c>
      <c r="B636" s="39">
        <v>9</v>
      </c>
      <c r="C636" s="40">
        <v>1</v>
      </c>
      <c r="D636" s="39">
        <v>804</v>
      </c>
      <c r="E636" s="38" t="str">
        <f t="shared" si="15"/>
        <v>24092034</v>
      </c>
      <c r="F636" s="38">
        <f t="shared" si="16"/>
        <v>0</v>
      </c>
      <c r="G636" s="41" t="s">
        <v>885</v>
      </c>
      <c r="H636" s="41" t="s">
        <v>1504</v>
      </c>
    </row>
    <row r="637" spans="1:8" ht="15">
      <c r="A637" s="38">
        <v>636</v>
      </c>
      <c r="B637" s="39">
        <v>9</v>
      </c>
      <c r="C637" s="40">
        <v>1</v>
      </c>
      <c r="D637" s="39">
        <v>701</v>
      </c>
      <c r="E637" s="38" t="str">
        <f t="shared" si="15"/>
        <v>24092279</v>
      </c>
      <c r="F637" s="38">
        <f t="shared" si="16"/>
        <v>0</v>
      </c>
      <c r="G637" s="41" t="s">
        <v>885</v>
      </c>
      <c r="H637" s="41" t="s">
        <v>1505</v>
      </c>
    </row>
    <row r="638" spans="1:8" ht="15">
      <c r="A638" s="38">
        <v>637</v>
      </c>
      <c r="B638" s="39">
        <v>9</v>
      </c>
      <c r="C638" s="40">
        <v>1</v>
      </c>
      <c r="D638" s="39">
        <v>702</v>
      </c>
      <c r="E638" s="38" t="str">
        <f t="shared" si="15"/>
        <v>24091961</v>
      </c>
      <c r="F638" s="38">
        <f t="shared" si="16"/>
        <v>0</v>
      </c>
      <c r="G638" s="41" t="s">
        <v>885</v>
      </c>
      <c r="H638" s="41" t="s">
        <v>1506</v>
      </c>
    </row>
    <row r="639" spans="1:8" ht="15">
      <c r="A639" s="38">
        <v>638</v>
      </c>
      <c r="B639" s="39">
        <v>9</v>
      </c>
      <c r="C639" s="40">
        <v>1</v>
      </c>
      <c r="D639" s="39">
        <v>703</v>
      </c>
      <c r="E639" s="38" t="str">
        <f t="shared" si="15"/>
        <v>24091956</v>
      </c>
      <c r="F639" s="38">
        <f t="shared" si="16"/>
        <v>0</v>
      </c>
      <c r="G639" s="41" t="s">
        <v>885</v>
      </c>
      <c r="H639" s="41" t="s">
        <v>1507</v>
      </c>
    </row>
    <row r="640" spans="1:8" ht="15">
      <c r="A640" s="38">
        <v>639</v>
      </c>
      <c r="B640" s="39">
        <v>9</v>
      </c>
      <c r="C640" s="40">
        <v>1</v>
      </c>
      <c r="D640" s="39">
        <v>704</v>
      </c>
      <c r="E640" s="38" t="str">
        <f t="shared" si="15"/>
        <v>24091952</v>
      </c>
      <c r="F640" s="38">
        <f t="shared" si="16"/>
        <v>0</v>
      </c>
      <c r="G640" s="41" t="s">
        <v>885</v>
      </c>
      <c r="H640" s="41" t="s">
        <v>719</v>
      </c>
    </row>
    <row r="641" spans="1:8" ht="15">
      <c r="A641" s="38">
        <v>640</v>
      </c>
      <c r="B641" s="39">
        <v>9</v>
      </c>
      <c r="C641" s="40">
        <v>1</v>
      </c>
      <c r="D641" s="39">
        <v>601</v>
      </c>
      <c r="E641" s="38" t="str">
        <f t="shared" si="15"/>
        <v>24091955</v>
      </c>
      <c r="F641" s="38">
        <f t="shared" si="16"/>
        <v>0</v>
      </c>
      <c r="G641" s="41" t="s">
        <v>885</v>
      </c>
      <c r="H641" s="41" t="s">
        <v>1508</v>
      </c>
    </row>
    <row r="642" spans="1:8" ht="15">
      <c r="A642" s="38">
        <v>641</v>
      </c>
      <c r="B642" s="39">
        <v>9</v>
      </c>
      <c r="C642" s="40">
        <v>1</v>
      </c>
      <c r="D642" s="39">
        <v>602</v>
      </c>
      <c r="E642" s="38" t="str">
        <f t="shared" ref="E642:E705" si="17">G642&amp;H642</f>
        <v>24091962</v>
      </c>
      <c r="F642" s="38">
        <f t="shared" si="16"/>
        <v>0</v>
      </c>
      <c r="G642" s="41" t="s">
        <v>885</v>
      </c>
      <c r="H642" s="41" t="s">
        <v>1509</v>
      </c>
    </row>
    <row r="643" spans="1:8" ht="15">
      <c r="A643" s="38">
        <v>642</v>
      </c>
      <c r="B643" s="39">
        <v>9</v>
      </c>
      <c r="C643" s="40">
        <v>1</v>
      </c>
      <c r="D643" s="39">
        <v>603</v>
      </c>
      <c r="E643" s="38" t="str">
        <f t="shared" si="17"/>
        <v>24091899</v>
      </c>
      <c r="F643" s="38">
        <f t="shared" ref="F643:F706" si="18">IFERROR(IF(VALUE(LEFT(D643,LEN(D643)-2))&lt;10,0,IF(VALUE(LEFT(D643,LEN(D643)-2))&lt;20,1,2)),D643)</f>
        <v>0</v>
      </c>
      <c r="G643" s="41" t="s">
        <v>885</v>
      </c>
      <c r="H643" s="41" t="s">
        <v>729</v>
      </c>
    </row>
    <row r="644" spans="1:8" ht="15">
      <c r="A644" s="38">
        <v>643</v>
      </c>
      <c r="B644" s="39">
        <v>9</v>
      </c>
      <c r="C644" s="40">
        <v>1</v>
      </c>
      <c r="D644" s="39">
        <v>604</v>
      </c>
      <c r="E644" s="38" t="str">
        <f t="shared" si="17"/>
        <v>24092154</v>
      </c>
      <c r="F644" s="38">
        <f t="shared" si="18"/>
        <v>0</v>
      </c>
      <c r="G644" s="41" t="s">
        <v>885</v>
      </c>
      <c r="H644" s="41" t="s">
        <v>1510</v>
      </c>
    </row>
    <row r="645" spans="1:8" ht="15">
      <c r="A645" s="38">
        <v>644</v>
      </c>
      <c r="B645" s="39">
        <v>9</v>
      </c>
      <c r="C645" s="40">
        <v>1</v>
      </c>
      <c r="D645" s="39">
        <v>501</v>
      </c>
      <c r="E645" s="38" t="str">
        <f t="shared" si="17"/>
        <v>24091905</v>
      </c>
      <c r="F645" s="38">
        <f t="shared" si="18"/>
        <v>0</v>
      </c>
      <c r="G645" s="41" t="s">
        <v>885</v>
      </c>
      <c r="H645" s="41" t="s">
        <v>1511</v>
      </c>
    </row>
    <row r="646" spans="1:8" ht="15">
      <c r="A646" s="38">
        <v>645</v>
      </c>
      <c r="B646" s="39">
        <v>9</v>
      </c>
      <c r="C646" s="40">
        <v>1</v>
      </c>
      <c r="D646" s="39">
        <v>502</v>
      </c>
      <c r="E646" s="38" t="str">
        <f t="shared" si="17"/>
        <v>24091890</v>
      </c>
      <c r="F646" s="38">
        <f t="shared" si="18"/>
        <v>0</v>
      </c>
      <c r="G646" s="41" t="s">
        <v>885</v>
      </c>
      <c r="H646" s="41" t="s">
        <v>1512</v>
      </c>
    </row>
    <row r="647" spans="1:8" ht="15">
      <c r="A647" s="38">
        <v>646</v>
      </c>
      <c r="B647" s="39">
        <v>9</v>
      </c>
      <c r="C647" s="40">
        <v>1</v>
      </c>
      <c r="D647" s="39">
        <v>503</v>
      </c>
      <c r="E647" s="38" t="str">
        <f t="shared" si="17"/>
        <v>24091898</v>
      </c>
      <c r="F647" s="38">
        <f t="shared" si="18"/>
        <v>0</v>
      </c>
      <c r="G647" s="41" t="s">
        <v>885</v>
      </c>
      <c r="H647" s="41" t="s">
        <v>1513</v>
      </c>
    </row>
    <row r="648" spans="1:8" ht="15">
      <c r="A648" s="38">
        <v>647</v>
      </c>
      <c r="B648" s="39">
        <v>9</v>
      </c>
      <c r="C648" s="40">
        <v>1</v>
      </c>
      <c r="D648" s="39">
        <v>504</v>
      </c>
      <c r="E648" s="38" t="str">
        <f t="shared" si="17"/>
        <v>24092145</v>
      </c>
      <c r="F648" s="38">
        <f t="shared" si="18"/>
        <v>0</v>
      </c>
      <c r="G648" s="41" t="s">
        <v>885</v>
      </c>
      <c r="H648" s="41" t="s">
        <v>1514</v>
      </c>
    </row>
    <row r="649" spans="1:8" ht="15">
      <c r="A649" s="38">
        <v>648</v>
      </c>
      <c r="B649" s="39">
        <v>9</v>
      </c>
      <c r="C649" s="40">
        <v>1</v>
      </c>
      <c r="D649" s="39">
        <v>401</v>
      </c>
      <c r="E649" s="38" t="str">
        <f t="shared" si="17"/>
        <v>24092153</v>
      </c>
      <c r="F649" s="38">
        <f t="shared" si="18"/>
        <v>0</v>
      </c>
      <c r="G649" s="41" t="s">
        <v>885</v>
      </c>
      <c r="H649" s="41" t="s">
        <v>1515</v>
      </c>
    </row>
    <row r="650" spans="1:8" ht="15">
      <c r="A650" s="38">
        <v>649</v>
      </c>
      <c r="B650" s="39">
        <v>9</v>
      </c>
      <c r="C650" s="40">
        <v>1</v>
      </c>
      <c r="D650" s="39">
        <v>402</v>
      </c>
      <c r="E650" s="38" t="str">
        <f t="shared" si="17"/>
        <v>24092148</v>
      </c>
      <c r="F650" s="38">
        <f t="shared" si="18"/>
        <v>0</v>
      </c>
      <c r="G650" s="41" t="s">
        <v>885</v>
      </c>
      <c r="H650" s="41" t="s">
        <v>1516</v>
      </c>
    </row>
    <row r="651" spans="1:8" ht="15">
      <c r="A651" s="38">
        <v>650</v>
      </c>
      <c r="B651" s="39">
        <v>9</v>
      </c>
      <c r="C651" s="40">
        <v>1</v>
      </c>
      <c r="D651" s="39">
        <v>403</v>
      </c>
      <c r="E651" s="38" t="str">
        <f t="shared" si="17"/>
        <v>24091936</v>
      </c>
      <c r="F651" s="38">
        <f t="shared" si="18"/>
        <v>0</v>
      </c>
      <c r="G651" s="41" t="s">
        <v>885</v>
      </c>
      <c r="H651" s="41" t="s">
        <v>1517</v>
      </c>
    </row>
    <row r="652" spans="1:8" ht="15">
      <c r="A652" s="38">
        <v>651</v>
      </c>
      <c r="B652" s="39">
        <v>9</v>
      </c>
      <c r="C652" s="40">
        <v>1</v>
      </c>
      <c r="D652" s="39">
        <v>404</v>
      </c>
      <c r="E652" s="38" t="str">
        <f t="shared" si="17"/>
        <v>24092155</v>
      </c>
      <c r="F652" s="38">
        <f t="shared" si="18"/>
        <v>0</v>
      </c>
      <c r="G652" s="41" t="s">
        <v>885</v>
      </c>
      <c r="H652" s="41" t="s">
        <v>1518</v>
      </c>
    </row>
    <row r="653" spans="1:8" ht="15">
      <c r="A653" s="38">
        <v>652</v>
      </c>
      <c r="B653" s="39">
        <v>9</v>
      </c>
      <c r="C653" s="40">
        <v>1</v>
      </c>
      <c r="D653" s="39">
        <v>301</v>
      </c>
      <c r="E653" s="38" t="str">
        <f t="shared" si="17"/>
        <v>24092358</v>
      </c>
      <c r="F653" s="38">
        <f t="shared" si="18"/>
        <v>0</v>
      </c>
      <c r="G653" s="41" t="s">
        <v>885</v>
      </c>
      <c r="H653" s="41" t="s">
        <v>1519</v>
      </c>
    </row>
    <row r="654" spans="1:8" ht="15">
      <c r="A654" s="38">
        <v>653</v>
      </c>
      <c r="B654" s="39">
        <v>9</v>
      </c>
      <c r="C654" s="40">
        <v>1</v>
      </c>
      <c r="D654" s="39">
        <v>302</v>
      </c>
      <c r="E654" s="38" t="str">
        <f t="shared" si="17"/>
        <v>24092632</v>
      </c>
      <c r="F654" s="38">
        <f t="shared" si="18"/>
        <v>0</v>
      </c>
      <c r="G654" s="41" t="s">
        <v>885</v>
      </c>
      <c r="H654" s="41" t="s">
        <v>1520</v>
      </c>
    </row>
    <row r="655" spans="1:8" ht="15">
      <c r="A655" s="38">
        <v>654</v>
      </c>
      <c r="B655" s="39">
        <v>9</v>
      </c>
      <c r="C655" s="40">
        <v>1</v>
      </c>
      <c r="D655" s="39">
        <v>303</v>
      </c>
      <c r="E655" s="38" t="str">
        <f t="shared" si="17"/>
        <v>24092552</v>
      </c>
      <c r="F655" s="38">
        <f t="shared" si="18"/>
        <v>0</v>
      </c>
      <c r="G655" s="41" t="s">
        <v>885</v>
      </c>
      <c r="H655" s="41" t="s">
        <v>1521</v>
      </c>
    </row>
    <row r="656" spans="1:8" ht="15">
      <c r="A656" s="38">
        <v>655</v>
      </c>
      <c r="B656" s="39">
        <v>9</v>
      </c>
      <c r="C656" s="40">
        <v>1</v>
      </c>
      <c r="D656" s="39">
        <v>304</v>
      </c>
      <c r="E656" s="38" t="str">
        <f t="shared" si="17"/>
        <v>24092361</v>
      </c>
      <c r="F656" s="38">
        <f t="shared" si="18"/>
        <v>0</v>
      </c>
      <c r="G656" s="41" t="s">
        <v>885</v>
      </c>
      <c r="H656" s="41" t="s">
        <v>1522</v>
      </c>
    </row>
    <row r="657" spans="1:8" ht="15">
      <c r="A657" s="38">
        <v>656</v>
      </c>
      <c r="B657" s="39">
        <v>9</v>
      </c>
      <c r="C657" s="40">
        <v>1</v>
      </c>
      <c r="D657" s="39">
        <v>1601</v>
      </c>
      <c r="E657" s="38" t="str">
        <f t="shared" si="17"/>
        <v>24091913</v>
      </c>
      <c r="F657" s="38">
        <f t="shared" si="18"/>
        <v>1</v>
      </c>
      <c r="G657" s="41" t="s">
        <v>885</v>
      </c>
      <c r="H657" s="41" t="s">
        <v>1523</v>
      </c>
    </row>
    <row r="658" spans="1:8" ht="15">
      <c r="A658" s="38">
        <v>657</v>
      </c>
      <c r="B658" s="39">
        <v>9</v>
      </c>
      <c r="C658" s="40">
        <v>1</v>
      </c>
      <c r="D658" s="39">
        <v>1602</v>
      </c>
      <c r="E658" s="38" t="str">
        <f t="shared" si="17"/>
        <v>24091911</v>
      </c>
      <c r="F658" s="38">
        <f t="shared" si="18"/>
        <v>1</v>
      </c>
      <c r="G658" s="41" t="s">
        <v>885</v>
      </c>
      <c r="H658" s="41" t="s">
        <v>724</v>
      </c>
    </row>
    <row r="659" spans="1:8" ht="15">
      <c r="A659" s="38">
        <v>658</v>
      </c>
      <c r="B659" s="39">
        <v>9</v>
      </c>
      <c r="C659" s="40">
        <v>1</v>
      </c>
      <c r="D659" s="39">
        <v>1603</v>
      </c>
      <c r="E659" s="38" t="str">
        <f t="shared" si="17"/>
        <v>24092461</v>
      </c>
      <c r="F659" s="38">
        <f t="shared" si="18"/>
        <v>1</v>
      </c>
      <c r="G659" s="41" t="s">
        <v>885</v>
      </c>
      <c r="H659" s="41" t="s">
        <v>1524</v>
      </c>
    </row>
    <row r="660" spans="1:8" ht="15">
      <c r="A660" s="38">
        <v>659</v>
      </c>
      <c r="B660" s="39">
        <v>9</v>
      </c>
      <c r="C660" s="40">
        <v>1</v>
      </c>
      <c r="D660" s="39">
        <v>1604</v>
      </c>
      <c r="E660" s="38" t="str">
        <f t="shared" si="17"/>
        <v>24092638</v>
      </c>
      <c r="F660" s="38">
        <f t="shared" si="18"/>
        <v>1</v>
      </c>
      <c r="G660" s="41" t="s">
        <v>885</v>
      </c>
      <c r="H660" s="41" t="s">
        <v>1525</v>
      </c>
    </row>
    <row r="661" spans="1:8" ht="15">
      <c r="A661" s="38">
        <v>660</v>
      </c>
      <c r="B661" s="39">
        <v>9</v>
      </c>
      <c r="C661" s="40">
        <v>1</v>
      </c>
      <c r="D661" s="39">
        <v>1501</v>
      </c>
      <c r="E661" s="38" t="str">
        <f t="shared" si="17"/>
        <v>24092665</v>
      </c>
      <c r="F661" s="38">
        <f t="shared" si="18"/>
        <v>1</v>
      </c>
      <c r="G661" s="41" t="s">
        <v>885</v>
      </c>
      <c r="H661" s="41" t="s">
        <v>1526</v>
      </c>
    </row>
    <row r="662" spans="1:8" ht="15">
      <c r="A662" s="38">
        <v>661</v>
      </c>
      <c r="B662" s="39">
        <v>9</v>
      </c>
      <c r="C662" s="40">
        <v>1</v>
      </c>
      <c r="D662" s="39">
        <v>1502</v>
      </c>
      <c r="E662" s="38" t="str">
        <f t="shared" si="17"/>
        <v>24092477</v>
      </c>
      <c r="F662" s="38">
        <f t="shared" si="18"/>
        <v>1</v>
      </c>
      <c r="G662" s="41" t="s">
        <v>885</v>
      </c>
      <c r="H662" s="41" t="s">
        <v>1527</v>
      </c>
    </row>
    <row r="663" spans="1:8" ht="15">
      <c r="A663" s="38">
        <v>662</v>
      </c>
      <c r="B663" s="39">
        <v>9</v>
      </c>
      <c r="C663" s="40">
        <v>1</v>
      </c>
      <c r="D663" s="39">
        <v>1503</v>
      </c>
      <c r="E663" s="38" t="str">
        <f t="shared" si="17"/>
        <v>24092662</v>
      </c>
      <c r="F663" s="38">
        <f t="shared" si="18"/>
        <v>1</v>
      </c>
      <c r="G663" s="41" t="s">
        <v>885</v>
      </c>
      <c r="H663" s="41" t="s">
        <v>1528</v>
      </c>
    </row>
    <row r="664" spans="1:8" ht="15">
      <c r="A664" s="38">
        <v>663</v>
      </c>
      <c r="B664" s="39">
        <v>9</v>
      </c>
      <c r="C664" s="40">
        <v>1</v>
      </c>
      <c r="D664" s="39">
        <v>1504</v>
      </c>
      <c r="E664" s="38" t="str">
        <f t="shared" si="17"/>
        <v>24092664</v>
      </c>
      <c r="F664" s="38">
        <f t="shared" si="18"/>
        <v>1</v>
      </c>
      <c r="G664" s="41" t="s">
        <v>885</v>
      </c>
      <c r="H664" s="41" t="s">
        <v>1529</v>
      </c>
    </row>
    <row r="665" spans="1:8" ht="15">
      <c r="A665" s="38">
        <v>664</v>
      </c>
      <c r="B665" s="39">
        <v>9</v>
      </c>
      <c r="C665" s="40">
        <v>1</v>
      </c>
      <c r="D665" s="39">
        <v>1401</v>
      </c>
      <c r="E665" s="38" t="str">
        <f t="shared" si="17"/>
        <v>24092478</v>
      </c>
      <c r="F665" s="38">
        <f t="shared" si="18"/>
        <v>1</v>
      </c>
      <c r="G665" s="41" t="s">
        <v>885</v>
      </c>
      <c r="H665" s="41" t="s">
        <v>1530</v>
      </c>
    </row>
    <row r="666" spans="1:8" ht="15">
      <c r="A666" s="38">
        <v>665</v>
      </c>
      <c r="B666" s="39">
        <v>9</v>
      </c>
      <c r="C666" s="40">
        <v>1</v>
      </c>
      <c r="D666" s="39">
        <v>1402</v>
      </c>
      <c r="E666" s="38" t="str">
        <f t="shared" si="17"/>
        <v>24092669</v>
      </c>
      <c r="F666" s="38">
        <f t="shared" si="18"/>
        <v>1</v>
      </c>
      <c r="G666" s="41" t="s">
        <v>885</v>
      </c>
      <c r="H666" s="41" t="s">
        <v>1531</v>
      </c>
    </row>
    <row r="667" spans="1:8" ht="15">
      <c r="A667" s="38">
        <v>666</v>
      </c>
      <c r="B667" s="39">
        <v>9</v>
      </c>
      <c r="C667" s="40">
        <v>1</v>
      </c>
      <c r="D667" s="39">
        <v>1403</v>
      </c>
      <c r="E667" s="38" t="str">
        <f t="shared" si="17"/>
        <v>24092449</v>
      </c>
      <c r="F667" s="38">
        <f t="shared" si="18"/>
        <v>1</v>
      </c>
      <c r="G667" s="41" t="s">
        <v>885</v>
      </c>
      <c r="H667" s="38">
        <v>2449</v>
      </c>
    </row>
    <row r="668" spans="1:8" ht="15">
      <c r="A668" s="38">
        <v>667</v>
      </c>
      <c r="B668" s="39">
        <v>9</v>
      </c>
      <c r="C668" s="40">
        <v>1</v>
      </c>
      <c r="D668" s="39">
        <v>1404</v>
      </c>
      <c r="E668" s="38" t="str">
        <f t="shared" si="17"/>
        <v>24092674</v>
      </c>
      <c r="F668" s="38">
        <f t="shared" si="18"/>
        <v>1</v>
      </c>
      <c r="G668" s="41" t="s">
        <v>885</v>
      </c>
      <c r="H668" s="41" t="s">
        <v>1532</v>
      </c>
    </row>
    <row r="669" spans="1:8" ht="15">
      <c r="A669" s="38">
        <v>668</v>
      </c>
      <c r="B669" s="39">
        <v>9</v>
      </c>
      <c r="C669" s="40">
        <v>1</v>
      </c>
      <c r="D669" s="39">
        <v>1301</v>
      </c>
      <c r="E669" s="38" t="str">
        <f t="shared" si="17"/>
        <v>24092631</v>
      </c>
      <c r="F669" s="38">
        <f t="shared" si="18"/>
        <v>1</v>
      </c>
      <c r="G669" s="41" t="s">
        <v>885</v>
      </c>
      <c r="H669" s="41" t="s">
        <v>1533</v>
      </c>
    </row>
    <row r="670" spans="1:8" ht="15">
      <c r="A670" s="38">
        <v>669</v>
      </c>
      <c r="B670" s="39">
        <v>9</v>
      </c>
      <c r="C670" s="40">
        <v>1</v>
      </c>
      <c r="D670" s="39">
        <v>1302</v>
      </c>
      <c r="E670" s="38" t="str">
        <f t="shared" si="17"/>
        <v>24092670</v>
      </c>
      <c r="F670" s="38">
        <f t="shared" si="18"/>
        <v>1</v>
      </c>
      <c r="G670" s="41" t="s">
        <v>885</v>
      </c>
      <c r="H670" s="41" t="s">
        <v>1534</v>
      </c>
    </row>
    <row r="671" spans="1:8" ht="15">
      <c r="A671" s="38">
        <v>670</v>
      </c>
      <c r="B671" s="39">
        <v>9</v>
      </c>
      <c r="C671" s="40">
        <v>1</v>
      </c>
      <c r="D671" s="39">
        <v>1303</v>
      </c>
      <c r="E671" s="38" t="str">
        <f t="shared" si="17"/>
        <v>24092549</v>
      </c>
      <c r="F671" s="38">
        <f t="shared" si="18"/>
        <v>1</v>
      </c>
      <c r="G671" s="41" t="s">
        <v>885</v>
      </c>
      <c r="H671" s="41" t="s">
        <v>1535</v>
      </c>
    </row>
    <row r="672" spans="1:8" ht="15">
      <c r="A672" s="38">
        <v>671</v>
      </c>
      <c r="B672" s="39">
        <v>9</v>
      </c>
      <c r="C672" s="40">
        <v>1</v>
      </c>
      <c r="D672" s="39">
        <v>1304</v>
      </c>
      <c r="E672" s="38" t="str">
        <f t="shared" si="17"/>
        <v>24092364</v>
      </c>
      <c r="F672" s="38">
        <f t="shared" si="18"/>
        <v>1</v>
      </c>
      <c r="G672" s="41" t="s">
        <v>885</v>
      </c>
      <c r="H672" s="41" t="s">
        <v>1536</v>
      </c>
    </row>
    <row r="673" spans="1:8" ht="15">
      <c r="A673" s="38">
        <v>672</v>
      </c>
      <c r="B673" s="39">
        <v>9</v>
      </c>
      <c r="C673" s="40">
        <v>1</v>
      </c>
      <c r="D673" s="39">
        <v>1201</v>
      </c>
      <c r="E673" s="38" t="str">
        <f t="shared" si="17"/>
        <v>24092668</v>
      </c>
      <c r="F673" s="38">
        <f t="shared" si="18"/>
        <v>1</v>
      </c>
      <c r="G673" s="41" t="s">
        <v>885</v>
      </c>
      <c r="H673" s="41" t="s">
        <v>1537</v>
      </c>
    </row>
    <row r="674" spans="1:8" ht="15">
      <c r="A674" s="38">
        <v>673</v>
      </c>
      <c r="B674" s="39">
        <v>9</v>
      </c>
      <c r="C674" s="40">
        <v>1</v>
      </c>
      <c r="D674" s="39">
        <v>1202</v>
      </c>
      <c r="E674" s="38" t="str">
        <f t="shared" si="17"/>
        <v>24092642</v>
      </c>
      <c r="F674" s="38">
        <f t="shared" si="18"/>
        <v>1</v>
      </c>
      <c r="G674" s="41" t="s">
        <v>885</v>
      </c>
      <c r="H674" s="41" t="s">
        <v>1538</v>
      </c>
    </row>
    <row r="675" spans="1:8" ht="15">
      <c r="A675" s="38">
        <v>674</v>
      </c>
      <c r="B675" s="39">
        <v>9</v>
      </c>
      <c r="C675" s="40">
        <v>1</v>
      </c>
      <c r="D675" s="39">
        <v>1203</v>
      </c>
      <c r="E675" s="38" t="str">
        <f t="shared" si="17"/>
        <v>24092548</v>
      </c>
      <c r="F675" s="38">
        <f t="shared" si="18"/>
        <v>1</v>
      </c>
      <c r="G675" s="41" t="s">
        <v>885</v>
      </c>
      <c r="H675" s="41" t="s">
        <v>1539</v>
      </c>
    </row>
    <row r="676" spans="1:8" ht="15">
      <c r="A676" s="38">
        <v>675</v>
      </c>
      <c r="B676" s="39">
        <v>9</v>
      </c>
      <c r="C676" s="40">
        <v>1</v>
      </c>
      <c r="D676" s="39">
        <v>1204</v>
      </c>
      <c r="E676" s="38" t="str">
        <f t="shared" si="17"/>
        <v>24092353</v>
      </c>
      <c r="F676" s="38">
        <f t="shared" si="18"/>
        <v>1</v>
      </c>
      <c r="G676" s="41" t="s">
        <v>885</v>
      </c>
      <c r="H676" s="41" t="s">
        <v>1540</v>
      </c>
    </row>
    <row r="677" spans="1:8" ht="15">
      <c r="A677" s="38">
        <v>676</v>
      </c>
      <c r="B677" s="39">
        <v>9</v>
      </c>
      <c r="C677" s="40">
        <v>1</v>
      </c>
      <c r="D677" s="39">
        <v>1101</v>
      </c>
      <c r="E677" s="38" t="str">
        <f t="shared" si="17"/>
        <v>24092543</v>
      </c>
      <c r="F677" s="38">
        <f t="shared" si="18"/>
        <v>1</v>
      </c>
      <c r="G677" s="41" t="s">
        <v>885</v>
      </c>
      <c r="H677" s="41" t="s">
        <v>1541</v>
      </c>
    </row>
    <row r="678" spans="1:8" ht="15">
      <c r="A678" s="38">
        <v>677</v>
      </c>
      <c r="B678" s="39">
        <v>9</v>
      </c>
      <c r="C678" s="40">
        <v>1</v>
      </c>
      <c r="D678" s="39">
        <v>1102</v>
      </c>
      <c r="E678" s="38" t="str">
        <f t="shared" si="17"/>
        <v>24092545</v>
      </c>
      <c r="F678" s="38">
        <f t="shared" si="18"/>
        <v>1</v>
      </c>
      <c r="G678" s="41" t="s">
        <v>885</v>
      </c>
      <c r="H678" s="41" t="s">
        <v>1542</v>
      </c>
    </row>
    <row r="679" spans="1:8" ht="15">
      <c r="A679" s="38">
        <v>678</v>
      </c>
      <c r="B679" s="39">
        <v>9</v>
      </c>
      <c r="C679" s="40">
        <v>1</v>
      </c>
      <c r="D679" s="39">
        <v>1103</v>
      </c>
      <c r="E679" s="38" t="str">
        <f t="shared" si="17"/>
        <v>24092015</v>
      </c>
      <c r="F679" s="38">
        <f t="shared" si="18"/>
        <v>1</v>
      </c>
      <c r="G679" s="41" t="s">
        <v>885</v>
      </c>
      <c r="H679" s="41" t="s">
        <v>1543</v>
      </c>
    </row>
    <row r="680" spans="1:8" ht="15">
      <c r="A680" s="38">
        <v>679</v>
      </c>
      <c r="B680" s="39">
        <v>9</v>
      </c>
      <c r="C680" s="40">
        <v>1</v>
      </c>
      <c r="D680" s="39">
        <v>1104</v>
      </c>
      <c r="E680" s="38" t="str">
        <f t="shared" si="17"/>
        <v>24092025</v>
      </c>
      <c r="F680" s="38">
        <f t="shared" si="18"/>
        <v>1</v>
      </c>
      <c r="G680" s="41" t="s">
        <v>885</v>
      </c>
      <c r="H680" s="41" t="s">
        <v>1544</v>
      </c>
    </row>
    <row r="681" spans="1:8" ht="15">
      <c r="A681" s="38">
        <v>680</v>
      </c>
      <c r="B681" s="39">
        <v>9</v>
      </c>
      <c r="C681" s="40">
        <v>1</v>
      </c>
      <c r="D681" s="39">
        <v>1001</v>
      </c>
      <c r="E681" s="38" t="str">
        <f t="shared" si="17"/>
        <v>24092016</v>
      </c>
      <c r="F681" s="38">
        <f t="shared" si="18"/>
        <v>1</v>
      </c>
      <c r="G681" s="41" t="s">
        <v>885</v>
      </c>
      <c r="H681" s="41" t="s">
        <v>1545</v>
      </c>
    </row>
    <row r="682" spans="1:8" ht="15">
      <c r="A682" s="38">
        <v>681</v>
      </c>
      <c r="B682" s="39">
        <v>9</v>
      </c>
      <c r="C682" s="40">
        <v>1</v>
      </c>
      <c r="D682" s="39">
        <v>1002</v>
      </c>
      <c r="E682" s="38" t="str">
        <f t="shared" si="17"/>
        <v>24092265</v>
      </c>
      <c r="F682" s="38">
        <f t="shared" si="18"/>
        <v>1</v>
      </c>
      <c r="G682" s="41" t="s">
        <v>885</v>
      </c>
      <c r="H682" s="41" t="s">
        <v>1546</v>
      </c>
    </row>
    <row r="683" spans="1:8" ht="15">
      <c r="A683" s="38">
        <v>682</v>
      </c>
      <c r="B683" s="39">
        <v>9</v>
      </c>
      <c r="C683" s="40">
        <v>1</v>
      </c>
      <c r="D683" s="39">
        <v>1003</v>
      </c>
      <c r="E683" s="38" t="str">
        <f t="shared" si="17"/>
        <v>24092261</v>
      </c>
      <c r="F683" s="38">
        <f t="shared" si="18"/>
        <v>1</v>
      </c>
      <c r="G683" s="41" t="s">
        <v>885</v>
      </c>
      <c r="H683" s="41" t="s">
        <v>1547</v>
      </c>
    </row>
    <row r="684" spans="1:8" ht="15">
      <c r="A684" s="38">
        <v>683</v>
      </c>
      <c r="B684" s="39">
        <v>9</v>
      </c>
      <c r="C684" s="40">
        <v>1</v>
      </c>
      <c r="D684" s="39">
        <v>1004</v>
      </c>
      <c r="E684" s="38" t="str">
        <f t="shared" si="17"/>
        <v>24092017</v>
      </c>
      <c r="F684" s="38">
        <f t="shared" si="18"/>
        <v>1</v>
      </c>
      <c r="G684" s="41" t="s">
        <v>885</v>
      </c>
      <c r="H684" s="41" t="s">
        <v>1548</v>
      </c>
    </row>
    <row r="685" spans="1:8" ht="15">
      <c r="A685" s="38">
        <v>684</v>
      </c>
      <c r="B685" s="39">
        <v>10</v>
      </c>
      <c r="C685" s="40">
        <v>1</v>
      </c>
      <c r="D685" s="39">
        <v>501</v>
      </c>
      <c r="E685" s="38" t="str">
        <f t="shared" si="17"/>
        <v>24092129</v>
      </c>
      <c r="F685" s="38">
        <f t="shared" si="18"/>
        <v>0</v>
      </c>
      <c r="G685" s="41" t="s">
        <v>885</v>
      </c>
      <c r="H685" s="41" t="s">
        <v>1549</v>
      </c>
    </row>
    <row r="686" spans="1:8" ht="15">
      <c r="A686" s="38">
        <v>685</v>
      </c>
      <c r="B686" s="39">
        <v>10</v>
      </c>
      <c r="C686" s="40">
        <v>1</v>
      </c>
      <c r="D686" s="39">
        <v>502</v>
      </c>
      <c r="E686" s="38" t="str">
        <f t="shared" si="17"/>
        <v>24091912</v>
      </c>
      <c r="F686" s="38">
        <f t="shared" si="18"/>
        <v>0</v>
      </c>
      <c r="G686" s="41" t="s">
        <v>885</v>
      </c>
      <c r="H686" s="41" t="s">
        <v>1550</v>
      </c>
    </row>
    <row r="687" spans="1:8" ht="15">
      <c r="A687" s="38">
        <v>686</v>
      </c>
      <c r="B687" s="39">
        <v>10</v>
      </c>
      <c r="C687" s="40">
        <v>1</v>
      </c>
      <c r="D687" s="39">
        <v>503</v>
      </c>
      <c r="E687" s="38" t="str">
        <f t="shared" si="17"/>
        <v>24092159</v>
      </c>
      <c r="F687" s="38">
        <f t="shared" si="18"/>
        <v>0</v>
      </c>
      <c r="G687" s="41" t="s">
        <v>885</v>
      </c>
      <c r="H687" s="41" t="s">
        <v>1551</v>
      </c>
    </row>
    <row r="688" spans="1:8" ht="15">
      <c r="A688" s="38">
        <v>687</v>
      </c>
      <c r="B688" s="39">
        <v>10</v>
      </c>
      <c r="C688" s="40">
        <v>1</v>
      </c>
      <c r="D688" s="39">
        <v>504</v>
      </c>
      <c r="E688" s="38" t="str">
        <f t="shared" si="17"/>
        <v>24092138</v>
      </c>
      <c r="F688" s="38">
        <f t="shared" si="18"/>
        <v>0</v>
      </c>
      <c r="G688" s="41" t="s">
        <v>885</v>
      </c>
      <c r="H688" s="41" t="s">
        <v>1552</v>
      </c>
    </row>
    <row r="689" spans="1:8" ht="15">
      <c r="A689" s="38">
        <v>688</v>
      </c>
      <c r="B689" s="39">
        <v>10</v>
      </c>
      <c r="C689" s="40">
        <v>1</v>
      </c>
      <c r="D689" s="39">
        <v>401</v>
      </c>
      <c r="E689" s="38" t="str">
        <f t="shared" si="17"/>
        <v>24091916</v>
      </c>
      <c r="F689" s="38">
        <f t="shared" si="18"/>
        <v>0</v>
      </c>
      <c r="G689" s="41" t="s">
        <v>885</v>
      </c>
      <c r="H689" s="41" t="s">
        <v>1353</v>
      </c>
    </row>
    <row r="690" spans="1:8" ht="15">
      <c r="A690" s="38">
        <v>689</v>
      </c>
      <c r="B690" s="39">
        <v>10</v>
      </c>
      <c r="C690" s="40">
        <v>1</v>
      </c>
      <c r="D690" s="39">
        <v>402</v>
      </c>
      <c r="E690" s="38" t="str">
        <f t="shared" si="17"/>
        <v>24091917</v>
      </c>
      <c r="F690" s="38">
        <f t="shared" si="18"/>
        <v>0</v>
      </c>
      <c r="G690" s="41" t="s">
        <v>885</v>
      </c>
      <c r="H690" s="41" t="s">
        <v>1553</v>
      </c>
    </row>
    <row r="691" spans="1:8" ht="15">
      <c r="A691" s="38">
        <v>690</v>
      </c>
      <c r="B691" s="39">
        <v>10</v>
      </c>
      <c r="C691" s="40">
        <v>1</v>
      </c>
      <c r="D691" s="39">
        <v>403</v>
      </c>
      <c r="E691" s="38" t="str">
        <f t="shared" si="17"/>
        <v>24092127</v>
      </c>
      <c r="F691" s="38">
        <f t="shared" si="18"/>
        <v>0</v>
      </c>
      <c r="G691" s="41" t="s">
        <v>885</v>
      </c>
      <c r="H691" s="41" t="s">
        <v>1554</v>
      </c>
    </row>
    <row r="692" spans="1:8" ht="15">
      <c r="A692" s="38">
        <v>691</v>
      </c>
      <c r="B692" s="39">
        <v>10</v>
      </c>
      <c r="C692" s="40">
        <v>1</v>
      </c>
      <c r="D692" s="39">
        <v>404</v>
      </c>
      <c r="E692" s="38" t="str">
        <f t="shared" si="17"/>
        <v>24092166</v>
      </c>
      <c r="F692" s="38">
        <f t="shared" si="18"/>
        <v>0</v>
      </c>
      <c r="G692" s="41" t="s">
        <v>885</v>
      </c>
      <c r="H692" s="41" t="s">
        <v>1555</v>
      </c>
    </row>
    <row r="693" spans="1:8" ht="15">
      <c r="A693" s="38">
        <v>692</v>
      </c>
      <c r="B693" s="39">
        <v>10</v>
      </c>
      <c r="C693" s="40">
        <v>1</v>
      </c>
      <c r="D693" s="39">
        <v>301</v>
      </c>
      <c r="E693" s="38" t="str">
        <f t="shared" si="17"/>
        <v>24092068</v>
      </c>
      <c r="F693" s="38">
        <f t="shared" si="18"/>
        <v>0</v>
      </c>
      <c r="G693" s="41" t="s">
        <v>885</v>
      </c>
      <c r="H693" s="41" t="s">
        <v>1556</v>
      </c>
    </row>
    <row r="694" spans="1:8" ht="15">
      <c r="A694" s="38">
        <v>693</v>
      </c>
      <c r="B694" s="39">
        <v>10</v>
      </c>
      <c r="C694" s="40">
        <v>1</v>
      </c>
      <c r="D694" s="39">
        <v>302</v>
      </c>
      <c r="E694" s="38" t="str">
        <f t="shared" si="17"/>
        <v>24091873</v>
      </c>
      <c r="F694" s="38">
        <f t="shared" si="18"/>
        <v>0</v>
      </c>
      <c r="G694" s="41" t="s">
        <v>885</v>
      </c>
      <c r="H694" s="41" t="s">
        <v>1557</v>
      </c>
    </row>
    <row r="695" spans="1:8" ht="15">
      <c r="A695" s="38">
        <v>694</v>
      </c>
      <c r="B695" s="39">
        <v>10</v>
      </c>
      <c r="C695" s="40">
        <v>1</v>
      </c>
      <c r="D695" s="39">
        <v>303</v>
      </c>
      <c r="E695" s="38" t="str">
        <f t="shared" si="17"/>
        <v>24092126</v>
      </c>
      <c r="F695" s="38">
        <f t="shared" si="18"/>
        <v>0</v>
      </c>
      <c r="G695" s="41" t="s">
        <v>885</v>
      </c>
      <c r="H695" s="41" t="s">
        <v>1558</v>
      </c>
    </row>
    <row r="696" spans="1:8" ht="15">
      <c r="A696" s="38">
        <v>695</v>
      </c>
      <c r="B696" s="39">
        <v>10</v>
      </c>
      <c r="C696" s="40">
        <v>1</v>
      </c>
      <c r="D696" s="39">
        <v>304</v>
      </c>
      <c r="E696" s="38" t="str">
        <f t="shared" si="17"/>
        <v>24092114</v>
      </c>
      <c r="F696" s="38">
        <f t="shared" si="18"/>
        <v>0</v>
      </c>
      <c r="G696" s="41" t="s">
        <v>885</v>
      </c>
      <c r="H696" s="41" t="s">
        <v>1559</v>
      </c>
    </row>
    <row r="697" spans="1:8" ht="15">
      <c r="A697" s="38">
        <v>696</v>
      </c>
      <c r="B697" s="39">
        <v>10</v>
      </c>
      <c r="C697" s="40">
        <v>1</v>
      </c>
      <c r="D697" s="39">
        <v>201</v>
      </c>
      <c r="E697" s="38" t="str">
        <f t="shared" si="17"/>
        <v>24091883</v>
      </c>
      <c r="F697" s="38">
        <f t="shared" si="18"/>
        <v>0</v>
      </c>
      <c r="G697" s="41" t="s">
        <v>885</v>
      </c>
      <c r="H697" s="41" t="s">
        <v>1560</v>
      </c>
    </row>
    <row r="698" spans="1:8" ht="15">
      <c r="A698" s="38">
        <v>697</v>
      </c>
      <c r="B698" s="39">
        <v>10</v>
      </c>
      <c r="C698" s="40">
        <v>1</v>
      </c>
      <c r="D698" s="39">
        <v>202</v>
      </c>
      <c r="E698" s="38" t="str">
        <f t="shared" si="17"/>
        <v>24091880</v>
      </c>
      <c r="F698" s="38">
        <f t="shared" si="18"/>
        <v>0</v>
      </c>
      <c r="G698" s="41" t="s">
        <v>885</v>
      </c>
      <c r="H698" s="41" t="s">
        <v>1561</v>
      </c>
    </row>
    <row r="699" spans="1:8" ht="15">
      <c r="A699" s="38">
        <v>698</v>
      </c>
      <c r="B699" s="39">
        <v>10</v>
      </c>
      <c r="C699" s="40">
        <v>1</v>
      </c>
      <c r="D699" s="39">
        <v>203</v>
      </c>
      <c r="E699" s="38" t="str">
        <f t="shared" si="17"/>
        <v>24092122</v>
      </c>
      <c r="F699" s="38">
        <f t="shared" si="18"/>
        <v>0</v>
      </c>
      <c r="G699" s="41" t="s">
        <v>885</v>
      </c>
      <c r="H699" s="41" t="s">
        <v>1562</v>
      </c>
    </row>
    <row r="700" spans="1:8" ht="15">
      <c r="A700" s="38">
        <v>699</v>
      </c>
      <c r="B700" s="39">
        <v>10</v>
      </c>
      <c r="C700" s="40">
        <v>1</v>
      </c>
      <c r="D700" s="39">
        <v>204</v>
      </c>
      <c r="E700" s="38" t="str">
        <f t="shared" si="17"/>
        <v>24092110</v>
      </c>
      <c r="F700" s="38">
        <f t="shared" si="18"/>
        <v>0</v>
      </c>
      <c r="G700" s="41" t="s">
        <v>885</v>
      </c>
      <c r="H700" s="41" t="s">
        <v>1563</v>
      </c>
    </row>
    <row r="701" spans="1:8" ht="15">
      <c r="A701" s="38">
        <v>700</v>
      </c>
      <c r="B701" s="39">
        <v>10</v>
      </c>
      <c r="C701" s="40">
        <v>1</v>
      </c>
      <c r="D701" s="39">
        <v>101</v>
      </c>
      <c r="E701" s="38" t="str">
        <f t="shared" si="17"/>
        <v>24092200</v>
      </c>
      <c r="F701" s="38">
        <f t="shared" si="18"/>
        <v>0</v>
      </c>
      <c r="G701" s="41" t="s">
        <v>885</v>
      </c>
      <c r="H701" s="41" t="s">
        <v>1564</v>
      </c>
    </row>
    <row r="702" spans="1:8" ht="15">
      <c r="A702" s="38">
        <v>701</v>
      </c>
      <c r="B702" s="39">
        <v>10</v>
      </c>
      <c r="C702" s="40">
        <v>1</v>
      </c>
      <c r="D702" s="39">
        <v>102</v>
      </c>
      <c r="E702" s="38" t="str">
        <f t="shared" si="17"/>
        <v>24092325</v>
      </c>
      <c r="F702" s="38">
        <f t="shared" si="18"/>
        <v>0</v>
      </c>
      <c r="G702" s="41" t="s">
        <v>885</v>
      </c>
      <c r="H702" s="41" t="s">
        <v>1565</v>
      </c>
    </row>
    <row r="703" spans="1:8" ht="15">
      <c r="A703" s="38">
        <v>702</v>
      </c>
      <c r="B703" s="39">
        <v>10</v>
      </c>
      <c r="C703" s="40">
        <v>1</v>
      </c>
      <c r="D703" s="39">
        <v>103</v>
      </c>
      <c r="E703" s="38" t="str">
        <f t="shared" si="17"/>
        <v>24092587</v>
      </c>
      <c r="F703" s="38">
        <f t="shared" si="18"/>
        <v>0</v>
      </c>
      <c r="G703" s="41" t="s">
        <v>885</v>
      </c>
      <c r="H703" s="41" t="s">
        <v>1566</v>
      </c>
    </row>
    <row r="704" spans="1:8" ht="15">
      <c r="A704" s="38">
        <v>703</v>
      </c>
      <c r="B704" s="39">
        <v>10</v>
      </c>
      <c r="C704" s="40">
        <v>1</v>
      </c>
      <c r="D704" s="42" t="s">
        <v>977</v>
      </c>
      <c r="E704" s="38" t="str">
        <f t="shared" si="17"/>
        <v>24092524</v>
      </c>
      <c r="F704" s="38" t="str">
        <f t="shared" si="18"/>
        <v>地下室</v>
      </c>
      <c r="G704" s="41" t="s">
        <v>885</v>
      </c>
      <c r="H704" s="41" t="s">
        <v>1567</v>
      </c>
    </row>
    <row r="705" spans="1:8" ht="15">
      <c r="A705" s="38">
        <v>704</v>
      </c>
      <c r="B705" s="39">
        <v>10</v>
      </c>
      <c r="C705" s="40">
        <v>1</v>
      </c>
      <c r="D705" s="39">
        <v>1901</v>
      </c>
      <c r="E705" s="38" t="str">
        <f t="shared" si="17"/>
        <v>24092058</v>
      </c>
      <c r="F705" s="38">
        <f t="shared" si="18"/>
        <v>1</v>
      </c>
      <c r="G705" s="41" t="s">
        <v>885</v>
      </c>
      <c r="H705" s="41" t="s">
        <v>1568</v>
      </c>
    </row>
    <row r="706" spans="1:8" ht="15">
      <c r="A706" s="38">
        <v>705</v>
      </c>
      <c r="B706" s="39">
        <v>10</v>
      </c>
      <c r="C706" s="40">
        <v>1</v>
      </c>
      <c r="D706" s="39">
        <v>1902</v>
      </c>
      <c r="E706" s="38" t="str">
        <f t="shared" ref="E706:E829" si="19">G706&amp;H706</f>
        <v>24092024</v>
      </c>
      <c r="F706" s="38">
        <f t="shared" si="18"/>
        <v>1</v>
      </c>
      <c r="G706" s="41" t="s">
        <v>885</v>
      </c>
      <c r="H706" s="41" t="s">
        <v>1569</v>
      </c>
    </row>
    <row r="707" spans="1:8" ht="15">
      <c r="A707" s="38">
        <v>706</v>
      </c>
      <c r="B707" s="39">
        <v>10</v>
      </c>
      <c r="C707" s="40">
        <v>1</v>
      </c>
      <c r="D707" s="39">
        <v>1903</v>
      </c>
      <c r="E707" s="38" t="str">
        <f t="shared" si="19"/>
        <v>24092315</v>
      </c>
      <c r="F707" s="38">
        <f t="shared" ref="F707:F770" si="20">IFERROR(IF(VALUE(LEFT(D707,LEN(D707)-2))&lt;10,0,IF(VALUE(LEFT(D707,LEN(D707)-2))&lt;20,1,2)),D707)</f>
        <v>1</v>
      </c>
      <c r="G707" s="41" t="s">
        <v>885</v>
      </c>
      <c r="H707" s="41" t="s">
        <v>1570</v>
      </c>
    </row>
    <row r="708" spans="1:8" ht="15">
      <c r="A708" s="38">
        <v>707</v>
      </c>
      <c r="B708" s="39">
        <v>10</v>
      </c>
      <c r="C708" s="40">
        <v>1</v>
      </c>
      <c r="D708" s="39">
        <v>1904</v>
      </c>
      <c r="E708" s="38" t="str">
        <f t="shared" si="19"/>
        <v>24092037</v>
      </c>
      <c r="F708" s="38">
        <f t="shared" si="20"/>
        <v>1</v>
      </c>
      <c r="G708" s="41" t="s">
        <v>885</v>
      </c>
      <c r="H708" s="41" t="s">
        <v>1571</v>
      </c>
    </row>
    <row r="709" spans="1:8" ht="15">
      <c r="A709" s="38">
        <v>708</v>
      </c>
      <c r="B709" s="39">
        <v>10</v>
      </c>
      <c r="C709" s="40">
        <v>1</v>
      </c>
      <c r="D709" s="39">
        <v>1801</v>
      </c>
      <c r="E709" s="38" t="str">
        <f t="shared" si="19"/>
        <v>24092091</v>
      </c>
      <c r="F709" s="38">
        <f t="shared" si="20"/>
        <v>1</v>
      </c>
      <c r="G709" s="41" t="s">
        <v>885</v>
      </c>
      <c r="H709" s="41" t="s">
        <v>1572</v>
      </c>
    </row>
    <row r="710" spans="1:8" ht="15">
      <c r="A710" s="38">
        <v>709</v>
      </c>
      <c r="B710" s="39">
        <v>10</v>
      </c>
      <c r="C710" s="40">
        <v>1</v>
      </c>
      <c r="D710" s="39">
        <v>1802</v>
      </c>
      <c r="E710" s="38" t="str">
        <f t="shared" si="19"/>
        <v>24091865</v>
      </c>
      <c r="F710" s="38">
        <f t="shared" si="20"/>
        <v>1</v>
      </c>
      <c r="G710" s="41" t="s">
        <v>885</v>
      </c>
      <c r="H710" s="41" t="s">
        <v>1573</v>
      </c>
    </row>
    <row r="711" spans="1:8" ht="15">
      <c r="A711" s="38">
        <v>710</v>
      </c>
      <c r="B711" s="39">
        <v>10</v>
      </c>
      <c r="C711" s="40">
        <v>1</v>
      </c>
      <c r="D711" s="39">
        <v>1803</v>
      </c>
      <c r="E711" s="38" t="str">
        <f t="shared" si="19"/>
        <v>24092503</v>
      </c>
      <c r="F711" s="38">
        <f t="shared" si="20"/>
        <v>1</v>
      </c>
      <c r="G711" s="41" t="s">
        <v>885</v>
      </c>
      <c r="H711" s="41" t="s">
        <v>1574</v>
      </c>
    </row>
    <row r="712" spans="1:8" ht="15">
      <c r="A712" s="38">
        <v>711</v>
      </c>
      <c r="B712" s="39">
        <v>10</v>
      </c>
      <c r="C712" s="40">
        <v>1</v>
      </c>
      <c r="D712" s="39">
        <v>1804</v>
      </c>
      <c r="E712" s="38" t="str">
        <f t="shared" si="19"/>
        <v>24092498</v>
      </c>
      <c r="F712" s="38">
        <f t="shared" si="20"/>
        <v>1</v>
      </c>
      <c r="G712" s="41" t="s">
        <v>885</v>
      </c>
      <c r="H712" s="41" t="s">
        <v>1575</v>
      </c>
    </row>
    <row r="713" spans="1:8" ht="15">
      <c r="A713" s="38">
        <v>712</v>
      </c>
      <c r="B713" s="39">
        <v>10</v>
      </c>
      <c r="C713" s="40">
        <v>1</v>
      </c>
      <c r="D713" s="39">
        <v>1701</v>
      </c>
      <c r="E713" s="38" t="str">
        <f t="shared" si="19"/>
        <v>24092053</v>
      </c>
      <c r="F713" s="38">
        <f t="shared" si="20"/>
        <v>1</v>
      </c>
      <c r="G713" s="41" t="s">
        <v>885</v>
      </c>
      <c r="H713" s="41" t="s">
        <v>1576</v>
      </c>
    </row>
    <row r="714" spans="1:8" ht="15">
      <c r="A714" s="38">
        <v>713</v>
      </c>
      <c r="B714" s="39">
        <v>10</v>
      </c>
      <c r="C714" s="40">
        <v>1</v>
      </c>
      <c r="D714" s="39">
        <v>1702</v>
      </c>
      <c r="E714" s="38" t="str">
        <f t="shared" si="19"/>
        <v>24092302</v>
      </c>
      <c r="F714" s="38">
        <f t="shared" si="20"/>
        <v>1</v>
      </c>
      <c r="G714" s="41" t="s">
        <v>885</v>
      </c>
      <c r="H714" s="41" t="s">
        <v>1577</v>
      </c>
    </row>
    <row r="715" spans="1:8" ht="15">
      <c r="A715" s="38">
        <v>714</v>
      </c>
      <c r="B715" s="39">
        <v>10</v>
      </c>
      <c r="C715" s="40">
        <v>1</v>
      </c>
      <c r="D715" s="39">
        <v>1703</v>
      </c>
      <c r="E715" s="38" t="str">
        <f t="shared" si="19"/>
        <v>24092510</v>
      </c>
      <c r="F715" s="38">
        <f t="shared" si="20"/>
        <v>1</v>
      </c>
      <c r="G715" s="41" t="s">
        <v>885</v>
      </c>
      <c r="H715" s="41" t="s">
        <v>1578</v>
      </c>
    </row>
    <row r="716" spans="1:8" ht="15">
      <c r="A716" s="38">
        <v>715</v>
      </c>
      <c r="B716" s="39">
        <v>10</v>
      </c>
      <c r="C716" s="40">
        <v>1</v>
      </c>
      <c r="D716" s="39">
        <v>1704</v>
      </c>
      <c r="E716" s="38" t="str">
        <f t="shared" si="19"/>
        <v>24092311</v>
      </c>
      <c r="F716" s="38">
        <f t="shared" si="20"/>
        <v>1</v>
      </c>
      <c r="G716" s="41" t="s">
        <v>885</v>
      </c>
      <c r="H716" s="41" t="s">
        <v>1579</v>
      </c>
    </row>
    <row r="717" spans="1:8" ht="15">
      <c r="A717" s="38">
        <v>716</v>
      </c>
      <c r="B717" s="39">
        <v>10</v>
      </c>
      <c r="C717" s="40">
        <v>1</v>
      </c>
      <c r="D717" s="39">
        <v>1601</v>
      </c>
      <c r="E717" s="38" t="str">
        <f t="shared" si="19"/>
        <v>24092649</v>
      </c>
      <c r="F717" s="38">
        <f t="shared" si="20"/>
        <v>1</v>
      </c>
      <c r="G717" s="41" t="s">
        <v>885</v>
      </c>
      <c r="H717" s="41" t="s">
        <v>1580</v>
      </c>
    </row>
    <row r="718" spans="1:8" ht="15">
      <c r="A718" s="38">
        <v>717</v>
      </c>
      <c r="B718" s="39">
        <v>10</v>
      </c>
      <c r="C718" s="40">
        <v>1</v>
      </c>
      <c r="D718" s="39">
        <v>1602</v>
      </c>
      <c r="E718" s="38" t="str">
        <f t="shared" si="19"/>
        <v>24091914</v>
      </c>
      <c r="F718" s="38">
        <f t="shared" si="20"/>
        <v>1</v>
      </c>
      <c r="G718" s="41" t="s">
        <v>885</v>
      </c>
      <c r="H718" s="41" t="s">
        <v>1581</v>
      </c>
    </row>
    <row r="719" spans="1:8" ht="15">
      <c r="A719" s="38">
        <v>718</v>
      </c>
      <c r="B719" s="39">
        <v>10</v>
      </c>
      <c r="C719" s="40">
        <v>1</v>
      </c>
      <c r="D719" s="39">
        <v>1603</v>
      </c>
      <c r="E719" s="38" t="str">
        <f t="shared" si="19"/>
        <v>24092319</v>
      </c>
      <c r="F719" s="38">
        <f t="shared" si="20"/>
        <v>1</v>
      </c>
      <c r="G719" s="41" t="s">
        <v>885</v>
      </c>
      <c r="H719" s="41" t="s">
        <v>1582</v>
      </c>
    </row>
    <row r="720" spans="1:8" ht="15">
      <c r="A720" s="38">
        <v>719</v>
      </c>
      <c r="B720" s="39">
        <v>10</v>
      </c>
      <c r="C720" s="40">
        <v>1</v>
      </c>
      <c r="D720" s="39">
        <v>1604</v>
      </c>
      <c r="E720" s="38" t="str">
        <f t="shared" si="19"/>
        <v>24091851</v>
      </c>
      <c r="F720" s="38">
        <f t="shared" si="20"/>
        <v>1</v>
      </c>
      <c r="G720" s="41" t="s">
        <v>885</v>
      </c>
      <c r="H720" s="41" t="s">
        <v>1583</v>
      </c>
    </row>
    <row r="721" spans="1:8" ht="15">
      <c r="A721" s="38">
        <v>720</v>
      </c>
      <c r="B721" s="39">
        <v>10</v>
      </c>
      <c r="C721" s="40">
        <v>1</v>
      </c>
      <c r="D721" s="39">
        <v>1501</v>
      </c>
      <c r="E721" s="38" t="str">
        <f t="shared" si="19"/>
        <v>24092636</v>
      </c>
      <c r="F721" s="38">
        <f t="shared" si="20"/>
        <v>1</v>
      </c>
      <c r="G721" s="41" t="s">
        <v>885</v>
      </c>
      <c r="H721" s="41" t="s">
        <v>1584</v>
      </c>
    </row>
    <row r="722" spans="1:8" ht="15">
      <c r="A722" s="38">
        <v>721</v>
      </c>
      <c r="B722" s="39">
        <v>10</v>
      </c>
      <c r="C722" s="40">
        <v>1</v>
      </c>
      <c r="D722" s="39">
        <v>1502</v>
      </c>
      <c r="E722" s="38" t="str">
        <f t="shared" si="19"/>
        <v>24091831</v>
      </c>
      <c r="F722" s="38">
        <f t="shared" si="20"/>
        <v>1</v>
      </c>
      <c r="G722" s="41" t="s">
        <v>885</v>
      </c>
      <c r="H722" s="41" t="s">
        <v>1585</v>
      </c>
    </row>
    <row r="723" spans="1:8" ht="15">
      <c r="A723" s="38">
        <v>722</v>
      </c>
      <c r="B723" s="39">
        <v>10</v>
      </c>
      <c r="C723" s="40">
        <v>1</v>
      </c>
      <c r="D723" s="39">
        <v>1503</v>
      </c>
      <c r="E723" s="38" t="str">
        <f t="shared" si="19"/>
        <v>24092452</v>
      </c>
      <c r="F723" s="38">
        <f t="shared" si="20"/>
        <v>1</v>
      </c>
      <c r="G723" s="41" t="s">
        <v>885</v>
      </c>
      <c r="H723" s="41" t="s">
        <v>1586</v>
      </c>
    </row>
    <row r="724" spans="1:8" ht="15">
      <c r="A724" s="38">
        <v>723</v>
      </c>
      <c r="B724" s="39">
        <v>10</v>
      </c>
      <c r="C724" s="40">
        <v>1</v>
      </c>
      <c r="D724" s="39">
        <v>1504</v>
      </c>
      <c r="E724" s="38" t="str">
        <f t="shared" si="19"/>
        <v>24092321</v>
      </c>
      <c r="F724" s="38">
        <f t="shared" si="20"/>
        <v>1</v>
      </c>
      <c r="G724" s="41" t="s">
        <v>885</v>
      </c>
      <c r="H724" s="41" t="s">
        <v>1587</v>
      </c>
    </row>
    <row r="725" spans="1:8" ht="15">
      <c r="A725" s="38">
        <v>724</v>
      </c>
      <c r="B725" s="39">
        <v>10</v>
      </c>
      <c r="C725" s="40">
        <v>1</v>
      </c>
      <c r="D725" s="39">
        <v>1401</v>
      </c>
      <c r="E725" s="38" t="str">
        <f t="shared" si="19"/>
        <v>24092454</v>
      </c>
      <c r="F725" s="38">
        <f t="shared" si="20"/>
        <v>1</v>
      </c>
      <c r="G725" s="41" t="s">
        <v>885</v>
      </c>
      <c r="H725" s="41" t="s">
        <v>1588</v>
      </c>
    </row>
    <row r="726" spans="1:8" ht="15">
      <c r="A726" s="38">
        <v>725</v>
      </c>
      <c r="B726" s="39">
        <v>10</v>
      </c>
      <c r="C726" s="40">
        <v>1</v>
      </c>
      <c r="D726" s="39">
        <v>1402</v>
      </c>
      <c r="E726" s="38" t="str">
        <f t="shared" si="19"/>
        <v>24092467</v>
      </c>
      <c r="F726" s="38">
        <f t="shared" si="20"/>
        <v>1</v>
      </c>
      <c r="G726" s="41" t="s">
        <v>885</v>
      </c>
      <c r="H726" s="41" t="s">
        <v>1589</v>
      </c>
    </row>
    <row r="727" spans="1:8" ht="15">
      <c r="A727" s="38">
        <v>726</v>
      </c>
      <c r="B727" s="39">
        <v>10</v>
      </c>
      <c r="C727" s="40">
        <v>1</v>
      </c>
      <c r="D727" s="39">
        <v>1403</v>
      </c>
      <c r="E727" s="38" t="str">
        <f t="shared" si="19"/>
        <v>24092455</v>
      </c>
      <c r="F727" s="38">
        <f t="shared" si="20"/>
        <v>1</v>
      </c>
      <c r="G727" s="41" t="s">
        <v>885</v>
      </c>
      <c r="H727" s="41" t="s">
        <v>1590</v>
      </c>
    </row>
    <row r="728" spans="1:8" ht="15">
      <c r="A728" s="38">
        <v>727</v>
      </c>
      <c r="B728" s="39">
        <v>10</v>
      </c>
      <c r="C728" s="40">
        <v>1</v>
      </c>
      <c r="D728" s="39">
        <v>1404</v>
      </c>
      <c r="E728" s="38" t="str">
        <f t="shared" si="19"/>
        <v>24092074</v>
      </c>
      <c r="F728" s="38">
        <f t="shared" si="20"/>
        <v>1</v>
      </c>
      <c r="G728" s="41" t="s">
        <v>885</v>
      </c>
      <c r="H728" s="41" t="s">
        <v>1591</v>
      </c>
    </row>
    <row r="729" spans="1:8" ht="15">
      <c r="A729" s="38">
        <v>728</v>
      </c>
      <c r="B729" s="39">
        <v>10</v>
      </c>
      <c r="C729" s="40">
        <v>1</v>
      </c>
      <c r="D729" s="39">
        <v>1301</v>
      </c>
      <c r="E729" s="38" t="str">
        <f t="shared" si="19"/>
        <v>24092326</v>
      </c>
      <c r="F729" s="38">
        <f t="shared" si="20"/>
        <v>1</v>
      </c>
      <c r="G729" s="41" t="s">
        <v>885</v>
      </c>
      <c r="H729" s="41" t="s">
        <v>1592</v>
      </c>
    </row>
    <row r="730" spans="1:8" ht="15">
      <c r="A730" s="38">
        <v>729</v>
      </c>
      <c r="B730" s="39">
        <v>10</v>
      </c>
      <c r="C730" s="40">
        <v>1</v>
      </c>
      <c r="D730" s="39">
        <v>1302</v>
      </c>
      <c r="E730" s="38" t="str">
        <f t="shared" si="19"/>
        <v>24092301</v>
      </c>
      <c r="F730" s="38">
        <f t="shared" si="20"/>
        <v>1</v>
      </c>
      <c r="G730" s="41" t="s">
        <v>885</v>
      </c>
      <c r="H730" s="41" t="s">
        <v>1593</v>
      </c>
    </row>
    <row r="731" spans="1:8" ht="15">
      <c r="A731" s="38">
        <v>730</v>
      </c>
      <c r="B731" s="39">
        <v>10</v>
      </c>
      <c r="C731" s="40">
        <v>1</v>
      </c>
      <c r="D731" s="39">
        <v>1303</v>
      </c>
      <c r="E731" s="38" t="str">
        <f t="shared" si="19"/>
        <v>24092084</v>
      </c>
      <c r="F731" s="38">
        <f t="shared" si="20"/>
        <v>1</v>
      </c>
      <c r="G731" s="41" t="s">
        <v>885</v>
      </c>
      <c r="H731" s="41" t="s">
        <v>1594</v>
      </c>
    </row>
    <row r="732" spans="1:8" ht="15">
      <c r="A732" s="38">
        <v>731</v>
      </c>
      <c r="B732" s="39">
        <v>10</v>
      </c>
      <c r="C732" s="40">
        <v>1</v>
      </c>
      <c r="D732" s="39">
        <v>1304</v>
      </c>
      <c r="E732" s="38" t="str">
        <f t="shared" si="19"/>
        <v>24092425</v>
      </c>
      <c r="F732" s="38">
        <f t="shared" si="20"/>
        <v>1</v>
      </c>
      <c r="G732" s="41" t="s">
        <v>885</v>
      </c>
      <c r="H732" s="41" t="s">
        <v>1595</v>
      </c>
    </row>
    <row r="733" spans="1:8" ht="15">
      <c r="A733" s="38">
        <v>732</v>
      </c>
      <c r="B733" s="39">
        <v>10</v>
      </c>
      <c r="C733" s="40">
        <v>1</v>
      </c>
      <c r="D733" s="39">
        <v>1201</v>
      </c>
      <c r="E733" s="38" t="str">
        <f t="shared" si="19"/>
        <v>24092436</v>
      </c>
      <c r="F733" s="38">
        <f t="shared" si="20"/>
        <v>1</v>
      </c>
      <c r="G733" s="41" t="s">
        <v>885</v>
      </c>
      <c r="H733" s="41" t="s">
        <v>1596</v>
      </c>
    </row>
    <row r="734" spans="1:8" ht="15">
      <c r="A734" s="38">
        <v>733</v>
      </c>
      <c r="B734" s="39">
        <v>10</v>
      </c>
      <c r="C734" s="40">
        <v>1</v>
      </c>
      <c r="D734" s="39">
        <v>1202</v>
      </c>
      <c r="E734" s="38" t="str">
        <f t="shared" si="19"/>
        <v>24092393</v>
      </c>
      <c r="F734" s="38">
        <f t="shared" si="20"/>
        <v>1</v>
      </c>
      <c r="G734" s="41" t="s">
        <v>885</v>
      </c>
      <c r="H734" s="41" t="s">
        <v>1597</v>
      </c>
    </row>
    <row r="735" spans="1:8" ht="15">
      <c r="A735" s="38">
        <v>734</v>
      </c>
      <c r="B735" s="39">
        <v>10</v>
      </c>
      <c r="C735" s="40">
        <v>1</v>
      </c>
      <c r="D735" s="39">
        <v>1203</v>
      </c>
      <c r="E735" s="38" t="str">
        <f t="shared" si="19"/>
        <v>24092375</v>
      </c>
      <c r="F735" s="38">
        <f t="shared" si="20"/>
        <v>1</v>
      </c>
      <c r="G735" s="41" t="s">
        <v>885</v>
      </c>
      <c r="H735" s="41" t="s">
        <v>1598</v>
      </c>
    </row>
    <row r="736" spans="1:8" ht="15">
      <c r="A736" s="38">
        <v>735</v>
      </c>
      <c r="B736" s="39">
        <v>10</v>
      </c>
      <c r="C736" s="40">
        <v>1</v>
      </c>
      <c r="D736" s="39">
        <v>1204</v>
      </c>
      <c r="E736" s="38" t="str">
        <f t="shared" si="19"/>
        <v>24092368</v>
      </c>
      <c r="F736" s="38">
        <f t="shared" si="20"/>
        <v>1</v>
      </c>
      <c r="G736" s="41" t="s">
        <v>885</v>
      </c>
      <c r="H736" s="41" t="s">
        <v>1599</v>
      </c>
    </row>
    <row r="737" spans="1:8" ht="15">
      <c r="A737" s="38">
        <v>736</v>
      </c>
      <c r="B737" s="39">
        <v>10</v>
      </c>
      <c r="C737" s="40">
        <v>1</v>
      </c>
      <c r="D737" s="39">
        <v>1101</v>
      </c>
      <c r="E737" s="38" t="str">
        <f t="shared" si="19"/>
        <v>24092300</v>
      </c>
      <c r="F737" s="38">
        <f t="shared" si="20"/>
        <v>1</v>
      </c>
      <c r="G737" s="41" t="s">
        <v>885</v>
      </c>
      <c r="H737" s="41" t="s">
        <v>1600</v>
      </c>
    </row>
    <row r="738" spans="1:8" ht="15">
      <c r="A738" s="38">
        <v>737</v>
      </c>
      <c r="B738" s="39">
        <v>10</v>
      </c>
      <c r="C738" s="40">
        <v>1</v>
      </c>
      <c r="D738" s="39">
        <v>1102</v>
      </c>
      <c r="E738" s="38" t="str">
        <f t="shared" si="19"/>
        <v>24092502</v>
      </c>
      <c r="F738" s="38">
        <f t="shared" si="20"/>
        <v>1</v>
      </c>
      <c r="G738" s="41" t="s">
        <v>885</v>
      </c>
      <c r="H738" s="41" t="s">
        <v>1601</v>
      </c>
    </row>
    <row r="739" spans="1:8" ht="15">
      <c r="A739" s="38">
        <v>738</v>
      </c>
      <c r="B739" s="39">
        <v>10</v>
      </c>
      <c r="C739" s="40">
        <v>1</v>
      </c>
      <c r="D739" s="39">
        <v>1103</v>
      </c>
      <c r="E739" s="38" t="str">
        <f t="shared" si="19"/>
        <v>24092492</v>
      </c>
      <c r="F739" s="38">
        <f t="shared" si="20"/>
        <v>1</v>
      </c>
      <c r="G739" s="41" t="s">
        <v>885</v>
      </c>
      <c r="H739" s="41" t="s">
        <v>1602</v>
      </c>
    </row>
    <row r="740" spans="1:8" ht="15">
      <c r="A740" s="38">
        <v>739</v>
      </c>
      <c r="B740" s="39">
        <v>10</v>
      </c>
      <c r="C740" s="40">
        <v>1</v>
      </c>
      <c r="D740" s="39">
        <v>1104</v>
      </c>
      <c r="E740" s="38" t="str">
        <f t="shared" si="19"/>
        <v>24092092</v>
      </c>
      <c r="F740" s="38">
        <f t="shared" si="20"/>
        <v>1</v>
      </c>
      <c r="G740" s="41" t="s">
        <v>885</v>
      </c>
      <c r="H740" s="41" t="s">
        <v>1603</v>
      </c>
    </row>
    <row r="741" spans="1:8" ht="15">
      <c r="A741" s="38">
        <v>740</v>
      </c>
      <c r="B741" s="39">
        <v>10</v>
      </c>
      <c r="C741" s="40">
        <v>1</v>
      </c>
      <c r="D741" s="39">
        <v>1001</v>
      </c>
      <c r="E741" s="38" t="str">
        <f t="shared" si="19"/>
        <v>24092086</v>
      </c>
      <c r="F741" s="38">
        <f t="shared" si="20"/>
        <v>1</v>
      </c>
      <c r="G741" s="41" t="s">
        <v>885</v>
      </c>
      <c r="H741" s="41" t="s">
        <v>1604</v>
      </c>
    </row>
    <row r="742" spans="1:8" ht="15">
      <c r="A742" s="38">
        <v>741</v>
      </c>
      <c r="B742" s="39">
        <v>10</v>
      </c>
      <c r="C742" s="40">
        <v>1</v>
      </c>
      <c r="D742" s="39">
        <v>1002</v>
      </c>
      <c r="E742" s="38" t="str">
        <f t="shared" si="19"/>
        <v>24092415</v>
      </c>
      <c r="F742" s="38">
        <f t="shared" si="20"/>
        <v>1</v>
      </c>
      <c r="G742" s="41" t="s">
        <v>885</v>
      </c>
      <c r="H742" s="41" t="s">
        <v>1605</v>
      </c>
    </row>
    <row r="743" spans="1:8" ht="15">
      <c r="A743" s="38">
        <v>742</v>
      </c>
      <c r="B743" s="39">
        <v>10</v>
      </c>
      <c r="C743" s="40">
        <v>1</v>
      </c>
      <c r="D743" s="39">
        <v>1003</v>
      </c>
      <c r="E743" s="38" t="str">
        <f t="shared" si="19"/>
        <v>24092414</v>
      </c>
      <c r="F743" s="38">
        <f t="shared" si="20"/>
        <v>1</v>
      </c>
      <c r="G743" s="41" t="s">
        <v>885</v>
      </c>
      <c r="H743" s="41" t="s">
        <v>1606</v>
      </c>
    </row>
    <row r="744" spans="1:8" ht="15">
      <c r="A744" s="38">
        <v>743</v>
      </c>
      <c r="B744" s="39">
        <v>10</v>
      </c>
      <c r="C744" s="40">
        <v>1</v>
      </c>
      <c r="D744" s="39">
        <v>1004</v>
      </c>
      <c r="E744" s="38" t="str">
        <f t="shared" si="19"/>
        <v>24092611</v>
      </c>
      <c r="F744" s="38">
        <f t="shared" si="20"/>
        <v>1</v>
      </c>
      <c r="G744" s="41" t="s">
        <v>885</v>
      </c>
      <c r="H744" s="41" t="s">
        <v>1607</v>
      </c>
    </row>
    <row r="745" spans="1:8" ht="15">
      <c r="A745" s="38">
        <v>744</v>
      </c>
      <c r="B745" s="39">
        <v>10</v>
      </c>
      <c r="C745" s="40">
        <v>1</v>
      </c>
      <c r="D745" s="39">
        <v>901</v>
      </c>
      <c r="E745" s="38" t="str">
        <f t="shared" si="19"/>
        <v>24092609</v>
      </c>
      <c r="F745" s="38">
        <f t="shared" si="20"/>
        <v>0</v>
      </c>
      <c r="G745" s="41" t="s">
        <v>885</v>
      </c>
      <c r="H745" s="41" t="s">
        <v>1194</v>
      </c>
    </row>
    <row r="746" spans="1:8" ht="15">
      <c r="A746" s="38">
        <v>745</v>
      </c>
      <c r="B746" s="39">
        <v>10</v>
      </c>
      <c r="C746" s="40">
        <v>1</v>
      </c>
      <c r="D746" s="39">
        <v>902</v>
      </c>
      <c r="E746" s="38" t="str">
        <f t="shared" si="19"/>
        <v>24092440</v>
      </c>
      <c r="F746" s="38">
        <f t="shared" si="20"/>
        <v>0</v>
      </c>
      <c r="G746" s="41" t="s">
        <v>885</v>
      </c>
      <c r="H746" s="41" t="s">
        <v>1608</v>
      </c>
    </row>
    <row r="747" spans="1:8" ht="15">
      <c r="A747" s="38">
        <v>746</v>
      </c>
      <c r="B747" s="39">
        <v>10</v>
      </c>
      <c r="C747" s="40">
        <v>1</v>
      </c>
      <c r="D747" s="39">
        <v>903</v>
      </c>
      <c r="E747" s="38" t="str">
        <f t="shared" si="19"/>
        <v>24092384</v>
      </c>
      <c r="F747" s="38">
        <f t="shared" si="20"/>
        <v>0</v>
      </c>
      <c r="G747" s="41" t="s">
        <v>885</v>
      </c>
      <c r="H747" s="41" t="s">
        <v>1609</v>
      </c>
    </row>
    <row r="748" spans="1:8" ht="15">
      <c r="A748" s="38">
        <v>747</v>
      </c>
      <c r="B748" s="39">
        <v>10</v>
      </c>
      <c r="C748" s="40">
        <v>1</v>
      </c>
      <c r="D748" s="39">
        <v>904</v>
      </c>
      <c r="E748" s="38" t="str">
        <f t="shared" si="19"/>
        <v>24092386</v>
      </c>
      <c r="F748" s="38">
        <f t="shared" si="20"/>
        <v>0</v>
      </c>
      <c r="G748" s="41" t="s">
        <v>885</v>
      </c>
      <c r="H748" s="41" t="s">
        <v>1610</v>
      </c>
    </row>
    <row r="749" spans="1:8" ht="15">
      <c r="A749" s="38">
        <v>748</v>
      </c>
      <c r="B749" s="39">
        <v>10</v>
      </c>
      <c r="C749" s="40">
        <v>1</v>
      </c>
      <c r="D749" s="39">
        <v>801</v>
      </c>
      <c r="E749" s="38" t="str">
        <f t="shared" si="19"/>
        <v>24092293</v>
      </c>
      <c r="F749" s="38">
        <f t="shared" si="20"/>
        <v>0</v>
      </c>
      <c r="G749" s="41" t="s">
        <v>885</v>
      </c>
      <c r="H749" s="41" t="s">
        <v>1611</v>
      </c>
    </row>
    <row r="750" spans="1:8" ht="15">
      <c r="A750" s="38">
        <v>749</v>
      </c>
      <c r="B750" s="39">
        <v>10</v>
      </c>
      <c r="C750" s="40">
        <v>1</v>
      </c>
      <c r="D750" s="39">
        <v>802</v>
      </c>
      <c r="E750" s="38" t="str">
        <f t="shared" si="19"/>
        <v>24092383</v>
      </c>
      <c r="F750" s="38">
        <f t="shared" si="20"/>
        <v>0</v>
      </c>
      <c r="G750" s="41" t="s">
        <v>885</v>
      </c>
      <c r="H750" s="41" t="s">
        <v>1612</v>
      </c>
    </row>
    <row r="751" spans="1:8" ht="15">
      <c r="A751" s="38">
        <v>750</v>
      </c>
      <c r="B751" s="39">
        <v>10</v>
      </c>
      <c r="C751" s="40">
        <v>1</v>
      </c>
      <c r="D751" s="39">
        <v>803</v>
      </c>
      <c r="E751" s="38" t="str">
        <f t="shared" si="19"/>
        <v>24092366</v>
      </c>
      <c r="F751" s="38">
        <f t="shared" si="20"/>
        <v>0</v>
      </c>
      <c r="G751" s="41" t="s">
        <v>885</v>
      </c>
      <c r="H751" s="41" t="s">
        <v>1613</v>
      </c>
    </row>
    <row r="752" spans="1:8" ht="15">
      <c r="A752" s="38">
        <v>751</v>
      </c>
      <c r="B752" s="39">
        <v>10</v>
      </c>
      <c r="C752" s="40">
        <v>1</v>
      </c>
      <c r="D752" s="39">
        <v>804</v>
      </c>
      <c r="E752" s="38" t="str">
        <f t="shared" si="19"/>
        <v>24092307</v>
      </c>
      <c r="F752" s="38">
        <f t="shared" si="20"/>
        <v>0</v>
      </c>
      <c r="G752" s="41" t="s">
        <v>885</v>
      </c>
      <c r="H752" s="41" t="s">
        <v>1614</v>
      </c>
    </row>
    <row r="753" spans="1:8" ht="15">
      <c r="A753" s="38">
        <v>752</v>
      </c>
      <c r="B753" s="39">
        <v>10</v>
      </c>
      <c r="C753" s="40">
        <v>1</v>
      </c>
      <c r="D753" s="39">
        <v>701</v>
      </c>
      <c r="E753" s="38" t="str">
        <f t="shared" si="19"/>
        <v>24092568</v>
      </c>
      <c r="F753" s="38">
        <f t="shared" si="20"/>
        <v>0</v>
      </c>
      <c r="G753" s="41" t="s">
        <v>885</v>
      </c>
      <c r="H753" s="41" t="s">
        <v>1615</v>
      </c>
    </row>
    <row r="754" spans="1:8" ht="15">
      <c r="A754" s="38">
        <v>753</v>
      </c>
      <c r="B754" s="39">
        <v>10</v>
      </c>
      <c r="C754" s="40">
        <v>1</v>
      </c>
      <c r="D754" s="39">
        <v>702</v>
      </c>
      <c r="E754" s="38" t="str">
        <f t="shared" si="19"/>
        <v>24092497</v>
      </c>
      <c r="F754" s="38">
        <f t="shared" si="20"/>
        <v>0</v>
      </c>
      <c r="G754" s="41" t="s">
        <v>885</v>
      </c>
      <c r="H754" s="41" t="s">
        <v>1616</v>
      </c>
    </row>
    <row r="755" spans="1:8" ht="15">
      <c r="A755" s="38">
        <v>754</v>
      </c>
      <c r="B755" s="39">
        <v>10</v>
      </c>
      <c r="C755" s="40">
        <v>1</v>
      </c>
      <c r="D755" s="39">
        <v>703</v>
      </c>
      <c r="E755" s="38" t="str">
        <f t="shared" si="19"/>
        <v>24092435</v>
      </c>
      <c r="F755" s="38">
        <f t="shared" si="20"/>
        <v>0</v>
      </c>
      <c r="G755" s="41" t="s">
        <v>885</v>
      </c>
      <c r="H755" s="41" t="s">
        <v>1617</v>
      </c>
    </row>
    <row r="756" spans="1:8" ht="15">
      <c r="A756" s="38">
        <v>755</v>
      </c>
      <c r="B756" s="39">
        <v>10</v>
      </c>
      <c r="C756" s="40">
        <v>1</v>
      </c>
      <c r="D756" s="39">
        <v>704</v>
      </c>
      <c r="E756" s="38" t="str">
        <f t="shared" si="19"/>
        <v>24092596</v>
      </c>
      <c r="F756" s="38">
        <f t="shared" si="20"/>
        <v>0</v>
      </c>
      <c r="G756" s="41" t="s">
        <v>885</v>
      </c>
      <c r="H756" s="41" t="s">
        <v>1618</v>
      </c>
    </row>
    <row r="757" spans="1:8" ht="15">
      <c r="A757" s="38">
        <v>756</v>
      </c>
      <c r="B757" s="39">
        <v>10</v>
      </c>
      <c r="C757" s="40">
        <v>1</v>
      </c>
      <c r="D757" s="39">
        <v>601</v>
      </c>
      <c r="E757" s="38" t="str">
        <f t="shared" si="19"/>
        <v>24092372</v>
      </c>
      <c r="F757" s="38">
        <f t="shared" si="20"/>
        <v>0</v>
      </c>
      <c r="G757" s="41" t="s">
        <v>885</v>
      </c>
      <c r="H757" s="41" t="s">
        <v>1619</v>
      </c>
    </row>
    <row r="758" spans="1:8" ht="15">
      <c r="A758" s="38">
        <v>757</v>
      </c>
      <c r="B758" s="39">
        <v>10</v>
      </c>
      <c r="C758" s="40">
        <v>1</v>
      </c>
      <c r="D758" s="39">
        <v>602</v>
      </c>
      <c r="E758" s="38" t="str">
        <f t="shared" si="19"/>
        <v>24092496</v>
      </c>
      <c r="F758" s="38">
        <f t="shared" si="20"/>
        <v>0</v>
      </c>
      <c r="G758" s="41" t="s">
        <v>885</v>
      </c>
      <c r="H758" s="41" t="s">
        <v>1620</v>
      </c>
    </row>
    <row r="759" spans="1:8" ht="15">
      <c r="A759" s="38">
        <v>758</v>
      </c>
      <c r="B759" s="39">
        <v>10</v>
      </c>
      <c r="C759" s="40">
        <v>1</v>
      </c>
      <c r="D759" s="39">
        <v>603</v>
      </c>
      <c r="E759" s="38" t="str">
        <f t="shared" si="19"/>
        <v>24091915</v>
      </c>
      <c r="F759" s="38">
        <f t="shared" si="20"/>
        <v>0</v>
      </c>
      <c r="G759" s="41" t="s">
        <v>885</v>
      </c>
      <c r="H759" s="41" t="s">
        <v>714</v>
      </c>
    </row>
    <row r="760" spans="1:8" ht="15">
      <c r="A760" s="38">
        <v>759</v>
      </c>
      <c r="B760" s="39">
        <v>10</v>
      </c>
      <c r="C760" s="40">
        <v>1</v>
      </c>
      <c r="D760" s="39">
        <v>604</v>
      </c>
      <c r="E760" s="38" t="str">
        <f t="shared" si="19"/>
        <v>24091887</v>
      </c>
      <c r="F760" s="38">
        <f t="shared" si="20"/>
        <v>0</v>
      </c>
      <c r="G760" s="41" t="s">
        <v>885</v>
      </c>
      <c r="H760" s="41" t="s">
        <v>1621</v>
      </c>
    </row>
    <row r="761" spans="1:8" ht="15">
      <c r="A761" s="38">
        <v>760</v>
      </c>
      <c r="B761" s="39">
        <v>10</v>
      </c>
      <c r="C761" s="40">
        <v>1</v>
      </c>
      <c r="D761" s="39">
        <v>2601</v>
      </c>
      <c r="E761" s="38" t="str">
        <f t="shared" si="19"/>
        <v>24092515</v>
      </c>
      <c r="F761" s="38">
        <f t="shared" si="20"/>
        <v>2</v>
      </c>
      <c r="G761" s="41" t="s">
        <v>885</v>
      </c>
      <c r="H761" s="41" t="s">
        <v>1622</v>
      </c>
    </row>
    <row r="762" spans="1:8" ht="15">
      <c r="A762" s="38">
        <v>761</v>
      </c>
      <c r="B762" s="39">
        <v>10</v>
      </c>
      <c r="C762" s="40">
        <v>1</v>
      </c>
      <c r="D762" s="39">
        <v>2602</v>
      </c>
      <c r="E762" s="38" t="str">
        <f t="shared" si="19"/>
        <v>24092618</v>
      </c>
      <c r="F762" s="38">
        <f t="shared" si="20"/>
        <v>2</v>
      </c>
      <c r="G762" s="41" t="s">
        <v>885</v>
      </c>
      <c r="H762" s="41" t="s">
        <v>1623</v>
      </c>
    </row>
    <row r="763" spans="1:8" ht="15">
      <c r="A763" s="38">
        <v>762</v>
      </c>
      <c r="B763" s="39">
        <v>10</v>
      </c>
      <c r="C763" s="40">
        <v>1</v>
      </c>
      <c r="D763" s="39">
        <v>2603</v>
      </c>
      <c r="E763" s="38" t="str">
        <f t="shared" si="19"/>
        <v>24092613</v>
      </c>
      <c r="F763" s="38">
        <f t="shared" si="20"/>
        <v>2</v>
      </c>
      <c r="G763" s="41" t="s">
        <v>885</v>
      </c>
      <c r="H763" s="41" t="s">
        <v>1624</v>
      </c>
    </row>
    <row r="764" spans="1:8" ht="15">
      <c r="A764" s="38">
        <v>763</v>
      </c>
      <c r="B764" s="39">
        <v>10</v>
      </c>
      <c r="C764" s="40">
        <v>1</v>
      </c>
      <c r="D764" s="39">
        <v>2604</v>
      </c>
      <c r="E764" s="38" t="str">
        <f t="shared" si="19"/>
        <v>24092572</v>
      </c>
      <c r="F764" s="38">
        <f t="shared" si="20"/>
        <v>2</v>
      </c>
      <c r="G764" s="41" t="s">
        <v>885</v>
      </c>
      <c r="H764" s="41" t="s">
        <v>1625</v>
      </c>
    </row>
    <row r="765" spans="1:8" ht="15">
      <c r="A765" s="38">
        <v>764</v>
      </c>
      <c r="B765" s="39">
        <v>10</v>
      </c>
      <c r="C765" s="40">
        <v>1</v>
      </c>
      <c r="D765" s="39">
        <v>2501</v>
      </c>
      <c r="E765" s="38" t="str">
        <f t="shared" si="19"/>
        <v>24092495</v>
      </c>
      <c r="F765" s="38">
        <f t="shared" si="20"/>
        <v>2</v>
      </c>
      <c r="G765" s="41" t="s">
        <v>885</v>
      </c>
      <c r="H765" s="41" t="s">
        <v>1626</v>
      </c>
    </row>
    <row r="766" spans="1:8" ht="15">
      <c r="A766" s="38">
        <v>765</v>
      </c>
      <c r="B766" s="39">
        <v>10</v>
      </c>
      <c r="C766" s="40">
        <v>1</v>
      </c>
      <c r="D766" s="39">
        <v>2502</v>
      </c>
      <c r="E766" s="38" t="str">
        <f t="shared" si="19"/>
        <v>24092493</v>
      </c>
      <c r="F766" s="38">
        <f t="shared" si="20"/>
        <v>2</v>
      </c>
      <c r="G766" s="41" t="s">
        <v>885</v>
      </c>
      <c r="H766" s="41" t="s">
        <v>1627</v>
      </c>
    </row>
    <row r="767" spans="1:8" ht="15">
      <c r="A767" s="38">
        <v>766</v>
      </c>
      <c r="B767" s="39">
        <v>10</v>
      </c>
      <c r="C767" s="40">
        <v>1</v>
      </c>
      <c r="D767" s="39">
        <v>2503</v>
      </c>
      <c r="E767" s="38" t="str">
        <f t="shared" si="19"/>
        <v>24092432</v>
      </c>
      <c r="F767" s="38">
        <f t="shared" si="20"/>
        <v>2</v>
      </c>
      <c r="G767" s="41" t="s">
        <v>885</v>
      </c>
      <c r="H767" s="41" t="s">
        <v>1628</v>
      </c>
    </row>
    <row r="768" spans="1:8" ht="15">
      <c r="A768" s="38">
        <v>767</v>
      </c>
      <c r="B768" s="39">
        <v>10</v>
      </c>
      <c r="C768" s="40">
        <v>1</v>
      </c>
      <c r="D768" s="39">
        <v>2504</v>
      </c>
      <c r="E768" s="38" t="str">
        <f t="shared" si="19"/>
        <v>24092413</v>
      </c>
      <c r="F768" s="38">
        <f t="shared" si="20"/>
        <v>2</v>
      </c>
      <c r="G768" s="41" t="s">
        <v>885</v>
      </c>
      <c r="H768" s="41" t="s">
        <v>1629</v>
      </c>
    </row>
    <row r="769" spans="1:8" ht="15">
      <c r="A769" s="38">
        <v>768</v>
      </c>
      <c r="B769" s="39">
        <v>10</v>
      </c>
      <c r="C769" s="40">
        <v>1</v>
      </c>
      <c r="D769" s="39">
        <v>2401</v>
      </c>
      <c r="E769" s="38" t="str">
        <f t="shared" si="19"/>
        <v>24091900</v>
      </c>
      <c r="F769" s="38">
        <f t="shared" si="20"/>
        <v>2</v>
      </c>
      <c r="G769" s="41" t="s">
        <v>885</v>
      </c>
      <c r="H769" s="41" t="s">
        <v>1630</v>
      </c>
    </row>
    <row r="770" spans="1:8" ht="15">
      <c r="A770" s="38">
        <v>769</v>
      </c>
      <c r="B770" s="39">
        <v>10</v>
      </c>
      <c r="C770" s="40">
        <v>1</v>
      </c>
      <c r="D770" s="39">
        <v>2402</v>
      </c>
      <c r="E770" s="38" t="str">
        <f t="shared" si="19"/>
        <v>24091902</v>
      </c>
      <c r="F770" s="38">
        <f t="shared" si="20"/>
        <v>2</v>
      </c>
      <c r="G770" s="41" t="s">
        <v>885</v>
      </c>
      <c r="H770" s="41" t="s">
        <v>1631</v>
      </c>
    </row>
    <row r="771" spans="1:8" ht="15">
      <c r="A771" s="38">
        <v>770</v>
      </c>
      <c r="B771" s="39">
        <v>10</v>
      </c>
      <c r="C771" s="40">
        <v>1</v>
      </c>
      <c r="D771" s="39">
        <v>2403</v>
      </c>
      <c r="E771" s="38" t="str">
        <f t="shared" si="19"/>
        <v>24092417</v>
      </c>
      <c r="F771" s="38">
        <f t="shared" ref="F771:F834" si="21">IFERROR(IF(VALUE(LEFT(D771,LEN(D771)-2))&lt;10,0,IF(VALUE(LEFT(D771,LEN(D771)-2))&lt;20,1,2)),D771)</f>
        <v>2</v>
      </c>
      <c r="G771" s="41" t="s">
        <v>885</v>
      </c>
      <c r="H771" s="41" t="s">
        <v>1632</v>
      </c>
    </row>
    <row r="772" spans="1:8" ht="15">
      <c r="A772" s="38">
        <v>771</v>
      </c>
      <c r="B772" s="39">
        <v>10</v>
      </c>
      <c r="C772" s="40">
        <v>1</v>
      </c>
      <c r="D772" s="39">
        <v>2404</v>
      </c>
      <c r="E772" s="38" t="str">
        <f t="shared" si="19"/>
        <v>24092330</v>
      </c>
      <c r="F772" s="38">
        <f t="shared" si="21"/>
        <v>2</v>
      </c>
      <c r="G772" s="41" t="s">
        <v>885</v>
      </c>
      <c r="H772" s="41" t="s">
        <v>1633</v>
      </c>
    </row>
    <row r="773" spans="1:8" ht="15">
      <c r="A773" s="38">
        <v>772</v>
      </c>
      <c r="B773" s="39">
        <v>10</v>
      </c>
      <c r="C773" s="40">
        <v>1</v>
      </c>
      <c r="D773" s="39">
        <v>2301</v>
      </c>
      <c r="E773" s="38" t="str">
        <f t="shared" si="19"/>
        <v>24092140</v>
      </c>
      <c r="F773" s="38">
        <f t="shared" si="21"/>
        <v>2</v>
      </c>
      <c r="G773" s="41" t="s">
        <v>885</v>
      </c>
      <c r="H773" s="41" t="s">
        <v>1634</v>
      </c>
    </row>
    <row r="774" spans="1:8" ht="15">
      <c r="A774" s="38">
        <v>773</v>
      </c>
      <c r="B774" s="39">
        <v>10</v>
      </c>
      <c r="C774" s="40">
        <v>1</v>
      </c>
      <c r="D774" s="39">
        <v>2302</v>
      </c>
      <c r="E774" s="38" t="str">
        <f t="shared" si="19"/>
        <v>24091891</v>
      </c>
      <c r="F774" s="38">
        <f t="shared" si="21"/>
        <v>2</v>
      </c>
      <c r="G774" s="41" t="s">
        <v>885</v>
      </c>
      <c r="H774" s="41" t="s">
        <v>1635</v>
      </c>
    </row>
    <row r="775" spans="1:8" ht="15">
      <c r="A775" s="38">
        <v>774</v>
      </c>
      <c r="B775" s="39">
        <v>10</v>
      </c>
      <c r="C775" s="40">
        <v>1</v>
      </c>
      <c r="D775" s="39">
        <v>2303</v>
      </c>
      <c r="E775" s="38" t="str">
        <f t="shared" si="19"/>
        <v>24091903</v>
      </c>
      <c r="F775" s="38">
        <f t="shared" si="21"/>
        <v>2</v>
      </c>
      <c r="G775" s="41" t="s">
        <v>885</v>
      </c>
      <c r="H775" s="41" t="s">
        <v>1636</v>
      </c>
    </row>
    <row r="776" spans="1:8" ht="15">
      <c r="A776" s="38">
        <v>775</v>
      </c>
      <c r="B776" s="39">
        <v>10</v>
      </c>
      <c r="C776" s="40">
        <v>1</v>
      </c>
      <c r="D776" s="39">
        <v>2304</v>
      </c>
      <c r="E776" s="38" t="str">
        <f t="shared" si="19"/>
        <v>24091896</v>
      </c>
      <c r="F776" s="38">
        <f t="shared" si="21"/>
        <v>2</v>
      </c>
      <c r="G776" s="41" t="s">
        <v>1637</v>
      </c>
      <c r="H776" s="41" t="s">
        <v>1638</v>
      </c>
    </row>
    <row r="777" spans="1:8" ht="15">
      <c r="A777" s="38">
        <v>776</v>
      </c>
      <c r="B777" s="39">
        <v>10</v>
      </c>
      <c r="C777" s="40">
        <v>1</v>
      </c>
      <c r="D777" s="39">
        <v>2201</v>
      </c>
      <c r="E777" s="38" t="str">
        <f t="shared" si="19"/>
        <v>24092146</v>
      </c>
      <c r="F777" s="38">
        <f t="shared" si="21"/>
        <v>2</v>
      </c>
      <c r="G777" s="41" t="s">
        <v>1637</v>
      </c>
      <c r="H777" s="41" t="s">
        <v>1639</v>
      </c>
    </row>
    <row r="778" spans="1:8" ht="15">
      <c r="A778" s="38">
        <v>777</v>
      </c>
      <c r="B778" s="39">
        <v>10</v>
      </c>
      <c r="C778" s="40">
        <v>1</v>
      </c>
      <c r="D778" s="39">
        <v>2202</v>
      </c>
      <c r="E778" s="38" t="str">
        <f t="shared" si="19"/>
        <v>24092177</v>
      </c>
      <c r="F778" s="38">
        <f t="shared" si="21"/>
        <v>2</v>
      </c>
      <c r="G778" s="41" t="s">
        <v>1637</v>
      </c>
      <c r="H778" s="41" t="s">
        <v>1640</v>
      </c>
    </row>
    <row r="779" spans="1:8" ht="15">
      <c r="A779" s="38">
        <v>778</v>
      </c>
      <c r="B779" s="39">
        <v>10</v>
      </c>
      <c r="C779" s="40">
        <v>1</v>
      </c>
      <c r="D779" s="39">
        <v>2203</v>
      </c>
      <c r="E779" s="38" t="str">
        <f t="shared" si="19"/>
        <v>24091894</v>
      </c>
      <c r="F779" s="38">
        <f t="shared" si="21"/>
        <v>2</v>
      </c>
      <c r="G779" s="41" t="s">
        <v>1637</v>
      </c>
      <c r="H779" s="41" t="s">
        <v>1641</v>
      </c>
    </row>
    <row r="780" spans="1:8" ht="15">
      <c r="A780" s="38">
        <v>779</v>
      </c>
      <c r="B780" s="39">
        <v>10</v>
      </c>
      <c r="C780" s="40">
        <v>1</v>
      </c>
      <c r="D780" s="39">
        <v>2204</v>
      </c>
      <c r="E780" s="38" t="str">
        <f t="shared" si="19"/>
        <v>24091927</v>
      </c>
      <c r="F780" s="38">
        <f t="shared" si="21"/>
        <v>2</v>
      </c>
      <c r="G780" s="41" t="s">
        <v>1637</v>
      </c>
      <c r="H780" s="41" t="s">
        <v>1642</v>
      </c>
    </row>
    <row r="781" spans="1:8" ht="15">
      <c r="A781" s="38">
        <v>780</v>
      </c>
      <c r="B781" s="39">
        <v>10</v>
      </c>
      <c r="C781" s="40">
        <v>1</v>
      </c>
      <c r="D781" s="39">
        <v>2101</v>
      </c>
      <c r="E781" s="38" t="str">
        <f t="shared" si="19"/>
        <v>24091935</v>
      </c>
      <c r="F781" s="38">
        <f t="shared" si="21"/>
        <v>2</v>
      </c>
      <c r="G781" s="41" t="s">
        <v>1637</v>
      </c>
      <c r="H781" s="41" t="s">
        <v>1643</v>
      </c>
    </row>
    <row r="782" spans="1:8" ht="15">
      <c r="A782" s="38">
        <v>781</v>
      </c>
      <c r="B782" s="39">
        <v>10</v>
      </c>
      <c r="C782" s="40">
        <v>1</v>
      </c>
      <c r="D782" s="39">
        <v>2102</v>
      </c>
      <c r="E782" s="38" t="str">
        <f t="shared" si="19"/>
        <v>24091940</v>
      </c>
      <c r="F782" s="38">
        <f t="shared" si="21"/>
        <v>2</v>
      </c>
      <c r="G782" s="41" t="s">
        <v>1637</v>
      </c>
      <c r="H782" s="41" t="s">
        <v>1644</v>
      </c>
    </row>
    <row r="783" spans="1:8" ht="15">
      <c r="A783" s="38">
        <v>782</v>
      </c>
      <c r="B783" s="39">
        <v>10</v>
      </c>
      <c r="C783" s="40">
        <v>1</v>
      </c>
      <c r="D783" s="39">
        <v>2103</v>
      </c>
      <c r="E783" s="38" t="str">
        <f t="shared" si="19"/>
        <v>24091804</v>
      </c>
      <c r="F783" s="38">
        <f t="shared" si="21"/>
        <v>2</v>
      </c>
      <c r="G783" s="41" t="s">
        <v>1637</v>
      </c>
      <c r="H783" s="41" t="s">
        <v>1645</v>
      </c>
    </row>
    <row r="784" spans="1:8" ht="15">
      <c r="A784" s="38">
        <v>783</v>
      </c>
      <c r="B784" s="39">
        <v>10</v>
      </c>
      <c r="C784" s="40">
        <v>1</v>
      </c>
      <c r="D784" s="39">
        <v>2104</v>
      </c>
      <c r="E784" s="38" t="str">
        <f t="shared" si="19"/>
        <v>24092041</v>
      </c>
      <c r="F784" s="38">
        <f t="shared" si="21"/>
        <v>2</v>
      </c>
      <c r="G784" s="41" t="s">
        <v>1637</v>
      </c>
      <c r="H784" s="41" t="s">
        <v>1646</v>
      </c>
    </row>
    <row r="785" spans="1:8" ht="15">
      <c r="A785" s="38">
        <v>784</v>
      </c>
      <c r="B785" s="39">
        <v>10</v>
      </c>
      <c r="C785" s="40">
        <v>1</v>
      </c>
      <c r="D785" s="39">
        <v>2001</v>
      </c>
      <c r="E785" s="38" t="str">
        <f t="shared" si="19"/>
        <v>24092275</v>
      </c>
      <c r="F785" s="38">
        <f t="shared" si="21"/>
        <v>2</v>
      </c>
      <c r="G785" s="41" t="s">
        <v>1637</v>
      </c>
      <c r="H785" s="41" t="s">
        <v>1647</v>
      </c>
    </row>
    <row r="786" spans="1:8" ht="15">
      <c r="A786" s="38">
        <v>785</v>
      </c>
      <c r="B786" s="39">
        <v>10</v>
      </c>
      <c r="C786" s="40">
        <v>1</v>
      </c>
      <c r="D786" s="39">
        <v>2002</v>
      </c>
      <c r="E786" s="38" t="str">
        <f t="shared" si="19"/>
        <v>24091805</v>
      </c>
      <c r="F786" s="38">
        <f t="shared" si="21"/>
        <v>2</v>
      </c>
      <c r="G786" s="41" t="s">
        <v>1637</v>
      </c>
      <c r="H786" s="41" t="s">
        <v>1648</v>
      </c>
    </row>
    <row r="787" spans="1:8" ht="15">
      <c r="A787" s="38">
        <v>786</v>
      </c>
      <c r="B787" s="39">
        <v>10</v>
      </c>
      <c r="C787" s="40">
        <v>1</v>
      </c>
      <c r="D787" s="39">
        <v>2003</v>
      </c>
      <c r="E787" s="38" t="str">
        <f t="shared" si="19"/>
        <v>24092290</v>
      </c>
      <c r="F787" s="38">
        <f t="shared" si="21"/>
        <v>2</v>
      </c>
      <c r="G787" s="41" t="s">
        <v>1637</v>
      </c>
      <c r="H787" s="41" t="s">
        <v>1649</v>
      </c>
    </row>
    <row r="788" spans="1:8" ht="15">
      <c r="A788" s="38">
        <v>787</v>
      </c>
      <c r="B788" s="39">
        <v>10</v>
      </c>
      <c r="C788" s="40">
        <v>1</v>
      </c>
      <c r="D788" s="39">
        <v>2004</v>
      </c>
      <c r="E788" s="38" t="str">
        <f t="shared" si="19"/>
        <v>24092262</v>
      </c>
      <c r="F788" s="38">
        <f t="shared" si="21"/>
        <v>2</v>
      </c>
      <c r="G788" s="41" t="s">
        <v>1637</v>
      </c>
      <c r="H788" s="41" t="s">
        <v>1650</v>
      </c>
    </row>
    <row r="789" spans="1:8" ht="15">
      <c r="A789" s="38">
        <v>788</v>
      </c>
      <c r="B789" s="39">
        <v>11</v>
      </c>
      <c r="C789" s="40">
        <v>1</v>
      </c>
      <c r="D789" s="39">
        <v>1503</v>
      </c>
      <c r="E789" s="38" t="str">
        <f t="shared" si="19"/>
        <v>24092007</v>
      </c>
      <c r="F789" s="38">
        <f t="shared" si="21"/>
        <v>1</v>
      </c>
      <c r="G789" s="41" t="s">
        <v>1637</v>
      </c>
      <c r="H789" s="41" t="s">
        <v>1651</v>
      </c>
    </row>
    <row r="790" spans="1:8" ht="15">
      <c r="A790" s="38">
        <v>789</v>
      </c>
      <c r="B790" s="39">
        <v>11</v>
      </c>
      <c r="C790" s="40">
        <v>1</v>
      </c>
      <c r="D790" s="39">
        <v>1504</v>
      </c>
      <c r="E790" s="38" t="str">
        <f t="shared" si="19"/>
        <v>24092006</v>
      </c>
      <c r="F790" s="38">
        <f t="shared" si="21"/>
        <v>1</v>
      </c>
      <c r="G790" s="41" t="s">
        <v>1637</v>
      </c>
      <c r="H790" s="41" t="s">
        <v>1652</v>
      </c>
    </row>
    <row r="791" spans="1:8" ht="15">
      <c r="A791" s="38">
        <v>790</v>
      </c>
      <c r="B791" s="39">
        <v>11</v>
      </c>
      <c r="C791" s="40">
        <v>1</v>
      </c>
      <c r="D791" s="39">
        <v>1401</v>
      </c>
      <c r="E791" s="38" t="str">
        <f t="shared" si="19"/>
        <v>24091926</v>
      </c>
      <c r="F791" s="38">
        <f t="shared" si="21"/>
        <v>1</v>
      </c>
      <c r="G791" s="41" t="s">
        <v>1637</v>
      </c>
      <c r="H791" s="41" t="s">
        <v>1653</v>
      </c>
    </row>
    <row r="792" spans="1:8" ht="15">
      <c r="A792" s="38">
        <v>791</v>
      </c>
      <c r="B792" s="39">
        <v>11</v>
      </c>
      <c r="C792" s="40">
        <v>1</v>
      </c>
      <c r="D792" s="39">
        <v>1402</v>
      </c>
      <c r="E792" s="38" t="str">
        <f t="shared" si="19"/>
        <v>24091924</v>
      </c>
      <c r="F792" s="38">
        <f t="shared" si="21"/>
        <v>1</v>
      </c>
      <c r="G792" s="41" t="s">
        <v>1637</v>
      </c>
      <c r="H792" s="41" t="s">
        <v>1654</v>
      </c>
    </row>
    <row r="793" spans="1:8" ht="15">
      <c r="A793" s="38">
        <v>792</v>
      </c>
      <c r="B793" s="39">
        <v>11</v>
      </c>
      <c r="C793" s="40">
        <v>1</v>
      </c>
      <c r="D793" s="39">
        <v>1403</v>
      </c>
      <c r="E793" s="38" t="str">
        <f t="shared" si="19"/>
        <v>24092143</v>
      </c>
      <c r="F793" s="38">
        <f t="shared" si="21"/>
        <v>1</v>
      </c>
      <c r="G793" s="41" t="s">
        <v>1637</v>
      </c>
      <c r="H793" s="41" t="s">
        <v>1655</v>
      </c>
    </row>
    <row r="794" spans="1:8" ht="15">
      <c r="A794" s="38">
        <v>793</v>
      </c>
      <c r="B794" s="39">
        <v>11</v>
      </c>
      <c r="C794" s="40">
        <v>1</v>
      </c>
      <c r="D794" s="39">
        <v>1404</v>
      </c>
      <c r="E794" s="38" t="str">
        <f t="shared" si="19"/>
        <v>24092142</v>
      </c>
      <c r="F794" s="38">
        <f t="shared" si="21"/>
        <v>1</v>
      </c>
      <c r="G794" s="41" t="s">
        <v>1637</v>
      </c>
      <c r="H794" s="41" t="s">
        <v>1656</v>
      </c>
    </row>
    <row r="795" spans="1:8" ht="15">
      <c r="A795" s="38">
        <v>794</v>
      </c>
      <c r="B795" s="39">
        <v>11</v>
      </c>
      <c r="C795" s="40">
        <v>1</v>
      </c>
      <c r="D795" s="39">
        <v>1301</v>
      </c>
      <c r="E795" s="38" t="str">
        <f t="shared" si="19"/>
        <v>24092144</v>
      </c>
      <c r="F795" s="38">
        <f t="shared" si="21"/>
        <v>1</v>
      </c>
      <c r="G795" s="41" t="s">
        <v>1637</v>
      </c>
      <c r="H795" s="41" t="s">
        <v>1657</v>
      </c>
    </row>
    <row r="796" spans="1:8" ht="15">
      <c r="A796" s="38">
        <v>795</v>
      </c>
      <c r="B796" s="39">
        <v>11</v>
      </c>
      <c r="C796" s="40">
        <v>1</v>
      </c>
      <c r="D796" s="39">
        <v>1302</v>
      </c>
      <c r="E796" s="38" t="str">
        <f t="shared" si="19"/>
        <v>24092179</v>
      </c>
      <c r="F796" s="38">
        <f t="shared" si="21"/>
        <v>1</v>
      </c>
      <c r="G796" s="41" t="s">
        <v>1637</v>
      </c>
      <c r="H796" s="41" t="s">
        <v>1658</v>
      </c>
    </row>
    <row r="797" spans="1:8" ht="15">
      <c r="A797" s="38">
        <v>796</v>
      </c>
      <c r="B797" s="39">
        <v>11</v>
      </c>
      <c r="C797" s="40">
        <v>1</v>
      </c>
      <c r="D797" s="39">
        <v>1303</v>
      </c>
      <c r="E797" s="38" t="str">
        <f t="shared" si="19"/>
        <v>24092175</v>
      </c>
      <c r="F797" s="38">
        <f t="shared" si="21"/>
        <v>1</v>
      </c>
      <c r="G797" s="41" t="s">
        <v>1637</v>
      </c>
      <c r="H797" s="41" t="s">
        <v>1659</v>
      </c>
    </row>
    <row r="798" spans="1:8" ht="15">
      <c r="A798" s="38">
        <v>797</v>
      </c>
      <c r="B798" s="39">
        <v>11</v>
      </c>
      <c r="C798" s="40">
        <v>1</v>
      </c>
      <c r="D798" s="39">
        <v>1304</v>
      </c>
      <c r="E798" s="38" t="str">
        <f t="shared" si="19"/>
        <v>24092173</v>
      </c>
      <c r="F798" s="38">
        <f t="shared" si="21"/>
        <v>1</v>
      </c>
      <c r="G798" s="41" t="s">
        <v>1637</v>
      </c>
      <c r="H798" s="41" t="s">
        <v>1660</v>
      </c>
    </row>
    <row r="799" spans="1:8" ht="15">
      <c r="A799" s="38">
        <v>798</v>
      </c>
      <c r="B799" s="39">
        <v>11</v>
      </c>
      <c r="C799" s="40">
        <v>1</v>
      </c>
      <c r="D799" s="39">
        <v>1201</v>
      </c>
      <c r="E799" s="38" t="str">
        <f t="shared" si="19"/>
        <v>24092036</v>
      </c>
      <c r="F799" s="38">
        <f t="shared" si="21"/>
        <v>1</v>
      </c>
      <c r="G799" s="41" t="s">
        <v>1637</v>
      </c>
      <c r="H799" s="41" t="s">
        <v>1661</v>
      </c>
    </row>
    <row r="800" spans="1:8" ht="15">
      <c r="A800" s="38">
        <v>799</v>
      </c>
      <c r="B800" s="39">
        <v>11</v>
      </c>
      <c r="C800" s="40">
        <v>1</v>
      </c>
      <c r="D800" s="39">
        <v>1202</v>
      </c>
      <c r="E800" s="38" t="str">
        <f t="shared" si="19"/>
        <v>24092283</v>
      </c>
      <c r="F800" s="38">
        <f t="shared" si="21"/>
        <v>1</v>
      </c>
      <c r="G800" s="41" t="s">
        <v>1637</v>
      </c>
      <c r="H800" s="41" t="s">
        <v>1662</v>
      </c>
    </row>
    <row r="801" spans="1:8" ht="15">
      <c r="A801" s="38">
        <v>800</v>
      </c>
      <c r="B801" s="39">
        <v>11</v>
      </c>
      <c r="C801" s="40">
        <v>1</v>
      </c>
      <c r="D801" s="39">
        <v>1203</v>
      </c>
      <c r="E801" s="38" t="str">
        <f t="shared" si="19"/>
        <v>24092272</v>
      </c>
      <c r="F801" s="38">
        <f t="shared" si="21"/>
        <v>1</v>
      </c>
      <c r="G801" s="41" t="s">
        <v>1637</v>
      </c>
      <c r="H801" s="41" t="s">
        <v>1663</v>
      </c>
    </row>
    <row r="802" spans="1:8" ht="15">
      <c r="A802" s="38">
        <v>801</v>
      </c>
      <c r="B802" s="39">
        <v>11</v>
      </c>
      <c r="C802" s="40">
        <v>1</v>
      </c>
      <c r="D802" s="39">
        <v>1204</v>
      </c>
      <c r="E802" s="38" t="str">
        <f t="shared" si="19"/>
        <v>24092285</v>
      </c>
      <c r="F802" s="38">
        <f t="shared" si="21"/>
        <v>1</v>
      </c>
      <c r="G802" s="41" t="s">
        <v>1637</v>
      </c>
      <c r="H802" s="41" t="s">
        <v>1664</v>
      </c>
    </row>
    <row r="803" spans="1:8" ht="15">
      <c r="A803" s="38">
        <v>802</v>
      </c>
      <c r="B803" s="39">
        <v>11</v>
      </c>
      <c r="C803" s="40">
        <v>1</v>
      </c>
      <c r="D803" s="39">
        <v>1101</v>
      </c>
      <c r="E803" s="38" t="str">
        <f t="shared" si="19"/>
        <v>24092056</v>
      </c>
      <c r="F803" s="38">
        <f t="shared" si="21"/>
        <v>1</v>
      </c>
      <c r="G803" s="41" t="s">
        <v>1637</v>
      </c>
      <c r="H803" s="41" t="s">
        <v>1665</v>
      </c>
    </row>
    <row r="804" spans="1:8" ht="15">
      <c r="A804" s="38">
        <v>803</v>
      </c>
      <c r="B804" s="39">
        <v>11</v>
      </c>
      <c r="C804" s="40">
        <v>1</v>
      </c>
      <c r="D804" s="39">
        <v>1102</v>
      </c>
      <c r="E804" s="38" t="str">
        <f t="shared" si="19"/>
        <v>24092221</v>
      </c>
      <c r="F804" s="38">
        <f t="shared" si="21"/>
        <v>1</v>
      </c>
      <c r="G804" s="41" t="s">
        <v>1637</v>
      </c>
      <c r="H804" s="41" t="s">
        <v>1666</v>
      </c>
    </row>
    <row r="805" spans="1:8" ht="15">
      <c r="A805" s="38">
        <v>804</v>
      </c>
      <c r="B805" s="39">
        <v>11</v>
      </c>
      <c r="C805" s="40">
        <v>1</v>
      </c>
      <c r="D805" s="39">
        <v>1103</v>
      </c>
      <c r="E805" s="38" t="str">
        <f t="shared" si="19"/>
        <v>24092289</v>
      </c>
      <c r="F805" s="38">
        <f t="shared" si="21"/>
        <v>1</v>
      </c>
      <c r="G805" s="41" t="s">
        <v>1637</v>
      </c>
      <c r="H805" s="41" t="s">
        <v>1667</v>
      </c>
    </row>
    <row r="806" spans="1:8" ht="15">
      <c r="A806" s="38">
        <v>805</v>
      </c>
      <c r="B806" s="39">
        <v>11</v>
      </c>
      <c r="C806" s="40">
        <v>1</v>
      </c>
      <c r="D806" s="39">
        <v>1104</v>
      </c>
      <c r="E806" s="38" t="str">
        <f t="shared" si="19"/>
        <v>24092287</v>
      </c>
      <c r="F806" s="38">
        <f t="shared" si="21"/>
        <v>1</v>
      </c>
      <c r="G806" s="41" t="s">
        <v>1637</v>
      </c>
      <c r="H806" s="41" t="s">
        <v>1668</v>
      </c>
    </row>
    <row r="807" spans="1:8" ht="15">
      <c r="A807" s="38">
        <v>806</v>
      </c>
      <c r="B807" s="39">
        <v>11</v>
      </c>
      <c r="C807" s="40">
        <v>1</v>
      </c>
      <c r="D807" s="39">
        <v>1001</v>
      </c>
      <c r="E807" s="38" t="str">
        <f t="shared" si="19"/>
        <v>24092057</v>
      </c>
      <c r="F807" s="38">
        <f t="shared" si="21"/>
        <v>1</v>
      </c>
      <c r="G807" s="41" t="s">
        <v>1637</v>
      </c>
      <c r="H807" s="41" t="s">
        <v>1669</v>
      </c>
    </row>
    <row r="808" spans="1:8" ht="15">
      <c r="A808" s="38">
        <v>807</v>
      </c>
      <c r="B808" s="39">
        <v>11</v>
      </c>
      <c r="C808" s="40">
        <v>1</v>
      </c>
      <c r="D808" s="39">
        <v>1002</v>
      </c>
      <c r="E808" s="38" t="str">
        <f t="shared" si="19"/>
        <v>24092270</v>
      </c>
      <c r="F808" s="38">
        <f t="shared" si="21"/>
        <v>1</v>
      </c>
      <c r="G808" s="41" t="s">
        <v>1637</v>
      </c>
      <c r="H808" s="41" t="s">
        <v>1670</v>
      </c>
    </row>
    <row r="809" spans="1:8" ht="15">
      <c r="A809" s="38">
        <v>808</v>
      </c>
      <c r="B809" s="39">
        <v>11</v>
      </c>
      <c r="C809" s="40">
        <v>1</v>
      </c>
      <c r="D809" s="39">
        <v>1003</v>
      </c>
      <c r="E809" s="38" t="str">
        <f t="shared" si="19"/>
        <v>24092633</v>
      </c>
      <c r="F809" s="38">
        <f t="shared" si="21"/>
        <v>1</v>
      </c>
      <c r="G809" s="41" t="s">
        <v>1637</v>
      </c>
      <c r="H809" s="41" t="s">
        <v>1671</v>
      </c>
    </row>
    <row r="810" spans="1:8" ht="15">
      <c r="A810" s="38">
        <v>809</v>
      </c>
      <c r="B810" s="39">
        <v>11</v>
      </c>
      <c r="C810" s="40">
        <v>1</v>
      </c>
      <c r="D810" s="39">
        <v>1004</v>
      </c>
      <c r="E810" s="38" t="str">
        <f t="shared" si="19"/>
        <v>24092482</v>
      </c>
      <c r="F810" s="38">
        <f t="shared" si="21"/>
        <v>1</v>
      </c>
      <c r="G810" s="41" t="s">
        <v>1637</v>
      </c>
      <c r="H810" s="41" t="s">
        <v>1672</v>
      </c>
    </row>
    <row r="811" spans="1:8" ht="15">
      <c r="A811" s="38">
        <v>810</v>
      </c>
      <c r="B811" s="39">
        <v>11</v>
      </c>
      <c r="C811" s="40">
        <v>1</v>
      </c>
      <c r="D811" s="39">
        <v>901</v>
      </c>
      <c r="E811" s="38" t="str">
        <f t="shared" si="19"/>
        <v>24092481</v>
      </c>
      <c r="F811" s="38">
        <f t="shared" si="21"/>
        <v>0</v>
      </c>
      <c r="G811" s="41" t="s">
        <v>1637</v>
      </c>
      <c r="H811" s="41" t="s">
        <v>1673</v>
      </c>
    </row>
    <row r="812" spans="1:8" ht="15">
      <c r="A812" s="38">
        <v>811</v>
      </c>
      <c r="B812" s="39">
        <v>11</v>
      </c>
      <c r="C812" s="40">
        <v>1</v>
      </c>
      <c r="D812" s="39">
        <v>902</v>
      </c>
      <c r="E812" s="38" t="str">
        <f t="shared" si="19"/>
        <v>24092663</v>
      </c>
      <c r="F812" s="38">
        <f t="shared" si="21"/>
        <v>0</v>
      </c>
      <c r="G812" s="41" t="s">
        <v>1637</v>
      </c>
      <c r="H812" s="41" t="s">
        <v>1674</v>
      </c>
    </row>
    <row r="813" spans="1:8" ht="15">
      <c r="A813" s="38">
        <v>812</v>
      </c>
      <c r="B813" s="39">
        <v>11</v>
      </c>
      <c r="C813" s="40">
        <v>1</v>
      </c>
      <c r="D813" s="39">
        <v>903</v>
      </c>
      <c r="E813" s="38" t="str">
        <f t="shared" si="19"/>
        <v>24092672</v>
      </c>
      <c r="F813" s="38">
        <f t="shared" si="21"/>
        <v>0</v>
      </c>
      <c r="G813" s="41" t="s">
        <v>1637</v>
      </c>
      <c r="H813" s="41" t="s">
        <v>1675</v>
      </c>
    </row>
    <row r="814" spans="1:8" ht="15">
      <c r="A814" s="38">
        <v>813</v>
      </c>
      <c r="B814" s="39">
        <v>11</v>
      </c>
      <c r="C814" s="40">
        <v>1</v>
      </c>
      <c r="D814" s="39">
        <v>904</v>
      </c>
      <c r="E814" s="38" t="str">
        <f t="shared" si="19"/>
        <v>24092479</v>
      </c>
      <c r="F814" s="38">
        <f t="shared" si="21"/>
        <v>0</v>
      </c>
      <c r="G814" s="41" t="s">
        <v>1637</v>
      </c>
      <c r="H814" s="41" t="s">
        <v>1676</v>
      </c>
    </row>
    <row r="815" spans="1:8" ht="15">
      <c r="A815" s="38">
        <v>814</v>
      </c>
      <c r="B815" s="39">
        <v>11</v>
      </c>
      <c r="C815" s="40">
        <v>1</v>
      </c>
      <c r="D815" s="39">
        <v>801</v>
      </c>
      <c r="E815" s="38" t="str">
        <f t="shared" si="19"/>
        <v>24092451</v>
      </c>
      <c r="F815" s="38">
        <f t="shared" si="21"/>
        <v>0</v>
      </c>
      <c r="G815" s="41" t="s">
        <v>1637</v>
      </c>
      <c r="H815" s="41" t="s">
        <v>1677</v>
      </c>
    </row>
    <row r="816" spans="1:8" ht="15">
      <c r="A816" s="38">
        <v>815</v>
      </c>
      <c r="B816" s="39">
        <v>11</v>
      </c>
      <c r="C816" s="40">
        <v>1</v>
      </c>
      <c r="D816" s="39">
        <v>802</v>
      </c>
      <c r="E816" s="38" t="str">
        <f t="shared" si="19"/>
        <v>24092464</v>
      </c>
      <c r="F816" s="38">
        <f t="shared" si="21"/>
        <v>0</v>
      </c>
      <c r="G816" s="41" t="s">
        <v>1637</v>
      </c>
      <c r="H816" s="41" t="s">
        <v>1678</v>
      </c>
    </row>
    <row r="817" spans="1:8" ht="15">
      <c r="A817" s="38">
        <v>816</v>
      </c>
      <c r="B817" s="39">
        <v>11</v>
      </c>
      <c r="C817" s="40">
        <v>1</v>
      </c>
      <c r="D817" s="39">
        <v>2501</v>
      </c>
      <c r="E817" s="38" t="str">
        <f t="shared" si="19"/>
        <v>24091826</v>
      </c>
      <c r="F817" s="38">
        <f t="shared" si="21"/>
        <v>2</v>
      </c>
      <c r="G817" s="41" t="s">
        <v>1637</v>
      </c>
      <c r="H817" s="41" t="s">
        <v>1679</v>
      </c>
    </row>
    <row r="818" spans="1:8" ht="15">
      <c r="A818" s="38">
        <v>817</v>
      </c>
      <c r="B818" s="39">
        <v>11</v>
      </c>
      <c r="C818" s="40">
        <v>1</v>
      </c>
      <c r="D818" s="39">
        <v>2502</v>
      </c>
      <c r="E818" s="38" t="str">
        <f t="shared" si="19"/>
        <v>24091874</v>
      </c>
      <c r="F818" s="38">
        <f t="shared" si="21"/>
        <v>2</v>
      </c>
      <c r="G818" s="41" t="s">
        <v>1637</v>
      </c>
      <c r="H818" s="41" t="s">
        <v>1680</v>
      </c>
    </row>
    <row r="819" spans="1:8" ht="15">
      <c r="A819" s="38">
        <v>818</v>
      </c>
      <c r="B819" s="39">
        <v>11</v>
      </c>
      <c r="C819" s="40">
        <v>1</v>
      </c>
      <c r="D819" s="39">
        <v>2503</v>
      </c>
      <c r="E819" s="38" t="str">
        <f t="shared" si="19"/>
        <v>24091987</v>
      </c>
      <c r="F819" s="38">
        <f t="shared" si="21"/>
        <v>2</v>
      </c>
      <c r="G819" s="41" t="s">
        <v>1637</v>
      </c>
      <c r="H819" s="41" t="s">
        <v>1681</v>
      </c>
    </row>
    <row r="820" spans="1:8" ht="15">
      <c r="A820" s="38">
        <v>819</v>
      </c>
      <c r="B820" s="39">
        <v>11</v>
      </c>
      <c r="C820" s="40">
        <v>1</v>
      </c>
      <c r="D820" s="39">
        <v>2504</v>
      </c>
      <c r="E820" s="38" t="str">
        <f t="shared" si="19"/>
        <v>24092239</v>
      </c>
      <c r="F820" s="38">
        <f t="shared" si="21"/>
        <v>2</v>
      </c>
      <c r="G820" s="41" t="s">
        <v>1637</v>
      </c>
      <c r="H820" s="41" t="s">
        <v>1682</v>
      </c>
    </row>
    <row r="821" spans="1:8" ht="15">
      <c r="A821" s="38">
        <v>820</v>
      </c>
      <c r="B821" s="39">
        <v>11</v>
      </c>
      <c r="C821" s="40">
        <v>1</v>
      </c>
      <c r="D821" s="39">
        <v>2401</v>
      </c>
      <c r="E821" s="38" t="str">
        <f t="shared" si="19"/>
        <v>24092243</v>
      </c>
      <c r="F821" s="38">
        <f t="shared" si="21"/>
        <v>2</v>
      </c>
      <c r="G821" s="41" t="s">
        <v>1637</v>
      </c>
      <c r="H821" s="41" t="s">
        <v>1683</v>
      </c>
    </row>
    <row r="822" spans="1:8" ht="15">
      <c r="A822" s="38">
        <v>821</v>
      </c>
      <c r="B822" s="39">
        <v>11</v>
      </c>
      <c r="C822" s="40">
        <v>1</v>
      </c>
      <c r="D822" s="39">
        <v>2402</v>
      </c>
      <c r="E822" s="38" t="str">
        <f t="shared" si="19"/>
        <v>24091995</v>
      </c>
      <c r="F822" s="38">
        <f t="shared" si="21"/>
        <v>2</v>
      </c>
      <c r="G822" s="41" t="s">
        <v>1637</v>
      </c>
      <c r="H822" s="41" t="s">
        <v>1684</v>
      </c>
    </row>
    <row r="823" spans="1:8" ht="15">
      <c r="A823" s="38">
        <v>822</v>
      </c>
      <c r="B823" s="39">
        <v>11</v>
      </c>
      <c r="C823" s="40">
        <v>1</v>
      </c>
      <c r="D823" s="39">
        <v>2403</v>
      </c>
      <c r="E823" s="38" t="str">
        <f t="shared" si="19"/>
        <v>24092237</v>
      </c>
      <c r="F823" s="38">
        <f t="shared" si="21"/>
        <v>2</v>
      </c>
      <c r="G823" s="41" t="s">
        <v>1637</v>
      </c>
      <c r="H823" s="41" t="s">
        <v>1685</v>
      </c>
    </row>
    <row r="824" spans="1:8" ht="15">
      <c r="A824" s="38">
        <v>823</v>
      </c>
      <c r="B824" s="39">
        <v>11</v>
      </c>
      <c r="C824" s="40">
        <v>1</v>
      </c>
      <c r="D824" s="39">
        <v>2404</v>
      </c>
      <c r="E824" s="38" t="str">
        <f t="shared" si="19"/>
        <v>24091827</v>
      </c>
      <c r="F824" s="38">
        <f t="shared" si="21"/>
        <v>2</v>
      </c>
      <c r="G824" s="41" t="s">
        <v>1637</v>
      </c>
      <c r="H824" s="41" t="s">
        <v>1686</v>
      </c>
    </row>
    <row r="825" spans="1:8" ht="15">
      <c r="A825" s="38">
        <v>824</v>
      </c>
      <c r="B825" s="39">
        <v>11</v>
      </c>
      <c r="C825" s="40">
        <v>1</v>
      </c>
      <c r="D825" s="39">
        <v>2301</v>
      </c>
      <c r="E825" s="38" t="str">
        <f t="shared" si="19"/>
        <v>24091977</v>
      </c>
      <c r="F825" s="38">
        <f t="shared" si="21"/>
        <v>2</v>
      </c>
      <c r="G825" s="41" t="s">
        <v>1637</v>
      </c>
      <c r="H825" s="41" t="s">
        <v>1687</v>
      </c>
    </row>
    <row r="826" spans="1:8" ht="15">
      <c r="A826" s="38">
        <v>825</v>
      </c>
      <c r="B826" s="39">
        <v>11</v>
      </c>
      <c r="C826" s="40">
        <v>1</v>
      </c>
      <c r="D826" s="39">
        <v>2302</v>
      </c>
      <c r="E826" s="38" t="str">
        <f t="shared" si="19"/>
        <v>24091979</v>
      </c>
      <c r="F826" s="38">
        <f t="shared" si="21"/>
        <v>2</v>
      </c>
      <c r="G826" s="41" t="s">
        <v>1637</v>
      </c>
      <c r="H826" s="41" t="s">
        <v>1688</v>
      </c>
    </row>
    <row r="827" spans="1:8" ht="15">
      <c r="A827" s="38">
        <v>826</v>
      </c>
      <c r="B827" s="39">
        <v>11</v>
      </c>
      <c r="C827" s="40">
        <v>1</v>
      </c>
      <c r="D827" s="39">
        <v>2303</v>
      </c>
      <c r="E827" s="38" t="str">
        <f t="shared" si="19"/>
        <v>24091980</v>
      </c>
      <c r="F827" s="38">
        <f t="shared" si="21"/>
        <v>2</v>
      </c>
      <c r="G827" s="41" t="s">
        <v>1637</v>
      </c>
      <c r="H827" s="41" t="s">
        <v>1689</v>
      </c>
    </row>
    <row r="828" spans="1:8" ht="15">
      <c r="A828" s="38">
        <v>827</v>
      </c>
      <c r="B828" s="39">
        <v>11</v>
      </c>
      <c r="C828" s="40">
        <v>1</v>
      </c>
      <c r="D828" s="39">
        <v>2304</v>
      </c>
      <c r="E828" s="38" t="str">
        <f t="shared" si="19"/>
        <v>24091986</v>
      </c>
      <c r="F828" s="38">
        <f t="shared" si="21"/>
        <v>2</v>
      </c>
      <c r="G828" s="41" t="s">
        <v>1637</v>
      </c>
      <c r="H828" s="41" t="s">
        <v>1690</v>
      </c>
    </row>
    <row r="829" spans="1:8" ht="15">
      <c r="A829" s="38">
        <v>828</v>
      </c>
      <c r="B829" s="39">
        <v>11</v>
      </c>
      <c r="C829" s="40">
        <v>1</v>
      </c>
      <c r="D829" s="39">
        <v>2201</v>
      </c>
      <c r="E829" s="38" t="str">
        <f t="shared" si="19"/>
        <v>24092462</v>
      </c>
      <c r="F829" s="38">
        <f t="shared" si="21"/>
        <v>2</v>
      </c>
      <c r="G829" s="41" t="s">
        <v>1637</v>
      </c>
      <c r="H829" s="41" t="s">
        <v>1691</v>
      </c>
    </row>
    <row r="830" spans="1:8" ht="15">
      <c r="A830" s="38">
        <v>829</v>
      </c>
      <c r="B830" s="39">
        <v>11</v>
      </c>
      <c r="C830" s="40">
        <v>1</v>
      </c>
      <c r="D830" s="39">
        <v>2202</v>
      </c>
      <c r="E830" s="38" t="str">
        <f t="shared" ref="E830:E893" si="22">G830&amp;H830</f>
        <v>24092447</v>
      </c>
      <c r="F830" s="38">
        <f t="shared" si="21"/>
        <v>2</v>
      </c>
      <c r="G830" s="41" t="s">
        <v>1637</v>
      </c>
      <c r="H830" s="41" t="s">
        <v>1692</v>
      </c>
    </row>
    <row r="831" spans="1:8" ht="15">
      <c r="A831" s="38">
        <v>830</v>
      </c>
      <c r="B831" s="39">
        <v>11</v>
      </c>
      <c r="C831" s="40">
        <v>1</v>
      </c>
      <c r="D831" s="39">
        <v>803</v>
      </c>
      <c r="E831" s="38" t="str">
        <f t="shared" si="22"/>
        <v>24092465</v>
      </c>
      <c r="F831" s="38">
        <f t="shared" si="21"/>
        <v>0</v>
      </c>
      <c r="G831" s="41" t="s">
        <v>1637</v>
      </c>
      <c r="H831" s="41" t="s">
        <v>1693</v>
      </c>
    </row>
    <row r="832" spans="1:8" ht="15">
      <c r="A832" s="38">
        <v>831</v>
      </c>
      <c r="B832" s="39">
        <v>11</v>
      </c>
      <c r="C832" s="40">
        <v>1</v>
      </c>
      <c r="D832" s="39">
        <v>804</v>
      </c>
      <c r="E832" s="38" t="str">
        <f t="shared" si="22"/>
        <v>24092634</v>
      </c>
      <c r="F832" s="38">
        <f t="shared" si="21"/>
        <v>0</v>
      </c>
      <c r="G832" s="41" t="s">
        <v>1637</v>
      </c>
      <c r="H832" s="41" t="s">
        <v>1694</v>
      </c>
    </row>
    <row r="833" spans="1:8" ht="15">
      <c r="A833" s="38">
        <v>832</v>
      </c>
      <c r="B833" s="39">
        <v>11</v>
      </c>
      <c r="C833" s="40">
        <v>1</v>
      </c>
      <c r="D833" s="39">
        <v>701</v>
      </c>
      <c r="E833" s="38" t="str">
        <f t="shared" si="22"/>
        <v>24091975</v>
      </c>
      <c r="F833" s="38">
        <f t="shared" si="21"/>
        <v>0</v>
      </c>
      <c r="G833" s="41" t="s">
        <v>1637</v>
      </c>
      <c r="H833" s="41" t="s">
        <v>1695</v>
      </c>
    </row>
    <row r="834" spans="1:8" ht="15">
      <c r="A834" s="38">
        <v>833</v>
      </c>
      <c r="B834" s="39">
        <v>11</v>
      </c>
      <c r="C834" s="40">
        <v>1</v>
      </c>
      <c r="D834" s="39">
        <v>702</v>
      </c>
      <c r="E834" s="38" t="str">
        <f t="shared" si="22"/>
        <v>24091972</v>
      </c>
      <c r="F834" s="38">
        <f t="shared" si="21"/>
        <v>0</v>
      </c>
      <c r="G834" s="41" t="s">
        <v>1637</v>
      </c>
      <c r="H834" s="41" t="s">
        <v>1696</v>
      </c>
    </row>
    <row r="835" spans="1:8" ht="15">
      <c r="A835" s="38">
        <v>834</v>
      </c>
      <c r="B835" s="39">
        <v>11</v>
      </c>
      <c r="C835" s="40">
        <v>1</v>
      </c>
      <c r="D835" s="39">
        <v>703</v>
      </c>
      <c r="E835" s="38" t="str">
        <f t="shared" si="22"/>
        <v>24092227</v>
      </c>
      <c r="F835" s="38">
        <f t="shared" ref="F835:F898" si="23">IFERROR(IF(VALUE(LEFT(D835,LEN(D835)-2))&lt;10,0,IF(VALUE(LEFT(D835,LEN(D835)-2))&lt;20,1,2)),D835)</f>
        <v>0</v>
      </c>
      <c r="G835" s="41" t="s">
        <v>1637</v>
      </c>
      <c r="H835" s="41" t="s">
        <v>1697</v>
      </c>
    </row>
    <row r="836" spans="1:8" ht="15">
      <c r="A836" s="38">
        <v>835</v>
      </c>
      <c r="B836" s="39">
        <v>11</v>
      </c>
      <c r="C836" s="40">
        <v>1</v>
      </c>
      <c r="D836" s="39">
        <v>704</v>
      </c>
      <c r="E836" s="38" t="str">
        <f t="shared" si="22"/>
        <v>24091983</v>
      </c>
      <c r="F836" s="38">
        <f t="shared" si="23"/>
        <v>0</v>
      </c>
      <c r="G836" s="41" t="s">
        <v>1637</v>
      </c>
      <c r="H836" s="41" t="s">
        <v>1698</v>
      </c>
    </row>
    <row r="837" spans="1:8" ht="15">
      <c r="A837" s="38">
        <v>836</v>
      </c>
      <c r="B837" s="39">
        <v>11</v>
      </c>
      <c r="C837" s="40">
        <v>1</v>
      </c>
      <c r="D837" s="39">
        <v>601</v>
      </c>
      <c r="E837" s="38" t="str">
        <f t="shared" si="22"/>
        <v>24091984</v>
      </c>
      <c r="F837" s="38">
        <f t="shared" si="23"/>
        <v>0</v>
      </c>
      <c r="G837" s="41" t="s">
        <v>1637</v>
      </c>
      <c r="H837" s="41" t="s">
        <v>1699</v>
      </c>
    </row>
    <row r="838" spans="1:8" ht="15">
      <c r="A838" s="38">
        <v>837</v>
      </c>
      <c r="B838" s="39">
        <v>11</v>
      </c>
      <c r="C838" s="40">
        <v>1</v>
      </c>
      <c r="D838" s="39">
        <v>602</v>
      </c>
      <c r="E838" s="38" t="str">
        <f t="shared" si="22"/>
        <v>24092235</v>
      </c>
      <c r="F838" s="38">
        <f t="shared" si="23"/>
        <v>0</v>
      </c>
      <c r="G838" s="41" t="s">
        <v>1637</v>
      </c>
      <c r="H838" s="41" t="s">
        <v>1700</v>
      </c>
    </row>
    <row r="839" spans="1:8" ht="15">
      <c r="A839" s="38">
        <v>838</v>
      </c>
      <c r="B839" s="39">
        <v>11</v>
      </c>
      <c r="C839" s="40">
        <v>1</v>
      </c>
      <c r="D839" s="39">
        <v>603</v>
      </c>
      <c r="E839" s="38" t="str">
        <f t="shared" si="22"/>
        <v>24092233</v>
      </c>
      <c r="F839" s="38">
        <f t="shared" si="23"/>
        <v>0</v>
      </c>
      <c r="G839" s="41" t="s">
        <v>1637</v>
      </c>
      <c r="H839" s="41" t="s">
        <v>1701</v>
      </c>
    </row>
    <row r="840" spans="1:8" ht="15">
      <c r="A840" s="38">
        <v>839</v>
      </c>
      <c r="B840" s="39">
        <v>11</v>
      </c>
      <c r="C840" s="40">
        <v>1</v>
      </c>
      <c r="D840" s="39">
        <v>604</v>
      </c>
      <c r="E840" s="38" t="str">
        <f t="shared" si="22"/>
        <v>24092251</v>
      </c>
      <c r="F840" s="38">
        <f t="shared" si="23"/>
        <v>0</v>
      </c>
      <c r="G840" s="41" t="s">
        <v>1637</v>
      </c>
      <c r="H840" s="41" t="s">
        <v>1702</v>
      </c>
    </row>
    <row r="841" spans="1:8" ht="15">
      <c r="A841" s="38">
        <v>840</v>
      </c>
      <c r="B841" s="39">
        <v>11</v>
      </c>
      <c r="C841" s="40">
        <v>1</v>
      </c>
      <c r="D841" s="39">
        <v>501</v>
      </c>
      <c r="E841" s="38" t="str">
        <f t="shared" si="22"/>
        <v>24091871</v>
      </c>
      <c r="F841" s="38">
        <f t="shared" si="23"/>
        <v>0</v>
      </c>
      <c r="G841" s="41" t="s">
        <v>1637</v>
      </c>
      <c r="H841" s="41" t="s">
        <v>1703</v>
      </c>
    </row>
    <row r="842" spans="1:8" ht="15">
      <c r="A842" s="38">
        <v>841</v>
      </c>
      <c r="B842" s="39">
        <v>11</v>
      </c>
      <c r="C842" s="40">
        <v>1</v>
      </c>
      <c r="D842" s="39">
        <v>502</v>
      </c>
      <c r="E842" s="38" t="str">
        <f t="shared" si="22"/>
        <v>24091879</v>
      </c>
      <c r="F842" s="38">
        <f t="shared" si="23"/>
        <v>0</v>
      </c>
      <c r="G842" s="41" t="s">
        <v>1637</v>
      </c>
      <c r="H842" s="41" t="s">
        <v>1704</v>
      </c>
    </row>
    <row r="843" spans="1:8" ht="15">
      <c r="A843" s="38">
        <v>842</v>
      </c>
      <c r="B843" s="39">
        <v>11</v>
      </c>
      <c r="C843" s="40">
        <v>1</v>
      </c>
      <c r="D843" s="39">
        <v>503</v>
      </c>
      <c r="E843" s="38" t="str">
        <f t="shared" si="22"/>
        <v>24091982</v>
      </c>
      <c r="F843" s="38">
        <f t="shared" si="23"/>
        <v>0</v>
      </c>
      <c r="G843" s="41" t="s">
        <v>1637</v>
      </c>
      <c r="H843" s="41" t="s">
        <v>1705</v>
      </c>
    </row>
    <row r="844" spans="1:8" ht="15">
      <c r="A844" s="38">
        <v>843</v>
      </c>
      <c r="B844" s="39">
        <v>11</v>
      </c>
      <c r="C844" s="40">
        <v>1</v>
      </c>
      <c r="D844" s="39">
        <v>504</v>
      </c>
      <c r="E844" s="38" t="str">
        <f t="shared" si="22"/>
        <v>24091978</v>
      </c>
      <c r="F844" s="38">
        <f t="shared" si="23"/>
        <v>0</v>
      </c>
      <c r="G844" s="41" t="s">
        <v>1637</v>
      </c>
      <c r="H844" s="41" t="s">
        <v>1706</v>
      </c>
    </row>
    <row r="845" spans="1:8" ht="15">
      <c r="A845" s="38">
        <v>844</v>
      </c>
      <c r="B845" s="39">
        <v>11</v>
      </c>
      <c r="C845" s="40">
        <v>1</v>
      </c>
      <c r="D845" s="39">
        <v>401</v>
      </c>
      <c r="E845" s="38" t="str">
        <f t="shared" si="22"/>
        <v>24092118</v>
      </c>
      <c r="F845" s="38">
        <f t="shared" si="23"/>
        <v>0</v>
      </c>
      <c r="G845" s="41" t="s">
        <v>1637</v>
      </c>
      <c r="H845" s="41" t="s">
        <v>1707</v>
      </c>
    </row>
    <row r="846" spans="1:8" ht="15">
      <c r="A846" s="38">
        <v>845</v>
      </c>
      <c r="B846" s="39">
        <v>11</v>
      </c>
      <c r="C846" s="40">
        <v>1</v>
      </c>
      <c r="D846" s="39">
        <v>402</v>
      </c>
      <c r="E846" s="38" t="str">
        <f t="shared" si="22"/>
        <v>24091877</v>
      </c>
      <c r="F846" s="38">
        <f t="shared" si="23"/>
        <v>0</v>
      </c>
      <c r="G846" s="41" t="s">
        <v>1637</v>
      </c>
      <c r="H846" s="41" t="s">
        <v>1708</v>
      </c>
    </row>
    <row r="847" spans="1:8" ht="15">
      <c r="A847" s="38">
        <v>846</v>
      </c>
      <c r="B847" s="39">
        <v>11</v>
      </c>
      <c r="C847" s="40">
        <v>1</v>
      </c>
      <c r="D847" s="39">
        <v>403</v>
      </c>
      <c r="E847" s="38" t="str">
        <f t="shared" si="22"/>
        <v>24092116</v>
      </c>
      <c r="F847" s="38">
        <f t="shared" si="23"/>
        <v>0</v>
      </c>
      <c r="G847" s="41" t="s">
        <v>1637</v>
      </c>
      <c r="H847" s="41" t="s">
        <v>1709</v>
      </c>
    </row>
    <row r="848" spans="1:8" ht="15">
      <c r="A848" s="38">
        <v>847</v>
      </c>
      <c r="B848" s="39">
        <v>11</v>
      </c>
      <c r="C848" s="40">
        <v>1</v>
      </c>
      <c r="D848" s="39">
        <v>404</v>
      </c>
      <c r="E848" s="38" t="str">
        <f t="shared" si="22"/>
        <v>24091823</v>
      </c>
      <c r="F848" s="38">
        <f t="shared" si="23"/>
        <v>0</v>
      </c>
      <c r="G848" s="41" t="s">
        <v>1637</v>
      </c>
      <c r="H848" s="41" t="s">
        <v>1710</v>
      </c>
    </row>
    <row r="849" spans="1:8" ht="15">
      <c r="A849" s="38">
        <v>848</v>
      </c>
      <c r="B849" s="39">
        <v>11</v>
      </c>
      <c r="C849" s="40">
        <v>1</v>
      </c>
      <c r="D849" s="39">
        <v>301</v>
      </c>
      <c r="E849" s="38" t="str">
        <f t="shared" si="22"/>
        <v>24091876</v>
      </c>
      <c r="F849" s="38">
        <f t="shared" si="23"/>
        <v>0</v>
      </c>
      <c r="G849" s="41" t="s">
        <v>1637</v>
      </c>
      <c r="H849" s="41" t="s">
        <v>1711</v>
      </c>
    </row>
    <row r="850" spans="1:8" ht="15">
      <c r="A850" s="38">
        <v>849</v>
      </c>
      <c r="B850" s="39">
        <v>11</v>
      </c>
      <c r="C850" s="40">
        <v>1</v>
      </c>
      <c r="D850" s="39">
        <v>302</v>
      </c>
      <c r="E850" s="38" t="str">
        <f t="shared" si="22"/>
        <v>24092112</v>
      </c>
      <c r="F850" s="38">
        <f t="shared" si="23"/>
        <v>0</v>
      </c>
      <c r="G850" s="41" t="s">
        <v>1637</v>
      </c>
      <c r="H850" s="41" t="s">
        <v>1712</v>
      </c>
    </row>
    <row r="851" spans="1:8" ht="15">
      <c r="A851" s="38">
        <v>850</v>
      </c>
      <c r="B851" s="39">
        <v>11</v>
      </c>
      <c r="C851" s="40">
        <v>1</v>
      </c>
      <c r="D851" s="39">
        <v>303</v>
      </c>
      <c r="E851" s="38" t="str">
        <f t="shared" si="22"/>
        <v>24092117</v>
      </c>
      <c r="F851" s="38">
        <f t="shared" si="23"/>
        <v>0</v>
      </c>
      <c r="G851" s="41" t="s">
        <v>1637</v>
      </c>
      <c r="H851" s="41" t="s">
        <v>1713</v>
      </c>
    </row>
    <row r="852" spans="1:8" ht="15">
      <c r="A852" s="38">
        <v>851</v>
      </c>
      <c r="B852" s="39">
        <v>11</v>
      </c>
      <c r="C852" s="40">
        <v>1</v>
      </c>
      <c r="D852" s="39">
        <v>304</v>
      </c>
      <c r="E852" s="38" t="str">
        <f t="shared" si="22"/>
        <v>24091881</v>
      </c>
      <c r="F852" s="38">
        <f t="shared" si="23"/>
        <v>0</v>
      </c>
      <c r="G852" s="41" t="s">
        <v>1637</v>
      </c>
      <c r="H852" s="41" t="s">
        <v>1714</v>
      </c>
    </row>
    <row r="853" spans="1:8" ht="15">
      <c r="A853" s="38">
        <v>852</v>
      </c>
      <c r="B853" s="39">
        <v>11</v>
      </c>
      <c r="C853" s="40">
        <v>1</v>
      </c>
      <c r="D853" s="39">
        <v>201</v>
      </c>
      <c r="E853" s="38" t="str">
        <f t="shared" si="22"/>
        <v>24092577</v>
      </c>
      <c r="F853" s="38">
        <f t="shared" si="23"/>
        <v>0</v>
      </c>
      <c r="G853" s="41" t="s">
        <v>1637</v>
      </c>
      <c r="H853" s="41" t="s">
        <v>1715</v>
      </c>
    </row>
    <row r="854" spans="1:8" ht="15">
      <c r="A854" s="38">
        <v>853</v>
      </c>
      <c r="B854" s="39">
        <v>11</v>
      </c>
      <c r="C854" s="40">
        <v>1</v>
      </c>
      <c r="D854" s="39">
        <v>202</v>
      </c>
      <c r="E854" s="38" t="str">
        <f t="shared" si="22"/>
        <v>24092555</v>
      </c>
      <c r="F854" s="38">
        <f t="shared" si="23"/>
        <v>0</v>
      </c>
      <c r="G854" s="41" t="s">
        <v>1637</v>
      </c>
      <c r="H854" s="41" t="s">
        <v>1716</v>
      </c>
    </row>
    <row r="855" spans="1:8" ht="15">
      <c r="A855" s="38">
        <v>854</v>
      </c>
      <c r="B855" s="39">
        <v>11</v>
      </c>
      <c r="C855" s="40">
        <v>1</v>
      </c>
      <c r="D855" s="39">
        <v>203</v>
      </c>
      <c r="E855" s="38" t="str">
        <f t="shared" si="22"/>
        <v>24092512</v>
      </c>
      <c r="F855" s="38">
        <f t="shared" si="23"/>
        <v>0</v>
      </c>
      <c r="G855" s="41" t="s">
        <v>1637</v>
      </c>
      <c r="H855" s="41" t="s">
        <v>1717</v>
      </c>
    </row>
    <row r="856" spans="1:8" ht="15">
      <c r="A856" s="38">
        <v>855</v>
      </c>
      <c r="B856" s="39">
        <v>11</v>
      </c>
      <c r="C856" s="40">
        <v>1</v>
      </c>
      <c r="D856" s="39">
        <v>204</v>
      </c>
      <c r="E856" s="38" t="str">
        <f t="shared" si="22"/>
        <v>24092431</v>
      </c>
      <c r="F856" s="38">
        <f t="shared" si="23"/>
        <v>0</v>
      </c>
      <c r="G856" s="41" t="s">
        <v>1637</v>
      </c>
      <c r="H856" s="41" t="s">
        <v>1718</v>
      </c>
    </row>
    <row r="857" spans="1:8" ht="15">
      <c r="A857" s="38">
        <v>856</v>
      </c>
      <c r="B857" s="39">
        <v>11</v>
      </c>
      <c r="C857" s="40">
        <v>1</v>
      </c>
      <c r="D857" s="39">
        <v>101</v>
      </c>
      <c r="E857" s="38" t="str">
        <f t="shared" si="22"/>
        <v>24092433</v>
      </c>
      <c r="F857" s="38">
        <f t="shared" si="23"/>
        <v>0</v>
      </c>
      <c r="G857" s="41" t="s">
        <v>1637</v>
      </c>
      <c r="H857" s="41" t="s">
        <v>1719</v>
      </c>
    </row>
    <row r="858" spans="1:8" ht="15">
      <c r="A858" s="38">
        <v>857</v>
      </c>
      <c r="B858" s="39">
        <v>11</v>
      </c>
      <c r="C858" s="40">
        <v>1</v>
      </c>
      <c r="D858" s="39" t="s">
        <v>1720</v>
      </c>
      <c r="E858" s="38" t="str">
        <f t="shared" si="22"/>
        <v>24092335</v>
      </c>
      <c r="F858" s="38" t="str">
        <f t="shared" si="23"/>
        <v>102地下室</v>
      </c>
      <c r="G858" s="41" t="s">
        <v>1637</v>
      </c>
      <c r="H858" s="41" t="s">
        <v>1721</v>
      </c>
    </row>
    <row r="859" spans="1:8" ht="15">
      <c r="A859" s="38">
        <v>858</v>
      </c>
      <c r="B859" s="39">
        <v>11</v>
      </c>
      <c r="C859" s="40">
        <v>1</v>
      </c>
      <c r="D859" s="39">
        <v>2601</v>
      </c>
      <c r="E859" s="38" t="str">
        <f t="shared" si="22"/>
        <v>24092000</v>
      </c>
      <c r="F859" s="38">
        <f t="shared" si="23"/>
        <v>2</v>
      </c>
      <c r="G859" s="41" t="s">
        <v>1637</v>
      </c>
      <c r="H859" s="41" t="s">
        <v>715</v>
      </c>
    </row>
    <row r="860" spans="1:8" ht="15">
      <c r="A860" s="38">
        <v>859</v>
      </c>
      <c r="B860" s="39">
        <v>11</v>
      </c>
      <c r="C860" s="40">
        <v>1</v>
      </c>
      <c r="D860" s="39">
        <v>2602</v>
      </c>
      <c r="E860" s="38" t="str">
        <f t="shared" si="22"/>
        <v>24091884</v>
      </c>
      <c r="F860" s="38">
        <f t="shared" si="23"/>
        <v>2</v>
      </c>
      <c r="G860" s="41" t="s">
        <v>1637</v>
      </c>
      <c r="H860" s="41" t="s">
        <v>1722</v>
      </c>
    </row>
    <row r="861" spans="1:8" ht="15">
      <c r="A861" s="38">
        <v>860</v>
      </c>
      <c r="B861" s="39">
        <v>11</v>
      </c>
      <c r="C861" s="40">
        <v>1</v>
      </c>
      <c r="D861" s="39">
        <v>2603</v>
      </c>
      <c r="E861" s="38" t="str">
        <f t="shared" si="22"/>
        <v>24091870</v>
      </c>
      <c r="F861" s="38">
        <f t="shared" si="23"/>
        <v>2</v>
      </c>
      <c r="G861" s="41" t="s">
        <v>1637</v>
      </c>
      <c r="H861" s="41" t="s">
        <v>1723</v>
      </c>
    </row>
    <row r="862" spans="1:8" ht="15">
      <c r="A862" s="38">
        <v>861</v>
      </c>
      <c r="B862" s="39">
        <v>11</v>
      </c>
      <c r="C862" s="40">
        <v>1</v>
      </c>
      <c r="D862" s="39">
        <v>2604</v>
      </c>
      <c r="E862" s="38" t="str">
        <f t="shared" si="22"/>
        <v>24091886</v>
      </c>
      <c r="F862" s="38">
        <f t="shared" si="23"/>
        <v>2</v>
      </c>
      <c r="G862" s="41" t="s">
        <v>1637</v>
      </c>
      <c r="H862" s="41" t="s">
        <v>1724</v>
      </c>
    </row>
    <row r="863" spans="1:8" ht="15">
      <c r="A863" s="38">
        <v>862</v>
      </c>
      <c r="B863" s="39">
        <v>11</v>
      </c>
      <c r="C863" s="40">
        <v>1</v>
      </c>
      <c r="D863" s="39">
        <v>2203</v>
      </c>
      <c r="E863" s="38" t="str">
        <f t="shared" si="22"/>
        <v>24092573</v>
      </c>
      <c r="F863" s="38">
        <f t="shared" si="23"/>
        <v>2</v>
      </c>
      <c r="G863" s="41" t="s">
        <v>1637</v>
      </c>
      <c r="H863" s="41" t="s">
        <v>1725</v>
      </c>
    </row>
    <row r="864" spans="1:8" ht="15">
      <c r="A864" s="38">
        <v>863</v>
      </c>
      <c r="B864" s="39">
        <v>11</v>
      </c>
      <c r="C864" s="40">
        <v>1</v>
      </c>
      <c r="D864" s="39">
        <v>2204</v>
      </c>
      <c r="E864" s="38" t="str">
        <f t="shared" si="22"/>
        <v>24092445</v>
      </c>
      <c r="F864" s="38">
        <f t="shared" si="23"/>
        <v>2</v>
      </c>
      <c r="G864" s="41" t="s">
        <v>1637</v>
      </c>
      <c r="H864" s="41" t="s">
        <v>1726</v>
      </c>
    </row>
    <row r="865" spans="1:8" ht="15">
      <c r="A865" s="38">
        <v>864</v>
      </c>
      <c r="B865" s="39">
        <v>11</v>
      </c>
      <c r="C865" s="40">
        <v>1</v>
      </c>
      <c r="D865" s="39">
        <v>2101</v>
      </c>
      <c r="E865" s="38" t="str">
        <f t="shared" si="22"/>
        <v>24092630</v>
      </c>
      <c r="F865" s="38">
        <f t="shared" si="23"/>
        <v>2</v>
      </c>
      <c r="G865" s="41" t="s">
        <v>1637</v>
      </c>
      <c r="H865" s="41" t="s">
        <v>1727</v>
      </c>
    </row>
    <row r="866" spans="1:8" ht="15">
      <c r="A866" s="38">
        <v>865</v>
      </c>
      <c r="B866" s="39">
        <v>11</v>
      </c>
      <c r="C866" s="40">
        <v>1</v>
      </c>
      <c r="D866" s="39">
        <v>2102</v>
      </c>
      <c r="E866" s="38" t="str">
        <f t="shared" si="22"/>
        <v>24092444</v>
      </c>
      <c r="F866" s="38">
        <f t="shared" si="23"/>
        <v>2</v>
      </c>
      <c r="G866" s="41" t="s">
        <v>1637</v>
      </c>
      <c r="H866" s="41" t="s">
        <v>720</v>
      </c>
    </row>
    <row r="867" spans="1:8" ht="15">
      <c r="A867" s="38">
        <v>866</v>
      </c>
      <c r="B867" s="39">
        <v>11</v>
      </c>
      <c r="C867" s="40">
        <v>1</v>
      </c>
      <c r="D867" s="39">
        <v>2103</v>
      </c>
      <c r="E867" s="38" t="str">
        <f t="shared" si="22"/>
        <v>24092457</v>
      </c>
      <c r="F867" s="38">
        <f t="shared" si="23"/>
        <v>2</v>
      </c>
      <c r="G867" s="41" t="s">
        <v>1637</v>
      </c>
      <c r="H867" s="41" t="s">
        <v>1728</v>
      </c>
    </row>
    <row r="868" spans="1:8" ht="15">
      <c r="A868" s="38">
        <v>867</v>
      </c>
      <c r="B868" s="39">
        <v>11</v>
      </c>
      <c r="C868" s="40">
        <v>1</v>
      </c>
      <c r="D868" s="39">
        <v>2104</v>
      </c>
      <c r="E868" s="38" t="str">
        <f t="shared" si="22"/>
        <v>24092446</v>
      </c>
      <c r="F868" s="38">
        <f t="shared" si="23"/>
        <v>2</v>
      </c>
      <c r="G868" s="41" t="s">
        <v>1637</v>
      </c>
      <c r="H868" s="41" t="s">
        <v>1729</v>
      </c>
    </row>
    <row r="869" spans="1:8" ht="15">
      <c r="A869" s="38">
        <v>868</v>
      </c>
      <c r="B869" s="39">
        <v>11</v>
      </c>
      <c r="C869" s="40">
        <v>1</v>
      </c>
      <c r="D869" s="39">
        <v>2001</v>
      </c>
      <c r="E869" s="38" t="str">
        <f t="shared" si="22"/>
        <v>24092077</v>
      </c>
      <c r="F869" s="38">
        <f t="shared" si="23"/>
        <v>2</v>
      </c>
      <c r="G869" s="41" t="s">
        <v>1637</v>
      </c>
      <c r="H869" s="41" t="s">
        <v>1730</v>
      </c>
    </row>
    <row r="870" spans="1:8" ht="15">
      <c r="A870" s="38">
        <v>869</v>
      </c>
      <c r="B870" s="39">
        <v>11</v>
      </c>
      <c r="C870" s="40">
        <v>1</v>
      </c>
      <c r="D870" s="39">
        <v>2002</v>
      </c>
      <c r="E870" s="38" t="str">
        <f t="shared" si="22"/>
        <v>24092657</v>
      </c>
      <c r="F870" s="38">
        <f t="shared" si="23"/>
        <v>2</v>
      </c>
      <c r="G870" s="41" t="s">
        <v>1637</v>
      </c>
      <c r="H870" s="41" t="s">
        <v>1731</v>
      </c>
    </row>
    <row r="871" spans="1:8" ht="15">
      <c r="A871" s="38">
        <v>870</v>
      </c>
      <c r="B871" s="39">
        <v>11</v>
      </c>
      <c r="C871" s="40">
        <v>1</v>
      </c>
      <c r="D871" s="39">
        <v>2003</v>
      </c>
      <c r="E871" s="38" t="str">
        <f t="shared" si="22"/>
        <v>24092499</v>
      </c>
      <c r="F871" s="38">
        <f t="shared" si="23"/>
        <v>2</v>
      </c>
      <c r="G871" s="41" t="s">
        <v>1637</v>
      </c>
      <c r="H871" s="41" t="s">
        <v>1732</v>
      </c>
    </row>
    <row r="872" spans="1:8" ht="15">
      <c r="A872" s="38">
        <v>871</v>
      </c>
      <c r="B872" s="39">
        <v>11</v>
      </c>
      <c r="C872" s="40">
        <v>1</v>
      </c>
      <c r="D872" s="39">
        <v>2004</v>
      </c>
      <c r="E872" s="38" t="str">
        <f t="shared" si="22"/>
        <v>24092607</v>
      </c>
      <c r="F872" s="38">
        <f t="shared" si="23"/>
        <v>2</v>
      </c>
      <c r="G872" s="41" t="s">
        <v>1637</v>
      </c>
      <c r="H872" s="41" t="s">
        <v>1733</v>
      </c>
    </row>
    <row r="873" spans="1:8" ht="15">
      <c r="A873" s="38">
        <v>872</v>
      </c>
      <c r="B873" s="39">
        <v>11</v>
      </c>
      <c r="C873" s="40">
        <v>1</v>
      </c>
      <c r="D873" s="39">
        <v>1901</v>
      </c>
      <c r="E873" s="38" t="str">
        <f t="shared" si="22"/>
        <v>24092506</v>
      </c>
      <c r="F873" s="38">
        <f t="shared" si="23"/>
        <v>1</v>
      </c>
      <c r="G873" s="41" t="s">
        <v>1637</v>
      </c>
      <c r="H873" s="41" t="s">
        <v>1734</v>
      </c>
    </row>
    <row r="874" spans="1:8" ht="15">
      <c r="A874" s="38">
        <v>873</v>
      </c>
      <c r="B874" s="39">
        <v>11</v>
      </c>
      <c r="C874" s="40">
        <v>1</v>
      </c>
      <c r="D874" s="39">
        <v>1902</v>
      </c>
      <c r="E874" s="38" t="str">
        <f t="shared" si="22"/>
        <v>24092309</v>
      </c>
      <c r="F874" s="38">
        <f t="shared" si="23"/>
        <v>1</v>
      </c>
      <c r="G874" s="41" t="s">
        <v>1637</v>
      </c>
      <c r="H874" s="41" t="s">
        <v>1735</v>
      </c>
    </row>
    <row r="875" spans="1:8" ht="15">
      <c r="A875" s="38">
        <v>874</v>
      </c>
      <c r="B875" s="39">
        <v>11</v>
      </c>
      <c r="C875" s="40">
        <v>1</v>
      </c>
      <c r="D875" s="39">
        <v>1903</v>
      </c>
      <c r="E875" s="38" t="str">
        <f t="shared" si="22"/>
        <v>24092593</v>
      </c>
      <c r="F875" s="38">
        <f t="shared" si="23"/>
        <v>1</v>
      </c>
      <c r="G875" s="41" t="s">
        <v>1637</v>
      </c>
      <c r="H875" s="41" t="s">
        <v>1736</v>
      </c>
    </row>
    <row r="876" spans="1:8" ht="15">
      <c r="A876" s="38">
        <v>875</v>
      </c>
      <c r="B876" s="39">
        <v>11</v>
      </c>
      <c r="C876" s="40">
        <v>1</v>
      </c>
      <c r="D876" s="39">
        <v>1904</v>
      </c>
      <c r="E876" s="38" t="str">
        <f t="shared" si="22"/>
        <v>24092079</v>
      </c>
      <c r="F876" s="38">
        <f t="shared" si="23"/>
        <v>1</v>
      </c>
      <c r="G876" s="41" t="s">
        <v>1637</v>
      </c>
      <c r="H876" s="41" t="s">
        <v>727</v>
      </c>
    </row>
    <row r="877" spans="1:8" ht="15">
      <c r="A877" s="38">
        <v>876</v>
      </c>
      <c r="B877" s="39">
        <v>11</v>
      </c>
      <c r="C877" s="40">
        <v>1</v>
      </c>
      <c r="D877" s="39">
        <v>1801</v>
      </c>
      <c r="E877" s="38" t="str">
        <f t="shared" si="22"/>
        <v>24092511</v>
      </c>
      <c r="F877" s="38">
        <f t="shared" si="23"/>
        <v>1</v>
      </c>
      <c r="G877" s="41" t="s">
        <v>1637</v>
      </c>
      <c r="H877" s="41" t="s">
        <v>1737</v>
      </c>
    </row>
    <row r="878" spans="1:8" ht="15">
      <c r="A878" s="38">
        <v>877</v>
      </c>
      <c r="B878" s="39">
        <v>11</v>
      </c>
      <c r="C878" s="40">
        <v>1</v>
      </c>
      <c r="D878" s="39">
        <v>1802</v>
      </c>
      <c r="E878" s="38" t="str">
        <f t="shared" si="22"/>
        <v>24092310</v>
      </c>
      <c r="F878" s="38">
        <f t="shared" si="23"/>
        <v>1</v>
      </c>
      <c r="G878" s="41" t="s">
        <v>1637</v>
      </c>
      <c r="H878" s="41" t="s">
        <v>1738</v>
      </c>
    </row>
    <row r="879" spans="1:8" ht="15">
      <c r="A879" s="38">
        <v>878</v>
      </c>
      <c r="B879" s="39">
        <v>11</v>
      </c>
      <c r="C879" s="40">
        <v>1</v>
      </c>
      <c r="D879" s="39">
        <v>1803</v>
      </c>
      <c r="E879" s="38" t="str">
        <f t="shared" si="22"/>
        <v>24091839</v>
      </c>
      <c r="F879" s="38">
        <f t="shared" si="23"/>
        <v>1</v>
      </c>
      <c r="G879" s="41" t="s">
        <v>1637</v>
      </c>
      <c r="H879" s="41" t="s">
        <v>1739</v>
      </c>
    </row>
    <row r="880" spans="1:8" ht="15">
      <c r="A880" s="38">
        <v>879</v>
      </c>
      <c r="B880" s="39">
        <v>11</v>
      </c>
      <c r="C880" s="40">
        <v>1</v>
      </c>
      <c r="D880" s="39">
        <v>1804</v>
      </c>
      <c r="E880" s="38" t="str">
        <f t="shared" si="22"/>
        <v>24092491</v>
      </c>
      <c r="F880" s="38">
        <f t="shared" si="23"/>
        <v>1</v>
      </c>
      <c r="G880" s="41" t="s">
        <v>1637</v>
      </c>
      <c r="H880" s="41" t="s">
        <v>1740</v>
      </c>
    </row>
    <row r="881" spans="1:8" ht="15">
      <c r="A881" s="38">
        <v>880</v>
      </c>
      <c r="B881" s="39">
        <v>11</v>
      </c>
      <c r="C881" s="40">
        <v>1</v>
      </c>
      <c r="D881" s="39">
        <v>1701</v>
      </c>
      <c r="E881" s="38" t="str">
        <f t="shared" si="22"/>
        <v>24092012</v>
      </c>
      <c r="F881" s="38">
        <f t="shared" si="23"/>
        <v>1</v>
      </c>
      <c r="G881" s="41" t="s">
        <v>1637</v>
      </c>
      <c r="H881" s="41" t="s">
        <v>1741</v>
      </c>
    </row>
    <row r="882" spans="1:8" ht="15">
      <c r="A882" s="38">
        <v>881</v>
      </c>
      <c r="B882" s="39">
        <v>11</v>
      </c>
      <c r="C882" s="40">
        <v>1</v>
      </c>
      <c r="D882" s="39">
        <v>1702</v>
      </c>
      <c r="E882" s="38" t="str">
        <f t="shared" si="22"/>
        <v>24092253</v>
      </c>
      <c r="F882" s="38">
        <f t="shared" si="23"/>
        <v>1</v>
      </c>
      <c r="G882" s="41" t="s">
        <v>1637</v>
      </c>
      <c r="H882" s="41" t="s">
        <v>1742</v>
      </c>
    </row>
    <row r="883" spans="1:8" ht="15">
      <c r="A883" s="38">
        <v>882</v>
      </c>
      <c r="B883" s="39">
        <v>11</v>
      </c>
      <c r="C883" s="40">
        <v>1</v>
      </c>
      <c r="D883" s="39">
        <v>1703</v>
      </c>
      <c r="E883" s="38" t="str">
        <f t="shared" si="22"/>
        <v>24092004</v>
      </c>
      <c r="F883" s="38">
        <f t="shared" si="23"/>
        <v>1</v>
      </c>
      <c r="G883" s="41" t="s">
        <v>1637</v>
      </c>
      <c r="H883" s="41" t="s">
        <v>1743</v>
      </c>
    </row>
    <row r="884" spans="1:8" ht="15">
      <c r="A884" s="38">
        <v>883</v>
      </c>
      <c r="B884" s="39">
        <v>11</v>
      </c>
      <c r="C884" s="40">
        <v>1</v>
      </c>
      <c r="D884" s="39">
        <v>1704</v>
      </c>
      <c r="E884" s="38" t="str">
        <f t="shared" si="22"/>
        <v>24092276</v>
      </c>
      <c r="F884" s="38">
        <f t="shared" si="23"/>
        <v>1</v>
      </c>
      <c r="G884" s="41" t="s">
        <v>1637</v>
      </c>
      <c r="H884" s="41" t="s">
        <v>1744</v>
      </c>
    </row>
    <row r="885" spans="1:8" ht="15">
      <c r="A885" s="38">
        <v>884</v>
      </c>
      <c r="B885" s="39">
        <v>11</v>
      </c>
      <c r="C885" s="40">
        <v>1</v>
      </c>
      <c r="D885" s="39">
        <v>1601</v>
      </c>
      <c r="E885" s="38" t="str">
        <f t="shared" si="22"/>
        <v>24092281</v>
      </c>
      <c r="F885" s="38">
        <f t="shared" si="23"/>
        <v>1</v>
      </c>
      <c r="G885" s="41" t="s">
        <v>1637</v>
      </c>
      <c r="H885" s="41" t="s">
        <v>1745</v>
      </c>
    </row>
    <row r="886" spans="1:8" ht="15">
      <c r="A886" s="38">
        <v>885</v>
      </c>
      <c r="B886" s="39">
        <v>11</v>
      </c>
      <c r="C886" s="40">
        <v>1</v>
      </c>
      <c r="D886" s="39">
        <v>1602</v>
      </c>
      <c r="E886" s="38" t="str">
        <f t="shared" si="22"/>
        <v>24092002</v>
      </c>
      <c r="F886" s="38">
        <f t="shared" si="23"/>
        <v>1</v>
      </c>
      <c r="G886" s="41" t="s">
        <v>1637</v>
      </c>
      <c r="H886" s="41" t="s">
        <v>1746</v>
      </c>
    </row>
    <row r="887" spans="1:8" ht="15">
      <c r="A887" s="38">
        <v>886</v>
      </c>
      <c r="B887" s="39">
        <v>11</v>
      </c>
      <c r="C887" s="40">
        <v>1</v>
      </c>
      <c r="D887" s="39">
        <v>1603</v>
      </c>
      <c r="E887" s="38" t="str">
        <f t="shared" si="22"/>
        <v>24092026</v>
      </c>
      <c r="F887" s="38">
        <f t="shared" si="23"/>
        <v>1</v>
      </c>
      <c r="G887" s="41" t="s">
        <v>1637</v>
      </c>
      <c r="H887" s="41" t="s">
        <v>1747</v>
      </c>
    </row>
    <row r="888" spans="1:8" ht="15">
      <c r="A888" s="38">
        <v>887</v>
      </c>
      <c r="B888" s="39">
        <v>11</v>
      </c>
      <c r="C888" s="40">
        <v>1</v>
      </c>
      <c r="D888" s="39">
        <v>1604</v>
      </c>
      <c r="E888" s="38" t="str">
        <f t="shared" si="22"/>
        <v>24092252</v>
      </c>
      <c r="F888" s="38">
        <f t="shared" si="23"/>
        <v>1</v>
      </c>
      <c r="G888" s="41" t="s">
        <v>1637</v>
      </c>
      <c r="H888" s="41" t="s">
        <v>1748</v>
      </c>
    </row>
    <row r="889" spans="1:8" ht="15">
      <c r="A889" s="38">
        <v>888</v>
      </c>
      <c r="B889" s="39">
        <v>11</v>
      </c>
      <c r="C889" s="40">
        <v>1</v>
      </c>
      <c r="D889" s="39">
        <v>1501</v>
      </c>
      <c r="E889" s="38" t="str">
        <f t="shared" si="22"/>
        <v>24091893</v>
      </c>
      <c r="F889" s="38">
        <f t="shared" si="23"/>
        <v>1</v>
      </c>
      <c r="G889" s="41" t="s">
        <v>1637</v>
      </c>
      <c r="H889" s="41" t="s">
        <v>1749</v>
      </c>
    </row>
    <row r="890" spans="1:8" ht="15">
      <c r="A890" s="38">
        <v>889</v>
      </c>
      <c r="B890" s="39">
        <v>11</v>
      </c>
      <c r="C890" s="40">
        <v>1</v>
      </c>
      <c r="D890" s="39">
        <v>1502</v>
      </c>
      <c r="E890" s="38" t="str">
        <f t="shared" si="22"/>
        <v>24091925</v>
      </c>
      <c r="F890" s="38">
        <f t="shared" si="23"/>
        <v>1</v>
      </c>
      <c r="G890" s="41" t="s">
        <v>1637</v>
      </c>
      <c r="H890" s="41" t="s">
        <v>1750</v>
      </c>
    </row>
    <row r="891" spans="1:8" ht="15">
      <c r="A891" s="38">
        <v>890</v>
      </c>
      <c r="B891" s="39">
        <v>12</v>
      </c>
      <c r="C891" s="40">
        <v>1</v>
      </c>
      <c r="D891" s="39">
        <v>603</v>
      </c>
      <c r="E891" s="38" t="str">
        <f t="shared" si="22"/>
        <v>24092566</v>
      </c>
      <c r="F891" s="38">
        <f t="shared" si="23"/>
        <v>0</v>
      </c>
      <c r="G891" s="41" t="s">
        <v>1637</v>
      </c>
      <c r="H891" s="41" t="s">
        <v>1751</v>
      </c>
    </row>
    <row r="892" spans="1:8" ht="15">
      <c r="A892" s="38">
        <v>891</v>
      </c>
      <c r="B892" s="39">
        <v>12</v>
      </c>
      <c r="C892" s="40">
        <v>1</v>
      </c>
      <c r="D892" s="39">
        <v>604</v>
      </c>
      <c r="E892" s="38" t="str">
        <f t="shared" si="22"/>
        <v>24092406</v>
      </c>
      <c r="F892" s="38">
        <f t="shared" si="23"/>
        <v>0</v>
      </c>
      <c r="G892" s="41" t="s">
        <v>1637</v>
      </c>
      <c r="H892" s="41" t="s">
        <v>1752</v>
      </c>
    </row>
    <row r="893" spans="1:8" ht="15">
      <c r="A893" s="38">
        <v>892</v>
      </c>
      <c r="B893" s="39">
        <v>12</v>
      </c>
      <c r="C893" s="40">
        <v>1</v>
      </c>
      <c r="D893" s="39">
        <v>501</v>
      </c>
      <c r="E893" s="38" t="str">
        <f t="shared" si="22"/>
        <v>24092342</v>
      </c>
      <c r="F893" s="38">
        <f t="shared" si="23"/>
        <v>0</v>
      </c>
      <c r="G893" s="41" t="s">
        <v>1637</v>
      </c>
      <c r="H893" s="41" t="s">
        <v>1753</v>
      </c>
    </row>
    <row r="894" spans="1:8" ht="15">
      <c r="A894" s="38">
        <v>893</v>
      </c>
      <c r="B894" s="39">
        <v>12</v>
      </c>
      <c r="C894" s="40">
        <v>1</v>
      </c>
      <c r="D894" s="39">
        <v>502</v>
      </c>
      <c r="E894" s="38" t="str">
        <f t="shared" ref="E894:E957" si="24">G894&amp;H894</f>
        <v>24092357</v>
      </c>
      <c r="F894" s="38">
        <f t="shared" si="23"/>
        <v>0</v>
      </c>
      <c r="G894" s="41" t="s">
        <v>1637</v>
      </c>
      <c r="H894" s="41" t="s">
        <v>1754</v>
      </c>
    </row>
    <row r="895" spans="1:8" ht="15">
      <c r="A895" s="38">
        <v>894</v>
      </c>
      <c r="B895" s="39">
        <v>12</v>
      </c>
      <c r="C895" s="40">
        <v>1</v>
      </c>
      <c r="D895" s="39">
        <v>503</v>
      </c>
      <c r="E895" s="38" t="str">
        <f t="shared" si="24"/>
        <v>24092541</v>
      </c>
      <c r="F895" s="38">
        <f t="shared" si="23"/>
        <v>0</v>
      </c>
      <c r="G895" s="41" t="s">
        <v>1637</v>
      </c>
      <c r="H895" s="41" t="s">
        <v>1755</v>
      </c>
    </row>
    <row r="896" spans="1:8" ht="15">
      <c r="A896" s="38">
        <v>895</v>
      </c>
      <c r="B896" s="39">
        <v>12</v>
      </c>
      <c r="C896" s="40">
        <v>1</v>
      </c>
      <c r="D896" s="39">
        <v>504</v>
      </c>
      <c r="E896" s="38" t="str">
        <f t="shared" si="24"/>
        <v>24092363</v>
      </c>
      <c r="F896" s="38">
        <f t="shared" si="23"/>
        <v>0</v>
      </c>
      <c r="G896" s="41" t="s">
        <v>1637</v>
      </c>
      <c r="H896" s="41" t="s">
        <v>1756</v>
      </c>
    </row>
    <row r="897" spans="1:8" ht="15">
      <c r="A897" s="38">
        <v>896</v>
      </c>
      <c r="B897" s="39">
        <v>12</v>
      </c>
      <c r="C897" s="40">
        <v>1</v>
      </c>
      <c r="D897" s="39">
        <v>401</v>
      </c>
      <c r="E897" s="38" t="str">
        <f t="shared" si="24"/>
        <v>24092544</v>
      </c>
      <c r="F897" s="38">
        <f t="shared" si="23"/>
        <v>0</v>
      </c>
      <c r="G897" s="41" t="s">
        <v>1637</v>
      </c>
      <c r="H897" s="41" t="s">
        <v>1757</v>
      </c>
    </row>
    <row r="898" spans="1:8" ht="15">
      <c r="A898" s="38">
        <v>897</v>
      </c>
      <c r="B898" s="39">
        <v>12</v>
      </c>
      <c r="C898" s="40">
        <v>1</v>
      </c>
      <c r="D898" s="39">
        <v>402</v>
      </c>
      <c r="E898" s="38" t="str">
        <f t="shared" si="24"/>
        <v>24092581</v>
      </c>
      <c r="F898" s="38">
        <f t="shared" si="23"/>
        <v>0</v>
      </c>
      <c r="G898" s="41" t="s">
        <v>1637</v>
      </c>
      <c r="H898" s="41" t="s">
        <v>1758</v>
      </c>
    </row>
    <row r="899" spans="1:8" ht="15">
      <c r="A899" s="38">
        <v>898</v>
      </c>
      <c r="B899" s="39">
        <v>12</v>
      </c>
      <c r="C899" s="40">
        <v>1</v>
      </c>
      <c r="D899" s="39">
        <v>403</v>
      </c>
      <c r="E899" s="38" t="str">
        <f t="shared" si="24"/>
        <v>24092360</v>
      </c>
      <c r="F899" s="38">
        <f t="shared" ref="F899:F962" si="25">IFERROR(IF(VALUE(LEFT(D899,LEN(D899)-2))&lt;10,0,IF(VALUE(LEFT(D899,LEN(D899)-2))&lt;20,1,2)),D899)</f>
        <v>0</v>
      </c>
      <c r="G899" s="41" t="s">
        <v>1637</v>
      </c>
      <c r="H899" s="41" t="s">
        <v>1759</v>
      </c>
    </row>
    <row r="900" spans="1:8" ht="15">
      <c r="A900" s="38">
        <v>899</v>
      </c>
      <c r="B900" s="39">
        <v>12</v>
      </c>
      <c r="C900" s="40">
        <v>1</v>
      </c>
      <c r="D900" s="39">
        <v>404</v>
      </c>
      <c r="E900" s="38" t="str">
        <f t="shared" si="24"/>
        <v>24092534</v>
      </c>
      <c r="F900" s="38">
        <f t="shared" si="25"/>
        <v>0</v>
      </c>
      <c r="G900" s="41" t="s">
        <v>1637</v>
      </c>
      <c r="H900" s="41" t="s">
        <v>1760</v>
      </c>
    </row>
    <row r="901" spans="1:8" ht="15">
      <c r="A901" s="38">
        <v>900</v>
      </c>
      <c r="B901" s="39">
        <v>12</v>
      </c>
      <c r="C901" s="40">
        <v>1</v>
      </c>
      <c r="D901" s="39">
        <v>301</v>
      </c>
      <c r="E901" s="38" t="str">
        <f t="shared" si="24"/>
        <v>24092050</v>
      </c>
      <c r="F901" s="38">
        <f t="shared" si="25"/>
        <v>0</v>
      </c>
      <c r="G901" s="41" t="s">
        <v>1637</v>
      </c>
      <c r="H901" s="41" t="s">
        <v>1761</v>
      </c>
    </row>
    <row r="902" spans="1:8" ht="15">
      <c r="A902" s="38">
        <v>901</v>
      </c>
      <c r="B902" s="39">
        <v>12</v>
      </c>
      <c r="C902" s="40">
        <v>1</v>
      </c>
      <c r="D902" s="39">
        <v>302</v>
      </c>
      <c r="E902" s="38" t="str">
        <f t="shared" si="24"/>
        <v>24092044</v>
      </c>
      <c r="F902" s="38">
        <f t="shared" si="25"/>
        <v>0</v>
      </c>
      <c r="G902" s="41" t="s">
        <v>1637</v>
      </c>
      <c r="H902" s="41" t="s">
        <v>1762</v>
      </c>
    </row>
    <row r="903" spans="1:8" ht="15">
      <c r="A903" s="38">
        <v>902</v>
      </c>
      <c r="B903" s="39">
        <v>12</v>
      </c>
      <c r="C903" s="40">
        <v>1</v>
      </c>
      <c r="D903" s="39">
        <v>303</v>
      </c>
      <c r="E903" s="38" t="str">
        <f t="shared" si="24"/>
        <v>24092049</v>
      </c>
      <c r="F903" s="38">
        <f t="shared" si="25"/>
        <v>0</v>
      </c>
      <c r="G903" s="41" t="s">
        <v>1637</v>
      </c>
      <c r="H903" s="41" t="s">
        <v>1763</v>
      </c>
    </row>
    <row r="904" spans="1:8" ht="15">
      <c r="A904" s="38">
        <v>903</v>
      </c>
      <c r="B904" s="39">
        <v>12</v>
      </c>
      <c r="C904" s="40">
        <v>1</v>
      </c>
      <c r="D904" s="39">
        <v>304</v>
      </c>
      <c r="E904" s="38" t="str">
        <f t="shared" si="24"/>
        <v>24092047</v>
      </c>
      <c r="F904" s="38">
        <f t="shared" si="25"/>
        <v>0</v>
      </c>
      <c r="G904" s="41" t="s">
        <v>1637</v>
      </c>
      <c r="H904" s="41" t="s">
        <v>1764</v>
      </c>
    </row>
    <row r="905" spans="1:8" ht="15">
      <c r="A905" s="38">
        <v>904</v>
      </c>
      <c r="B905" s="39">
        <v>12</v>
      </c>
      <c r="C905" s="40">
        <v>1</v>
      </c>
      <c r="D905" s="39">
        <v>201</v>
      </c>
      <c r="E905" s="38" t="str">
        <f t="shared" si="24"/>
        <v>24092046</v>
      </c>
      <c r="F905" s="38">
        <f t="shared" si="25"/>
        <v>0</v>
      </c>
      <c r="G905" s="41" t="s">
        <v>1637</v>
      </c>
      <c r="H905" s="41" t="s">
        <v>1765</v>
      </c>
    </row>
    <row r="906" spans="1:8" ht="15">
      <c r="A906" s="38">
        <v>905</v>
      </c>
      <c r="B906" s="39">
        <v>12</v>
      </c>
      <c r="C906" s="40">
        <v>1</v>
      </c>
      <c r="D906" s="39">
        <v>202</v>
      </c>
      <c r="E906" s="38" t="str">
        <f t="shared" si="24"/>
        <v>24092345</v>
      </c>
      <c r="F906" s="38">
        <f t="shared" si="25"/>
        <v>0</v>
      </c>
      <c r="G906" s="41" t="s">
        <v>1637</v>
      </c>
      <c r="H906" s="41" t="s">
        <v>1766</v>
      </c>
    </row>
    <row r="907" spans="1:8" ht="15">
      <c r="A907" s="38">
        <v>906</v>
      </c>
      <c r="B907" s="39">
        <v>12</v>
      </c>
      <c r="C907" s="40">
        <v>1</v>
      </c>
      <c r="D907" s="39">
        <v>203</v>
      </c>
      <c r="E907" s="38" t="str">
        <f t="shared" si="24"/>
        <v>24092045</v>
      </c>
      <c r="F907" s="38">
        <f t="shared" si="25"/>
        <v>0</v>
      </c>
      <c r="G907" s="41" t="s">
        <v>1637</v>
      </c>
      <c r="H907" s="41" t="s">
        <v>1767</v>
      </c>
    </row>
    <row r="908" spans="1:8" ht="15">
      <c r="A908" s="38">
        <v>907</v>
      </c>
      <c r="B908" s="39">
        <v>12</v>
      </c>
      <c r="C908" s="40">
        <v>1</v>
      </c>
      <c r="D908" s="39">
        <v>204</v>
      </c>
      <c r="E908" s="38" t="str">
        <f t="shared" si="24"/>
        <v>24092295</v>
      </c>
      <c r="F908" s="38">
        <f t="shared" si="25"/>
        <v>0</v>
      </c>
      <c r="G908" s="41" t="s">
        <v>1637</v>
      </c>
      <c r="H908" s="41" t="s">
        <v>1768</v>
      </c>
    </row>
    <row r="909" spans="1:8" ht="15">
      <c r="A909" s="38">
        <v>908</v>
      </c>
      <c r="B909" s="39">
        <v>12</v>
      </c>
      <c r="C909" s="40">
        <v>1</v>
      </c>
      <c r="D909" s="39">
        <v>101</v>
      </c>
      <c r="E909" s="38" t="str">
        <f t="shared" si="24"/>
        <v>24092533</v>
      </c>
      <c r="F909" s="38">
        <f t="shared" si="25"/>
        <v>0</v>
      </c>
      <c r="G909" s="41" t="s">
        <v>1637</v>
      </c>
      <c r="H909" s="41" t="s">
        <v>1769</v>
      </c>
    </row>
    <row r="910" spans="1:8" ht="15">
      <c r="A910" s="38">
        <v>909</v>
      </c>
      <c r="B910" s="39">
        <v>12</v>
      </c>
      <c r="C910" s="40">
        <v>1</v>
      </c>
      <c r="D910" s="39">
        <v>102</v>
      </c>
      <c r="E910" s="38" t="str">
        <f t="shared" si="24"/>
        <v>24092333</v>
      </c>
      <c r="F910" s="38">
        <f t="shared" si="25"/>
        <v>0</v>
      </c>
      <c r="G910" s="41" t="s">
        <v>1637</v>
      </c>
      <c r="H910" s="41" t="s">
        <v>1770</v>
      </c>
    </row>
    <row r="911" spans="1:8" ht="15">
      <c r="A911" s="38">
        <v>910</v>
      </c>
      <c r="B911" s="39">
        <v>12</v>
      </c>
      <c r="C911" s="40">
        <v>1</v>
      </c>
      <c r="D911" s="39">
        <v>103</v>
      </c>
      <c r="E911" s="38" t="str">
        <f t="shared" si="24"/>
        <v>24092023</v>
      </c>
      <c r="F911" s="38">
        <f t="shared" si="25"/>
        <v>0</v>
      </c>
      <c r="G911" s="41" t="s">
        <v>1637</v>
      </c>
      <c r="H911" s="41" t="s">
        <v>1771</v>
      </c>
    </row>
    <row r="912" spans="1:8" ht="15">
      <c r="A912" s="38">
        <v>911</v>
      </c>
      <c r="B912" s="39">
        <v>12</v>
      </c>
      <c r="C912" s="40">
        <v>1</v>
      </c>
      <c r="D912" s="42" t="s">
        <v>977</v>
      </c>
      <c r="E912" s="38" t="str">
        <f t="shared" si="24"/>
        <v>24092339</v>
      </c>
      <c r="F912" s="38" t="str">
        <f t="shared" si="25"/>
        <v>地下室</v>
      </c>
      <c r="G912" s="41" t="s">
        <v>1637</v>
      </c>
      <c r="H912" s="41" t="s">
        <v>1772</v>
      </c>
    </row>
    <row r="913" spans="1:8" ht="15">
      <c r="A913" s="38">
        <v>912</v>
      </c>
      <c r="B913" s="39">
        <v>12</v>
      </c>
      <c r="C913" s="40">
        <v>1</v>
      </c>
      <c r="D913" s="39">
        <v>2003</v>
      </c>
      <c r="E913" s="38" t="str">
        <f t="shared" si="24"/>
        <v>24091895</v>
      </c>
      <c r="F913" s="38">
        <f t="shared" si="25"/>
        <v>2</v>
      </c>
      <c r="G913" s="41" t="s">
        <v>1637</v>
      </c>
      <c r="H913" s="41" t="s">
        <v>1773</v>
      </c>
    </row>
    <row r="914" spans="1:8" ht="15">
      <c r="A914" s="38">
        <v>913</v>
      </c>
      <c r="B914" s="39">
        <v>12</v>
      </c>
      <c r="C914" s="40">
        <v>1</v>
      </c>
      <c r="D914" s="39">
        <v>2004</v>
      </c>
      <c r="E914" s="38" t="str">
        <f t="shared" si="24"/>
        <v>24091934</v>
      </c>
      <c r="F914" s="38">
        <f t="shared" si="25"/>
        <v>2</v>
      </c>
      <c r="G914" s="41" t="s">
        <v>1637</v>
      </c>
      <c r="H914" s="41" t="s">
        <v>1774</v>
      </c>
    </row>
    <row r="915" spans="1:8" ht="15">
      <c r="A915" s="38">
        <v>914</v>
      </c>
      <c r="B915" s="39">
        <v>12</v>
      </c>
      <c r="C915" s="40">
        <v>1</v>
      </c>
      <c r="D915" s="39">
        <v>1901</v>
      </c>
      <c r="E915" s="38" t="str">
        <f t="shared" si="24"/>
        <v>24091892</v>
      </c>
      <c r="F915" s="38">
        <f t="shared" si="25"/>
        <v>1</v>
      </c>
      <c r="G915" s="41" t="s">
        <v>1637</v>
      </c>
      <c r="H915" s="41" t="s">
        <v>1775</v>
      </c>
    </row>
    <row r="916" spans="1:8" ht="15">
      <c r="A916" s="38">
        <v>915</v>
      </c>
      <c r="B916" s="39">
        <v>12</v>
      </c>
      <c r="C916" s="40">
        <v>1</v>
      </c>
      <c r="D916" s="39">
        <v>1902</v>
      </c>
      <c r="E916" s="38" t="str">
        <f t="shared" si="24"/>
        <v>24092150</v>
      </c>
      <c r="F916" s="38">
        <f t="shared" si="25"/>
        <v>1</v>
      </c>
      <c r="G916" s="41" t="s">
        <v>1637</v>
      </c>
      <c r="H916" s="41" t="s">
        <v>1776</v>
      </c>
    </row>
    <row r="917" spans="1:8" ht="15">
      <c r="A917" s="38">
        <v>916</v>
      </c>
      <c r="B917" s="39">
        <v>12</v>
      </c>
      <c r="C917" s="40">
        <v>1</v>
      </c>
      <c r="D917" s="39">
        <v>1903</v>
      </c>
      <c r="E917" s="38" t="str">
        <f t="shared" si="24"/>
        <v>24091930</v>
      </c>
      <c r="F917" s="38">
        <f t="shared" si="25"/>
        <v>1</v>
      </c>
      <c r="G917" s="41" t="s">
        <v>1637</v>
      </c>
      <c r="H917" s="41" t="s">
        <v>1777</v>
      </c>
    </row>
    <row r="918" spans="1:8" ht="15">
      <c r="A918" s="38">
        <v>917</v>
      </c>
      <c r="B918" s="39">
        <v>12</v>
      </c>
      <c r="C918" s="40">
        <v>1</v>
      </c>
      <c r="D918" s="39">
        <v>1904</v>
      </c>
      <c r="E918" s="38" t="str">
        <f t="shared" si="24"/>
        <v>24091904</v>
      </c>
      <c r="F918" s="38">
        <f t="shared" si="25"/>
        <v>1</v>
      </c>
      <c r="G918" s="41" t="s">
        <v>1637</v>
      </c>
      <c r="H918" s="41" t="s">
        <v>1778</v>
      </c>
    </row>
    <row r="919" spans="1:8" ht="15">
      <c r="A919" s="38">
        <v>918</v>
      </c>
      <c r="B919" s="39">
        <v>12</v>
      </c>
      <c r="C919" s="40">
        <v>1</v>
      </c>
      <c r="D919" s="39">
        <v>1801</v>
      </c>
      <c r="E919" s="38" t="str">
        <f t="shared" si="24"/>
        <v>24092169</v>
      </c>
      <c r="F919" s="38">
        <f t="shared" si="25"/>
        <v>1</v>
      </c>
      <c r="G919" s="41" t="s">
        <v>1637</v>
      </c>
      <c r="H919" s="41" t="s">
        <v>1779</v>
      </c>
    </row>
    <row r="920" spans="1:8" ht="15">
      <c r="A920" s="38">
        <v>919</v>
      </c>
      <c r="B920" s="39">
        <v>12</v>
      </c>
      <c r="C920" s="40">
        <v>1</v>
      </c>
      <c r="D920" s="39">
        <v>1802</v>
      </c>
      <c r="E920" s="38" t="str">
        <f t="shared" si="24"/>
        <v>24092137</v>
      </c>
      <c r="F920" s="38">
        <f t="shared" si="25"/>
        <v>1</v>
      </c>
      <c r="G920" s="41" t="s">
        <v>1637</v>
      </c>
      <c r="H920" s="41" t="s">
        <v>1780</v>
      </c>
    </row>
    <row r="921" spans="1:8" ht="15">
      <c r="A921" s="38">
        <v>920</v>
      </c>
      <c r="B921" s="39">
        <v>12</v>
      </c>
      <c r="C921" s="40">
        <v>1</v>
      </c>
      <c r="D921" s="39">
        <v>1803</v>
      </c>
      <c r="E921" s="38" t="str">
        <f t="shared" si="24"/>
        <v>24092130</v>
      </c>
      <c r="F921" s="38">
        <f t="shared" si="25"/>
        <v>1</v>
      </c>
      <c r="G921" s="41" t="s">
        <v>1637</v>
      </c>
      <c r="H921" s="41" t="s">
        <v>1781</v>
      </c>
    </row>
    <row r="922" spans="1:8" ht="15">
      <c r="A922" s="38">
        <v>921</v>
      </c>
      <c r="B922" s="39">
        <v>12</v>
      </c>
      <c r="C922" s="40">
        <v>1</v>
      </c>
      <c r="D922" s="39">
        <v>1804</v>
      </c>
      <c r="E922" s="38" t="str">
        <f t="shared" si="24"/>
        <v>24092135</v>
      </c>
      <c r="F922" s="38">
        <f t="shared" si="25"/>
        <v>1</v>
      </c>
      <c r="G922" s="41" t="s">
        <v>1637</v>
      </c>
      <c r="H922" s="41" t="s">
        <v>1782</v>
      </c>
    </row>
    <row r="923" spans="1:8" ht="15">
      <c r="A923" s="38">
        <v>922</v>
      </c>
      <c r="B923" s="39">
        <v>12</v>
      </c>
      <c r="C923" s="40">
        <v>1</v>
      </c>
      <c r="D923" s="39">
        <v>1701</v>
      </c>
      <c r="E923" s="38" t="str">
        <f t="shared" si="24"/>
        <v>24092163</v>
      </c>
      <c r="F923" s="38">
        <f t="shared" si="25"/>
        <v>1</v>
      </c>
      <c r="G923" s="41" t="s">
        <v>1637</v>
      </c>
      <c r="H923" s="41" t="s">
        <v>1783</v>
      </c>
    </row>
    <row r="924" spans="1:8" ht="15">
      <c r="A924" s="38">
        <v>923</v>
      </c>
      <c r="B924" s="39">
        <v>12</v>
      </c>
      <c r="C924" s="40">
        <v>1</v>
      </c>
      <c r="D924" s="39">
        <v>1702</v>
      </c>
      <c r="E924" s="38" t="str">
        <f t="shared" si="24"/>
        <v>24091918</v>
      </c>
      <c r="F924" s="38">
        <f t="shared" si="25"/>
        <v>1</v>
      </c>
      <c r="G924" s="41" t="s">
        <v>1637</v>
      </c>
      <c r="H924" s="41" t="s">
        <v>1784</v>
      </c>
    </row>
    <row r="925" spans="1:8" ht="15">
      <c r="A925" s="38">
        <v>924</v>
      </c>
      <c r="B925" s="39">
        <v>12</v>
      </c>
      <c r="C925" s="40">
        <v>1</v>
      </c>
      <c r="D925" s="39">
        <v>1703</v>
      </c>
      <c r="E925" s="38" t="str">
        <f t="shared" si="24"/>
        <v>24092168</v>
      </c>
      <c r="F925" s="38">
        <f t="shared" si="25"/>
        <v>1</v>
      </c>
      <c r="G925" s="41" t="s">
        <v>1637</v>
      </c>
      <c r="H925" s="41" t="s">
        <v>1785</v>
      </c>
    </row>
    <row r="926" spans="1:8" ht="15">
      <c r="A926" s="38">
        <v>925</v>
      </c>
      <c r="B926" s="39">
        <v>12</v>
      </c>
      <c r="C926" s="40">
        <v>1</v>
      </c>
      <c r="D926" s="39">
        <v>1704</v>
      </c>
      <c r="E926" s="38" t="str">
        <f t="shared" si="24"/>
        <v>24092128</v>
      </c>
      <c r="F926" s="38">
        <f t="shared" si="25"/>
        <v>1</v>
      </c>
      <c r="G926" s="41" t="s">
        <v>1637</v>
      </c>
      <c r="H926" s="41" t="s">
        <v>1786</v>
      </c>
    </row>
    <row r="927" spans="1:8" ht="15">
      <c r="A927" s="38">
        <v>926</v>
      </c>
      <c r="B927" s="39">
        <v>12</v>
      </c>
      <c r="C927" s="40">
        <v>1</v>
      </c>
      <c r="D927" s="39">
        <v>1601</v>
      </c>
      <c r="E927" s="38" t="str">
        <f t="shared" si="24"/>
        <v>24092313</v>
      </c>
      <c r="F927" s="38">
        <f t="shared" si="25"/>
        <v>1</v>
      </c>
      <c r="G927" s="41" t="s">
        <v>1637</v>
      </c>
      <c r="H927" s="41" t="s">
        <v>1787</v>
      </c>
    </row>
    <row r="928" spans="1:8" ht="15">
      <c r="A928" s="38">
        <v>927</v>
      </c>
      <c r="B928" s="39">
        <v>12</v>
      </c>
      <c r="C928" s="40">
        <v>1</v>
      </c>
      <c r="D928" s="39">
        <v>1602</v>
      </c>
      <c r="E928" s="38" t="str">
        <f t="shared" si="24"/>
        <v>24091836</v>
      </c>
      <c r="F928" s="38">
        <f t="shared" si="25"/>
        <v>1</v>
      </c>
      <c r="G928" s="41" t="s">
        <v>1637</v>
      </c>
      <c r="H928" s="41" t="s">
        <v>1788</v>
      </c>
    </row>
    <row r="929" spans="1:8" ht="15">
      <c r="A929" s="38">
        <v>928</v>
      </c>
      <c r="B929" s="39">
        <v>12</v>
      </c>
      <c r="C929" s="40">
        <v>1</v>
      </c>
      <c r="D929" s="39">
        <v>1603</v>
      </c>
      <c r="E929" s="38" t="str">
        <f t="shared" si="24"/>
        <v>24091921</v>
      </c>
      <c r="F929" s="38">
        <f t="shared" si="25"/>
        <v>1</v>
      </c>
      <c r="G929" s="41" t="s">
        <v>1637</v>
      </c>
      <c r="H929" s="41" t="s">
        <v>1789</v>
      </c>
    </row>
    <row r="930" spans="1:8" ht="15">
      <c r="A930" s="38">
        <v>929</v>
      </c>
      <c r="B930" s="39">
        <v>12</v>
      </c>
      <c r="C930" s="40">
        <v>1</v>
      </c>
      <c r="D930" s="39">
        <v>1604</v>
      </c>
      <c r="E930" s="38" t="str">
        <f t="shared" si="24"/>
        <v>24092132</v>
      </c>
      <c r="F930" s="38">
        <f t="shared" si="25"/>
        <v>1</v>
      </c>
      <c r="G930" s="41" t="s">
        <v>1637</v>
      </c>
      <c r="H930" s="41" t="s">
        <v>1790</v>
      </c>
    </row>
    <row r="931" spans="1:8" ht="15">
      <c r="A931" s="38">
        <v>930</v>
      </c>
      <c r="B931" s="39">
        <v>12</v>
      </c>
      <c r="C931" s="40">
        <v>1</v>
      </c>
      <c r="D931" s="39">
        <v>1501</v>
      </c>
      <c r="E931" s="38" t="str">
        <f t="shared" si="24"/>
        <v>24092316</v>
      </c>
      <c r="F931" s="38">
        <f t="shared" si="25"/>
        <v>1</v>
      </c>
      <c r="G931" s="41" t="s">
        <v>1637</v>
      </c>
      <c r="H931" s="41" t="s">
        <v>1791</v>
      </c>
    </row>
    <row r="932" spans="1:8" ht="15">
      <c r="A932" s="38">
        <v>931</v>
      </c>
      <c r="B932" s="39">
        <v>12</v>
      </c>
      <c r="C932" s="40">
        <v>1</v>
      </c>
      <c r="D932" s="39">
        <v>1502</v>
      </c>
      <c r="E932" s="38" t="str">
        <f t="shared" si="24"/>
        <v>24092488</v>
      </c>
      <c r="F932" s="38">
        <f t="shared" si="25"/>
        <v>1</v>
      </c>
      <c r="G932" s="41" t="s">
        <v>1637</v>
      </c>
      <c r="H932" s="41" t="s">
        <v>1792</v>
      </c>
    </row>
    <row r="933" spans="1:8" ht="15">
      <c r="A933" s="38">
        <v>932</v>
      </c>
      <c r="B933" s="39">
        <v>12</v>
      </c>
      <c r="C933" s="40">
        <v>1</v>
      </c>
      <c r="D933" s="39">
        <v>1503</v>
      </c>
      <c r="E933" s="38" t="str">
        <f t="shared" si="24"/>
        <v>24092576</v>
      </c>
      <c r="F933" s="38">
        <f t="shared" si="25"/>
        <v>1</v>
      </c>
      <c r="G933" s="41" t="s">
        <v>1637</v>
      </c>
      <c r="H933" s="41" t="s">
        <v>1793</v>
      </c>
    </row>
    <row r="934" spans="1:8" ht="15">
      <c r="A934" s="38">
        <v>933</v>
      </c>
      <c r="B934" s="39">
        <v>12</v>
      </c>
      <c r="C934" s="40">
        <v>1</v>
      </c>
      <c r="D934" s="39">
        <v>1504</v>
      </c>
      <c r="E934" s="38" t="str">
        <f t="shared" si="24"/>
        <v>24092504</v>
      </c>
      <c r="F934" s="38">
        <f t="shared" si="25"/>
        <v>1</v>
      </c>
      <c r="G934" s="41" t="s">
        <v>1637</v>
      </c>
      <c r="H934" s="41" t="s">
        <v>1794</v>
      </c>
    </row>
    <row r="935" spans="1:8" ht="15">
      <c r="A935" s="38">
        <v>934</v>
      </c>
      <c r="B935" s="39">
        <v>12</v>
      </c>
      <c r="C935" s="40">
        <v>1</v>
      </c>
      <c r="D935" s="39">
        <v>1401</v>
      </c>
      <c r="E935" s="38" t="str">
        <f t="shared" si="24"/>
        <v>24092601</v>
      </c>
      <c r="F935" s="38">
        <f t="shared" si="25"/>
        <v>1</v>
      </c>
      <c r="G935" s="41" t="s">
        <v>1637</v>
      </c>
      <c r="H935" s="41" t="s">
        <v>1795</v>
      </c>
    </row>
    <row r="936" spans="1:8" ht="15">
      <c r="A936" s="38">
        <v>935</v>
      </c>
      <c r="B936" s="39">
        <v>12</v>
      </c>
      <c r="C936" s="40">
        <v>1</v>
      </c>
      <c r="D936" s="39">
        <v>1402</v>
      </c>
      <c r="E936" s="38" t="str">
        <f t="shared" si="24"/>
        <v>24092412</v>
      </c>
      <c r="F936" s="38">
        <f t="shared" si="25"/>
        <v>1</v>
      </c>
      <c r="G936" s="41" t="s">
        <v>1637</v>
      </c>
      <c r="H936" s="41" t="s">
        <v>1796</v>
      </c>
    </row>
    <row r="937" spans="1:8" ht="15">
      <c r="A937" s="38">
        <v>936</v>
      </c>
      <c r="B937" s="39">
        <v>12</v>
      </c>
      <c r="C937" s="40">
        <v>1</v>
      </c>
      <c r="D937" s="39">
        <v>1403</v>
      </c>
      <c r="E937" s="38" t="str">
        <f t="shared" si="24"/>
        <v>24092420</v>
      </c>
      <c r="F937" s="38">
        <f t="shared" si="25"/>
        <v>1</v>
      </c>
      <c r="G937" s="41" t="s">
        <v>1637</v>
      </c>
      <c r="H937" s="41" t="s">
        <v>1797</v>
      </c>
    </row>
    <row r="938" spans="1:8" ht="15">
      <c r="A938" s="38">
        <v>937</v>
      </c>
      <c r="B938" s="39">
        <v>12</v>
      </c>
      <c r="C938" s="40">
        <v>1</v>
      </c>
      <c r="D938" s="39">
        <v>1404</v>
      </c>
      <c r="E938" s="38" t="str">
        <f t="shared" si="24"/>
        <v>24092312</v>
      </c>
      <c r="F938" s="38">
        <f t="shared" si="25"/>
        <v>1</v>
      </c>
      <c r="G938" s="41" t="s">
        <v>1637</v>
      </c>
      <c r="H938" s="41" t="s">
        <v>1798</v>
      </c>
    </row>
    <row r="939" spans="1:8" ht="15">
      <c r="A939" s="38">
        <v>938</v>
      </c>
      <c r="B939" s="39">
        <v>12</v>
      </c>
      <c r="C939" s="40">
        <v>1</v>
      </c>
      <c r="D939" s="39">
        <v>1301</v>
      </c>
      <c r="E939" s="38" t="str">
        <f t="shared" si="24"/>
        <v>24091985</v>
      </c>
      <c r="F939" s="38">
        <f t="shared" si="25"/>
        <v>1</v>
      </c>
      <c r="G939" s="41" t="s">
        <v>1637</v>
      </c>
      <c r="H939" s="41" t="s">
        <v>1799</v>
      </c>
    </row>
    <row r="940" spans="1:8" ht="15">
      <c r="A940" s="38">
        <v>939</v>
      </c>
      <c r="B940" s="39">
        <v>12</v>
      </c>
      <c r="C940" s="40">
        <v>1</v>
      </c>
      <c r="D940" s="39">
        <v>1302</v>
      </c>
      <c r="E940" s="38" t="str">
        <f t="shared" si="24"/>
        <v>24091875</v>
      </c>
      <c r="F940" s="38">
        <f t="shared" si="25"/>
        <v>1</v>
      </c>
      <c r="G940" s="41" t="s">
        <v>1637</v>
      </c>
      <c r="H940" s="41" t="s">
        <v>1800</v>
      </c>
    </row>
    <row r="941" spans="1:8" ht="15">
      <c r="A941" s="38">
        <v>940</v>
      </c>
      <c r="B941" s="39">
        <v>12</v>
      </c>
      <c r="C941" s="40">
        <v>1</v>
      </c>
      <c r="D941" s="39">
        <v>1303</v>
      </c>
      <c r="E941" s="38" t="str">
        <f t="shared" si="24"/>
        <v>24092231</v>
      </c>
      <c r="F941" s="38">
        <f t="shared" si="25"/>
        <v>1</v>
      </c>
      <c r="G941" s="41" t="s">
        <v>1637</v>
      </c>
      <c r="H941" s="41" t="s">
        <v>1801</v>
      </c>
    </row>
    <row r="942" spans="1:8" ht="15">
      <c r="A942" s="38">
        <v>941</v>
      </c>
      <c r="B942" s="39">
        <v>12</v>
      </c>
      <c r="C942" s="40">
        <v>1</v>
      </c>
      <c r="D942" s="39">
        <v>1304</v>
      </c>
      <c r="E942" s="38" t="str">
        <f t="shared" si="24"/>
        <v>24091821</v>
      </c>
      <c r="F942" s="38">
        <f t="shared" si="25"/>
        <v>1</v>
      </c>
      <c r="G942" s="41" t="s">
        <v>1637</v>
      </c>
      <c r="H942" s="41" t="s">
        <v>1802</v>
      </c>
    </row>
    <row r="943" spans="1:8" ht="15">
      <c r="A943" s="38">
        <v>942</v>
      </c>
      <c r="B943" s="39">
        <v>12</v>
      </c>
      <c r="C943" s="40">
        <v>1</v>
      </c>
      <c r="D943" s="39">
        <v>1201</v>
      </c>
      <c r="E943" s="38" t="str">
        <f t="shared" si="24"/>
        <v>24091993</v>
      </c>
      <c r="F943" s="38">
        <f t="shared" si="25"/>
        <v>1</v>
      </c>
      <c r="G943" s="41" t="s">
        <v>1637</v>
      </c>
      <c r="H943" s="41" t="s">
        <v>1803</v>
      </c>
    </row>
    <row r="944" spans="1:8" ht="15">
      <c r="A944" s="38">
        <v>943</v>
      </c>
      <c r="B944" s="39">
        <v>12</v>
      </c>
      <c r="C944" s="40">
        <v>1</v>
      </c>
      <c r="D944" s="39">
        <v>1202</v>
      </c>
      <c r="E944" s="38" t="str">
        <f t="shared" si="24"/>
        <v>24092238</v>
      </c>
      <c r="F944" s="38">
        <f t="shared" si="25"/>
        <v>1</v>
      </c>
      <c r="G944" s="41" t="s">
        <v>1637</v>
      </c>
      <c r="H944" s="41" t="s">
        <v>1804</v>
      </c>
    </row>
    <row r="945" spans="1:8" ht="15">
      <c r="A945" s="38">
        <v>944</v>
      </c>
      <c r="B945" s="39">
        <v>12</v>
      </c>
      <c r="C945" s="40">
        <v>1</v>
      </c>
      <c r="D945" s="39">
        <v>1203</v>
      </c>
      <c r="E945" s="38" t="str">
        <f t="shared" si="24"/>
        <v>24092236</v>
      </c>
      <c r="F945" s="38">
        <f t="shared" si="25"/>
        <v>1</v>
      </c>
      <c r="G945" s="41" t="s">
        <v>1637</v>
      </c>
      <c r="H945" s="41" t="s">
        <v>1805</v>
      </c>
    </row>
    <row r="946" spans="1:8" ht="15">
      <c r="A946" s="38">
        <v>945</v>
      </c>
      <c r="B946" s="39">
        <v>12</v>
      </c>
      <c r="C946" s="40">
        <v>1</v>
      </c>
      <c r="D946" s="39">
        <v>1204</v>
      </c>
      <c r="E946" s="38" t="str">
        <f t="shared" si="24"/>
        <v>24091992</v>
      </c>
      <c r="F946" s="38">
        <f t="shared" si="25"/>
        <v>1</v>
      </c>
      <c r="G946" s="41" t="s">
        <v>1637</v>
      </c>
      <c r="H946" s="41" t="s">
        <v>1806</v>
      </c>
    </row>
    <row r="947" spans="1:8" ht="15">
      <c r="A947" s="38">
        <v>946</v>
      </c>
      <c r="B947" s="39">
        <v>12</v>
      </c>
      <c r="C947" s="40">
        <v>1</v>
      </c>
      <c r="D947" s="39">
        <v>1101</v>
      </c>
      <c r="E947" s="38" t="str">
        <f t="shared" si="24"/>
        <v>24092294</v>
      </c>
      <c r="F947" s="38">
        <f t="shared" si="25"/>
        <v>1</v>
      </c>
      <c r="G947" s="41" t="s">
        <v>1637</v>
      </c>
      <c r="H947" s="41" t="s">
        <v>1807</v>
      </c>
    </row>
    <row r="948" spans="1:8" ht="15">
      <c r="A948" s="38">
        <v>947</v>
      </c>
      <c r="B948" s="39">
        <v>12</v>
      </c>
      <c r="C948" s="40">
        <v>1</v>
      </c>
      <c r="D948" s="39">
        <v>1102</v>
      </c>
      <c r="E948" s="38" t="str">
        <f t="shared" si="24"/>
        <v>24092298</v>
      </c>
      <c r="F948" s="38">
        <f t="shared" si="25"/>
        <v>1</v>
      </c>
      <c r="G948" s="41" t="s">
        <v>1637</v>
      </c>
      <c r="H948" s="41" t="s">
        <v>1808</v>
      </c>
    </row>
    <row r="949" spans="1:8" ht="15">
      <c r="A949" s="38">
        <v>948</v>
      </c>
      <c r="B949" s="39">
        <v>12</v>
      </c>
      <c r="C949" s="40">
        <v>1</v>
      </c>
      <c r="D949" s="39">
        <v>1103</v>
      </c>
      <c r="E949" s="38" t="str">
        <f t="shared" si="24"/>
        <v>24091988</v>
      </c>
      <c r="F949" s="38">
        <f t="shared" si="25"/>
        <v>1</v>
      </c>
      <c r="G949" s="41" t="s">
        <v>1637</v>
      </c>
      <c r="H949" s="41" t="s">
        <v>1809</v>
      </c>
    </row>
    <row r="950" spans="1:8" ht="15">
      <c r="A950" s="38">
        <v>949</v>
      </c>
      <c r="B950" s="39">
        <v>12</v>
      </c>
      <c r="C950" s="40">
        <v>1</v>
      </c>
      <c r="D950" s="39">
        <v>1104</v>
      </c>
      <c r="E950" s="38" t="str">
        <f t="shared" si="24"/>
        <v>24092063</v>
      </c>
      <c r="F950" s="38">
        <f t="shared" si="25"/>
        <v>1</v>
      </c>
      <c r="G950" s="41" t="s">
        <v>1637</v>
      </c>
      <c r="H950" s="41" t="s">
        <v>1810</v>
      </c>
    </row>
    <row r="951" spans="1:8" ht="15">
      <c r="A951" s="38">
        <v>950</v>
      </c>
      <c r="B951" s="39">
        <v>12</v>
      </c>
      <c r="C951" s="40">
        <v>1</v>
      </c>
      <c r="D951" s="39">
        <v>1001</v>
      </c>
      <c r="E951" s="38" t="str">
        <f t="shared" si="24"/>
        <v>24092378</v>
      </c>
      <c r="F951" s="38">
        <f t="shared" si="25"/>
        <v>1</v>
      </c>
      <c r="G951" s="41" t="s">
        <v>1637</v>
      </c>
      <c r="H951" s="41" t="s">
        <v>1811</v>
      </c>
    </row>
    <row r="952" spans="1:8" ht="15">
      <c r="A952" s="38">
        <v>951</v>
      </c>
      <c r="B952" s="39">
        <v>12</v>
      </c>
      <c r="C952" s="40">
        <v>1</v>
      </c>
      <c r="D952" s="39">
        <v>1002</v>
      </c>
      <c r="E952" s="38" t="str">
        <f t="shared" si="24"/>
        <v>24092374</v>
      </c>
      <c r="F952" s="38">
        <f t="shared" si="25"/>
        <v>1</v>
      </c>
      <c r="G952" s="41" t="s">
        <v>1637</v>
      </c>
      <c r="H952" s="41" t="s">
        <v>1812</v>
      </c>
    </row>
    <row r="953" spans="1:8" ht="15">
      <c r="A953" s="38">
        <v>952</v>
      </c>
      <c r="B953" s="39">
        <v>12</v>
      </c>
      <c r="C953" s="40">
        <v>1</v>
      </c>
      <c r="D953" s="39">
        <v>1003</v>
      </c>
      <c r="E953" s="38" t="str">
        <f t="shared" si="24"/>
        <v>24091868</v>
      </c>
      <c r="F953" s="38">
        <f t="shared" si="25"/>
        <v>1</v>
      </c>
      <c r="G953" s="41" t="s">
        <v>1637</v>
      </c>
      <c r="H953" s="41" t="s">
        <v>1813</v>
      </c>
    </row>
    <row r="954" spans="1:8" ht="15">
      <c r="A954" s="38">
        <v>953</v>
      </c>
      <c r="B954" s="39">
        <v>12</v>
      </c>
      <c r="C954" s="40">
        <v>1</v>
      </c>
      <c r="D954" s="39">
        <v>1004</v>
      </c>
      <c r="E954" s="38" t="str">
        <f t="shared" si="24"/>
        <v>24092637</v>
      </c>
      <c r="F954" s="38">
        <f t="shared" si="25"/>
        <v>1</v>
      </c>
      <c r="G954" s="41" t="s">
        <v>1637</v>
      </c>
      <c r="H954" s="41" t="s">
        <v>1814</v>
      </c>
    </row>
    <row r="955" spans="1:8" ht="15">
      <c r="A955" s="38">
        <v>954</v>
      </c>
      <c r="B955" s="39">
        <v>12</v>
      </c>
      <c r="C955" s="40">
        <v>1</v>
      </c>
      <c r="D955" s="39">
        <v>901</v>
      </c>
      <c r="E955" s="38" t="str">
        <f t="shared" si="24"/>
        <v>24092659</v>
      </c>
      <c r="F955" s="38">
        <f t="shared" si="25"/>
        <v>0</v>
      </c>
      <c r="G955" s="41" t="s">
        <v>1637</v>
      </c>
      <c r="H955" s="41" t="s">
        <v>1815</v>
      </c>
    </row>
    <row r="956" spans="1:8" ht="15">
      <c r="A956" s="38">
        <v>955</v>
      </c>
      <c r="B956" s="39">
        <v>12</v>
      </c>
      <c r="C956" s="40">
        <v>1</v>
      </c>
      <c r="D956" s="39">
        <v>902</v>
      </c>
      <c r="E956" s="38" t="str">
        <f t="shared" si="24"/>
        <v>24092468</v>
      </c>
      <c r="F956" s="38">
        <f t="shared" si="25"/>
        <v>0</v>
      </c>
      <c r="G956" s="41" t="s">
        <v>1637</v>
      </c>
      <c r="H956" s="41" t="s">
        <v>1816</v>
      </c>
    </row>
    <row r="957" spans="1:8" ht="15">
      <c r="A957" s="38">
        <v>956</v>
      </c>
      <c r="B957" s="39">
        <v>12</v>
      </c>
      <c r="C957" s="40">
        <v>1</v>
      </c>
      <c r="D957" s="39">
        <v>903</v>
      </c>
      <c r="E957" s="38" t="str">
        <f t="shared" si="24"/>
        <v>24092291</v>
      </c>
      <c r="F957" s="38">
        <f t="shared" si="25"/>
        <v>0</v>
      </c>
      <c r="G957" s="41" t="s">
        <v>1637</v>
      </c>
      <c r="H957" s="41" t="s">
        <v>1817</v>
      </c>
    </row>
    <row r="958" spans="1:8" ht="15">
      <c r="A958" s="38">
        <v>957</v>
      </c>
      <c r="B958" s="39">
        <v>12</v>
      </c>
      <c r="C958" s="40">
        <v>1</v>
      </c>
      <c r="D958" s="39">
        <v>904</v>
      </c>
      <c r="E958" s="38" t="str">
        <f t="shared" ref="E958:E982" si="26">G958&amp;H958</f>
        <v>24092392</v>
      </c>
      <c r="F958" s="38">
        <f t="shared" si="25"/>
        <v>0</v>
      </c>
      <c r="G958" s="41" t="s">
        <v>1637</v>
      </c>
      <c r="H958" s="41" t="s">
        <v>1818</v>
      </c>
    </row>
    <row r="959" spans="1:8" ht="15">
      <c r="A959" s="38">
        <v>958</v>
      </c>
      <c r="B959" s="39">
        <v>12</v>
      </c>
      <c r="C959" s="40">
        <v>1</v>
      </c>
      <c r="D959" s="39">
        <v>801</v>
      </c>
      <c r="E959" s="38" t="str">
        <f t="shared" si="26"/>
        <v>24092651</v>
      </c>
      <c r="F959" s="38">
        <f t="shared" si="25"/>
        <v>0</v>
      </c>
      <c r="G959" s="41" t="s">
        <v>1637</v>
      </c>
      <c r="H959" s="41" t="s">
        <v>1819</v>
      </c>
    </row>
    <row r="960" spans="1:8" ht="15">
      <c r="A960" s="38">
        <v>959</v>
      </c>
      <c r="B960" s="39">
        <v>12</v>
      </c>
      <c r="C960" s="40">
        <v>1</v>
      </c>
      <c r="D960" s="39">
        <v>802</v>
      </c>
      <c r="E960" s="38" t="str">
        <f t="shared" si="26"/>
        <v>24092589</v>
      </c>
      <c r="F960" s="38">
        <f t="shared" si="25"/>
        <v>0</v>
      </c>
      <c r="G960" s="41" t="s">
        <v>1637</v>
      </c>
      <c r="H960" s="41" t="s">
        <v>1820</v>
      </c>
    </row>
    <row r="961" spans="1:8" ht="15">
      <c r="A961" s="38">
        <v>960</v>
      </c>
      <c r="B961" s="39">
        <v>12</v>
      </c>
      <c r="C961" s="40">
        <v>1</v>
      </c>
      <c r="D961" s="39">
        <v>803</v>
      </c>
      <c r="E961" s="38" t="str">
        <f t="shared" si="26"/>
        <v>24092388</v>
      </c>
      <c r="F961" s="38">
        <f t="shared" si="25"/>
        <v>0</v>
      </c>
      <c r="G961" s="41" t="s">
        <v>1637</v>
      </c>
      <c r="H961" s="41" t="s">
        <v>1821</v>
      </c>
    </row>
    <row r="962" spans="1:8" ht="15">
      <c r="A962" s="38">
        <v>961</v>
      </c>
      <c r="B962" s="39">
        <v>12</v>
      </c>
      <c r="C962" s="40">
        <v>1</v>
      </c>
      <c r="D962" s="39">
        <v>804</v>
      </c>
      <c r="E962" s="38" t="str">
        <f t="shared" si="26"/>
        <v>24092615</v>
      </c>
      <c r="F962" s="38">
        <f t="shared" si="25"/>
        <v>0</v>
      </c>
      <c r="G962" s="41" t="s">
        <v>1637</v>
      </c>
      <c r="H962" s="41" t="s">
        <v>1822</v>
      </c>
    </row>
    <row r="963" spans="1:8" ht="15">
      <c r="A963" s="38">
        <v>962</v>
      </c>
      <c r="B963" s="39">
        <v>12</v>
      </c>
      <c r="C963" s="40">
        <v>1</v>
      </c>
      <c r="D963" s="39">
        <v>701</v>
      </c>
      <c r="E963" s="38" t="str">
        <f t="shared" si="26"/>
        <v>24092385</v>
      </c>
      <c r="F963" s="38">
        <f t="shared" ref="F963:F982" si="27">IFERROR(IF(VALUE(LEFT(D963,LEN(D963)-2))&lt;10,0,IF(VALUE(LEFT(D963,LEN(D963)-2))&lt;20,1,2)),D963)</f>
        <v>0</v>
      </c>
      <c r="G963" s="41" t="s">
        <v>1637</v>
      </c>
      <c r="H963" s="41" t="s">
        <v>1823</v>
      </c>
    </row>
    <row r="964" spans="1:8" ht="15">
      <c r="A964" s="38">
        <v>963</v>
      </c>
      <c r="B964" s="39">
        <v>12</v>
      </c>
      <c r="C964" s="40">
        <v>1</v>
      </c>
      <c r="D964" s="39">
        <v>702</v>
      </c>
      <c r="E964" s="38" t="str">
        <f t="shared" si="26"/>
        <v>24092641</v>
      </c>
      <c r="F964" s="38">
        <f t="shared" si="27"/>
        <v>0</v>
      </c>
      <c r="G964" s="41" t="s">
        <v>1637</v>
      </c>
      <c r="H964" s="41" t="s">
        <v>1824</v>
      </c>
    </row>
    <row r="965" spans="1:8" ht="15">
      <c r="A965" s="38">
        <v>964</v>
      </c>
      <c r="B965" s="39">
        <v>12</v>
      </c>
      <c r="C965" s="40">
        <v>1</v>
      </c>
      <c r="D965" s="39">
        <v>703</v>
      </c>
      <c r="E965" s="38" t="str">
        <f t="shared" si="26"/>
        <v>24091841</v>
      </c>
      <c r="F965" s="38">
        <f t="shared" si="27"/>
        <v>0</v>
      </c>
      <c r="G965" s="41" t="s">
        <v>1637</v>
      </c>
      <c r="H965" s="41" t="s">
        <v>1825</v>
      </c>
    </row>
    <row r="966" spans="1:8" ht="15">
      <c r="A966" s="38">
        <v>965</v>
      </c>
      <c r="B966" s="39">
        <v>12</v>
      </c>
      <c r="C966" s="40">
        <v>1</v>
      </c>
      <c r="D966" s="39">
        <v>704</v>
      </c>
      <c r="E966" s="38" t="str">
        <f t="shared" si="26"/>
        <v>24092409</v>
      </c>
      <c r="F966" s="38">
        <f t="shared" si="27"/>
        <v>0</v>
      </c>
      <c r="G966" s="41" t="s">
        <v>1637</v>
      </c>
      <c r="H966" s="41" t="s">
        <v>885</v>
      </c>
    </row>
    <row r="967" spans="1:8" ht="15">
      <c r="A967" s="38">
        <v>966</v>
      </c>
      <c r="B967" s="39">
        <v>12</v>
      </c>
      <c r="C967" s="40">
        <v>1</v>
      </c>
      <c r="D967" s="39">
        <v>601</v>
      </c>
      <c r="E967" s="38" t="str">
        <f t="shared" si="26"/>
        <v>24092537</v>
      </c>
      <c r="F967" s="38">
        <f t="shared" si="27"/>
        <v>0</v>
      </c>
      <c r="G967" s="41" t="s">
        <v>1637</v>
      </c>
      <c r="H967" s="41" t="s">
        <v>1826</v>
      </c>
    </row>
    <row r="968" spans="1:8" ht="15">
      <c r="A968" s="38">
        <v>967</v>
      </c>
      <c r="B968" s="39">
        <v>12</v>
      </c>
      <c r="C968" s="40">
        <v>1</v>
      </c>
      <c r="D968" s="39">
        <v>602</v>
      </c>
      <c r="E968" s="38" t="str">
        <f t="shared" si="26"/>
        <v>24092660</v>
      </c>
      <c r="F968" s="38">
        <f t="shared" si="27"/>
        <v>0</v>
      </c>
      <c r="G968" s="41" t="s">
        <v>1637</v>
      </c>
      <c r="H968" s="41" t="s">
        <v>1827</v>
      </c>
    </row>
    <row r="969" spans="1:8" ht="15">
      <c r="A969" s="38">
        <v>968</v>
      </c>
      <c r="B969" s="39">
        <v>12</v>
      </c>
      <c r="C969" s="40">
        <v>1</v>
      </c>
      <c r="D969" s="39">
        <v>2301</v>
      </c>
      <c r="E969" s="38" t="str">
        <f t="shared" si="26"/>
        <v>24092104</v>
      </c>
      <c r="F969" s="38">
        <f t="shared" si="27"/>
        <v>2</v>
      </c>
      <c r="G969" s="41" t="s">
        <v>1637</v>
      </c>
      <c r="H969" s="41" t="s">
        <v>1828</v>
      </c>
    </row>
    <row r="970" spans="1:8" ht="15">
      <c r="A970" s="38">
        <v>969</v>
      </c>
      <c r="B970" s="39">
        <v>12</v>
      </c>
      <c r="C970" s="40">
        <v>1</v>
      </c>
      <c r="D970" s="39">
        <v>2302</v>
      </c>
      <c r="E970" s="38" t="str">
        <f t="shared" si="26"/>
        <v>24092097</v>
      </c>
      <c r="F970" s="38">
        <f t="shared" si="27"/>
        <v>2</v>
      </c>
      <c r="G970" s="41" t="s">
        <v>1637</v>
      </c>
      <c r="H970" s="41" t="s">
        <v>1829</v>
      </c>
    </row>
    <row r="971" spans="1:8" ht="15">
      <c r="A971" s="38">
        <v>970</v>
      </c>
      <c r="B971" s="39">
        <v>12</v>
      </c>
      <c r="C971" s="40">
        <v>1</v>
      </c>
      <c r="D971" s="39">
        <v>2303</v>
      </c>
      <c r="E971" s="38" t="str">
        <f t="shared" si="26"/>
        <v>24092019</v>
      </c>
      <c r="F971" s="38">
        <f t="shared" si="27"/>
        <v>2</v>
      </c>
      <c r="G971" s="41" t="s">
        <v>1637</v>
      </c>
      <c r="H971" s="41" t="s">
        <v>1830</v>
      </c>
    </row>
    <row r="972" spans="1:8" ht="15">
      <c r="A972" s="38">
        <v>971</v>
      </c>
      <c r="B972" s="39">
        <v>12</v>
      </c>
      <c r="C972" s="40">
        <v>1</v>
      </c>
      <c r="D972" s="39">
        <v>2304</v>
      </c>
      <c r="E972" s="38" t="str">
        <f t="shared" si="26"/>
        <v>24092043</v>
      </c>
      <c r="F972" s="38">
        <f t="shared" si="27"/>
        <v>2</v>
      </c>
      <c r="G972" s="41" t="s">
        <v>1637</v>
      </c>
      <c r="H972" s="41" t="s">
        <v>1831</v>
      </c>
    </row>
    <row r="973" spans="1:8" ht="15">
      <c r="A973" s="38">
        <v>972</v>
      </c>
      <c r="B973" s="39">
        <v>12</v>
      </c>
      <c r="C973" s="40">
        <v>1</v>
      </c>
      <c r="D973" s="39">
        <v>2201</v>
      </c>
      <c r="E973" s="38" t="str">
        <f t="shared" si="26"/>
        <v>24092429</v>
      </c>
      <c r="F973" s="38">
        <f t="shared" si="27"/>
        <v>2</v>
      </c>
      <c r="G973" s="41" t="s">
        <v>1637</v>
      </c>
      <c r="H973" s="41" t="s">
        <v>1832</v>
      </c>
    </row>
    <row r="974" spans="1:8" ht="15">
      <c r="A974" s="38">
        <v>973</v>
      </c>
      <c r="B974" s="39">
        <v>12</v>
      </c>
      <c r="C974" s="40">
        <v>1</v>
      </c>
      <c r="D974" s="39">
        <v>2202</v>
      </c>
      <c r="E974" s="38" t="str">
        <f t="shared" si="26"/>
        <v>24092520</v>
      </c>
      <c r="F974" s="38">
        <f t="shared" si="27"/>
        <v>2</v>
      </c>
      <c r="G974" s="41" t="s">
        <v>1637</v>
      </c>
      <c r="H974" s="41" t="s">
        <v>1833</v>
      </c>
    </row>
    <row r="975" spans="1:8" ht="15">
      <c r="A975" s="38">
        <v>974</v>
      </c>
      <c r="B975" s="39">
        <v>12</v>
      </c>
      <c r="C975" s="40">
        <v>1</v>
      </c>
      <c r="D975" s="39">
        <v>2203</v>
      </c>
      <c r="E975" s="38" t="str">
        <f t="shared" si="26"/>
        <v>24092616</v>
      </c>
      <c r="F975" s="38">
        <f t="shared" si="27"/>
        <v>2</v>
      </c>
      <c r="G975" s="41" t="s">
        <v>1637</v>
      </c>
      <c r="H975" s="41" t="s">
        <v>1834</v>
      </c>
    </row>
    <row r="976" spans="1:8" ht="15">
      <c r="A976" s="38">
        <v>975</v>
      </c>
      <c r="B976" s="39">
        <v>12</v>
      </c>
      <c r="C976" s="40">
        <v>1</v>
      </c>
      <c r="D976" s="39">
        <v>2204</v>
      </c>
      <c r="E976" s="38" t="str">
        <f t="shared" si="26"/>
        <v>24092423</v>
      </c>
      <c r="F976" s="38">
        <f t="shared" si="27"/>
        <v>2</v>
      </c>
      <c r="G976" s="41" t="s">
        <v>1637</v>
      </c>
      <c r="H976" s="41" t="s">
        <v>1835</v>
      </c>
    </row>
    <row r="977" spans="1:8" ht="15">
      <c r="A977" s="38">
        <v>976</v>
      </c>
      <c r="B977" s="39">
        <v>12</v>
      </c>
      <c r="C977" s="40">
        <v>1</v>
      </c>
      <c r="D977" s="39">
        <v>2101</v>
      </c>
      <c r="E977" s="38" t="str">
        <f t="shared" si="26"/>
        <v>24092115</v>
      </c>
      <c r="F977" s="38">
        <f t="shared" si="27"/>
        <v>2</v>
      </c>
      <c r="G977" s="41" t="s">
        <v>1637</v>
      </c>
      <c r="H977" s="41" t="s">
        <v>1836</v>
      </c>
    </row>
    <row r="978" spans="1:8" ht="15">
      <c r="A978" s="38">
        <v>977</v>
      </c>
      <c r="B978" s="39">
        <v>12</v>
      </c>
      <c r="C978" s="40">
        <v>1</v>
      </c>
      <c r="D978" s="39">
        <v>2102</v>
      </c>
      <c r="E978" s="38" t="str">
        <f t="shared" si="26"/>
        <v>24091824</v>
      </c>
      <c r="F978" s="38">
        <f t="shared" si="27"/>
        <v>2</v>
      </c>
      <c r="G978" s="41" t="s">
        <v>1637</v>
      </c>
      <c r="H978" s="41" t="s">
        <v>1837</v>
      </c>
    </row>
    <row r="979" spans="1:8" ht="15">
      <c r="A979" s="38">
        <v>978</v>
      </c>
      <c r="B979" s="39">
        <v>12</v>
      </c>
      <c r="C979" s="40">
        <v>1</v>
      </c>
      <c r="D979" s="39">
        <v>2103</v>
      </c>
      <c r="E979" s="38" t="str">
        <f t="shared" si="26"/>
        <v>24092141</v>
      </c>
      <c r="F979" s="38">
        <f t="shared" si="27"/>
        <v>2</v>
      </c>
      <c r="G979" s="41" t="s">
        <v>1637</v>
      </c>
      <c r="H979" s="41" t="s">
        <v>1838</v>
      </c>
    </row>
    <row r="980" spans="1:8" ht="15">
      <c r="A980" s="38">
        <v>979</v>
      </c>
      <c r="B980" s="39">
        <v>12</v>
      </c>
      <c r="C980" s="40">
        <v>1</v>
      </c>
      <c r="D980" s="39">
        <v>2104</v>
      </c>
      <c r="E980" s="38" t="str">
        <f t="shared" si="26"/>
        <v>24091929</v>
      </c>
      <c r="F980" s="38">
        <f t="shared" si="27"/>
        <v>2</v>
      </c>
      <c r="G980" s="41" t="s">
        <v>1637</v>
      </c>
      <c r="H980" s="41" t="s">
        <v>1839</v>
      </c>
    </row>
    <row r="981" spans="1:8" ht="15">
      <c r="A981" s="38">
        <v>980</v>
      </c>
      <c r="B981" s="39">
        <v>12</v>
      </c>
      <c r="C981" s="40">
        <v>1</v>
      </c>
      <c r="D981" s="39">
        <v>2001</v>
      </c>
      <c r="E981" s="38" t="str">
        <f t="shared" si="26"/>
        <v>24101897</v>
      </c>
      <c r="F981" s="38">
        <f t="shared" si="27"/>
        <v>2</v>
      </c>
      <c r="G981" s="41" t="s">
        <v>1840</v>
      </c>
      <c r="H981" s="41" t="s">
        <v>1841</v>
      </c>
    </row>
    <row r="982" spans="1:8" ht="15">
      <c r="A982" s="38">
        <v>981</v>
      </c>
      <c r="B982" s="39">
        <v>12</v>
      </c>
      <c r="C982" s="40">
        <v>1</v>
      </c>
      <c r="D982" s="39">
        <v>2002</v>
      </c>
      <c r="E982" s="38" t="str">
        <f t="shared" si="26"/>
        <v>24112147</v>
      </c>
      <c r="F982" s="38">
        <f t="shared" si="27"/>
        <v>2</v>
      </c>
      <c r="G982" s="41" t="s">
        <v>1842</v>
      </c>
      <c r="H982" s="41" t="s">
        <v>1843</v>
      </c>
    </row>
  </sheetData>
  <phoneticPr fontId="6" type="noConversion"/>
  <conditionalFormatting sqref="D1">
    <cfRule type="duplicateValues" dxfId="1" priority="1"/>
  </conditionalFormatting>
  <conditionalFormatting sqref="E1:E104857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用户信息</vt:lpstr>
      <vt:lpstr>住户仪表信息导出</vt:lpstr>
      <vt:lpstr>用户信息function</vt:lpstr>
      <vt:lpstr>住户仪表信息导出 (function)</vt:lpstr>
      <vt:lpstr>数据库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53226</dc:creator>
  <cp:lastModifiedBy>choulei</cp:lastModifiedBy>
  <dcterms:created xsi:type="dcterms:W3CDTF">2021-12-29T04:09:00Z</dcterms:created>
  <dcterms:modified xsi:type="dcterms:W3CDTF">2024-11-15T08:32:20Z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9013668F4AEB47B4B0C3BB7859823347</vt:lpwstr>
  </property>
  <property fmtid="{D5CDD505-2E9C-101B-9397-08002B2CF9AE}" pid="3" name="KSOProductBuildVer">
    <vt:lpwstr>2052-12.1.0.17147</vt:lpwstr>
  </property>
</Properties>
</file>