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git_room\C_Quiz\"/>
    </mc:Choice>
  </mc:AlternateContent>
  <xr:revisionPtr revIDLastSave="0" documentId="13_ncr:1_{85DBCE3A-8B5F-46EE-9725-E97E32BF5EA8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USBconfig" sheetId="1" r:id="rId1"/>
    <sheet name="AT指令表" sheetId="3" r:id="rId2"/>
    <sheet name="AT指令代码格式" sheetId="4" r:id="rId3"/>
    <sheet name="代码输出" sheetId="5" r:id="rId4"/>
  </sheets>
  <functionGroups builtInGroupCount="19"/>
  <definedNames>
    <definedName name="_xlnm._FilterDatabase" localSheetId="1" hidden="1">AT指令表!$F$1:$F$29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" i="3" l="1"/>
  <c r="I6" i="3"/>
  <c r="I7" i="3"/>
  <c r="I8" i="3"/>
  <c r="I9" i="3"/>
  <c r="I10" i="3"/>
  <c r="I11" i="3"/>
  <c r="I12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" i="3"/>
  <c r="I4" i="3"/>
  <c r="C2" i="4"/>
  <c r="C3" i="4" s="1"/>
  <c r="A34" i="4"/>
  <c r="A35" i="4"/>
  <c r="A36" i="4"/>
  <c r="A37" i="4"/>
  <c r="A38" i="4"/>
  <c r="A39" i="4"/>
  <c r="A40" i="4"/>
  <c r="A41" i="4"/>
  <c r="A42" i="4"/>
  <c r="A43" i="4"/>
  <c r="A44" i="4"/>
  <c r="A45" i="4"/>
  <c r="I100" i="3"/>
  <c r="I99" i="3"/>
  <c r="I98" i="3"/>
  <c r="I97" i="3"/>
  <c r="I96" i="3"/>
  <c r="I95" i="3"/>
  <c r="I94" i="3"/>
  <c r="I93" i="3"/>
  <c r="I92" i="3"/>
  <c r="I91" i="3"/>
  <c r="I90" i="3"/>
  <c r="I89" i="3"/>
  <c r="I88" i="3"/>
  <c r="I87" i="3"/>
  <c r="I86" i="3"/>
  <c r="I85" i="3"/>
  <c r="I84" i="3"/>
  <c r="I83" i="3"/>
  <c r="I82" i="3"/>
  <c r="I81" i="3"/>
  <c r="I80" i="3"/>
  <c r="I79" i="3"/>
  <c r="I78" i="3"/>
  <c r="I77" i="3"/>
  <c r="I76" i="3"/>
  <c r="I75" i="3"/>
  <c r="I74" i="3"/>
  <c r="I73" i="3"/>
  <c r="I72" i="3"/>
  <c r="I71" i="3"/>
  <c r="I70" i="3"/>
  <c r="I69" i="3"/>
  <c r="I68" i="3"/>
  <c r="I67" i="3"/>
  <c r="I66" i="3"/>
  <c r="I65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2" i="3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D4" i="1"/>
  <c r="D16" i="1"/>
  <c r="D28" i="1"/>
  <c r="D10" i="1"/>
  <c r="D13" i="1"/>
  <c r="D27" i="1"/>
  <c r="D5" i="1"/>
  <c r="D17" i="1"/>
  <c r="D29" i="1"/>
  <c r="D22" i="1"/>
  <c r="D24" i="1"/>
  <c r="D14" i="1"/>
  <c r="D6" i="1"/>
  <c r="D18" i="1"/>
  <c r="D30" i="1"/>
  <c r="D21" i="1"/>
  <c r="D12" i="1"/>
  <c r="D26" i="1"/>
  <c r="D7" i="1"/>
  <c r="D19" i="1"/>
  <c r="D31" i="1"/>
  <c r="D33" i="1"/>
  <c r="D11" i="1"/>
  <c r="D25" i="1"/>
  <c r="D15" i="1"/>
  <c r="D8" i="1"/>
  <c r="D20" i="1"/>
  <c r="D32" i="1"/>
  <c r="D9" i="1"/>
  <c r="D23" i="1"/>
  <c r="D3" i="1"/>
  <c r="D2" i="1"/>
  <c r="D3" i="4" l="1"/>
  <c r="I3" i="4"/>
  <c r="J3" i="4"/>
  <c r="C4" i="4"/>
  <c r="J4" i="4" s="1"/>
  <c r="H3" i="4"/>
  <c r="E3" i="4"/>
  <c r="B2" i="4"/>
  <c r="D2" i="4"/>
  <c r="J2" i="4"/>
  <c r="I2" i="4"/>
  <c r="H2" i="4"/>
  <c r="E2" i="4"/>
  <c r="D1" i="1"/>
  <c r="C5" i="4" l="1"/>
  <c r="D5" i="4" s="1"/>
  <c r="D4" i="4"/>
  <c r="E4" i="4"/>
  <c r="H4" i="4"/>
  <c r="I4" i="4"/>
  <c r="K2" i="4"/>
  <c r="B2" i="5" s="1"/>
  <c r="B3" i="4"/>
  <c r="A3" i="5" s="1"/>
  <c r="A2" i="5"/>
  <c r="C6" i="4" l="1"/>
  <c r="H6" i="4" s="1"/>
  <c r="J5" i="4"/>
  <c r="E5" i="4"/>
  <c r="H5" i="4"/>
  <c r="I5" i="4"/>
  <c r="B4" i="4"/>
  <c r="A4" i="5" s="1"/>
  <c r="K3" i="4"/>
  <c r="B3" i="5" s="1"/>
  <c r="D6" i="4" l="1"/>
  <c r="E6" i="4"/>
  <c r="C7" i="4"/>
  <c r="E7" i="4" s="1"/>
  <c r="J6" i="4"/>
  <c r="I6" i="4"/>
  <c r="B5" i="4"/>
  <c r="A5" i="5" s="1"/>
  <c r="K4" i="4"/>
  <c r="B4" i="5" s="1"/>
  <c r="C8" i="4" l="1"/>
  <c r="I7" i="4"/>
  <c r="H7" i="4"/>
  <c r="D7" i="4"/>
  <c r="J7" i="4"/>
  <c r="B6" i="4"/>
  <c r="A6" i="5" s="1"/>
  <c r="K5" i="4"/>
  <c r="B5" i="5" s="1"/>
  <c r="D8" i="4"/>
  <c r="I8" i="4"/>
  <c r="E8" i="4"/>
  <c r="H8" i="4"/>
  <c r="J8" i="4"/>
  <c r="C9" i="4"/>
  <c r="C10" i="4" l="1"/>
  <c r="D9" i="4"/>
  <c r="I9" i="4"/>
  <c r="J9" i="4"/>
  <c r="E9" i="4"/>
  <c r="H9" i="4"/>
  <c r="B7" i="4"/>
  <c r="A7" i="5" s="1"/>
  <c r="K6" i="4"/>
  <c r="B6" i="5" s="1"/>
  <c r="B8" i="4" l="1"/>
  <c r="A8" i="5" s="1"/>
  <c r="K7" i="4"/>
  <c r="B7" i="5" s="1"/>
  <c r="E10" i="4"/>
  <c r="D10" i="4"/>
  <c r="I10" i="4"/>
  <c r="J10" i="4"/>
  <c r="H10" i="4"/>
  <c r="C11" i="4"/>
  <c r="I11" i="4" l="1"/>
  <c r="C12" i="4"/>
  <c r="J11" i="4"/>
  <c r="D11" i="4"/>
  <c r="E11" i="4"/>
  <c r="H11" i="4"/>
  <c r="B9" i="4"/>
  <c r="A9" i="5" s="1"/>
  <c r="K8" i="4"/>
  <c r="B8" i="5" s="1"/>
  <c r="B10" i="4" l="1"/>
  <c r="A10" i="5" s="1"/>
  <c r="K9" i="4"/>
  <c r="B9" i="5" s="1"/>
  <c r="E12" i="4"/>
  <c r="H12" i="4"/>
  <c r="D12" i="4"/>
  <c r="J12" i="4"/>
  <c r="I12" i="4"/>
  <c r="C13" i="4"/>
  <c r="E13" i="4" l="1"/>
  <c r="J13" i="4"/>
  <c r="H13" i="4"/>
  <c r="I13" i="4"/>
  <c r="C14" i="4"/>
  <c r="D13" i="4"/>
  <c r="B11" i="4"/>
  <c r="A11" i="5" s="1"/>
  <c r="K10" i="4"/>
  <c r="B10" i="5" s="1"/>
  <c r="C15" i="4" l="1"/>
  <c r="D14" i="4"/>
  <c r="J14" i="4"/>
  <c r="H14" i="4"/>
  <c r="I14" i="4"/>
  <c r="E14" i="4"/>
  <c r="B12" i="4"/>
  <c r="A12" i="5" s="1"/>
  <c r="K11" i="4"/>
  <c r="B11" i="5" s="1"/>
  <c r="B13" i="4" l="1"/>
  <c r="A13" i="5" s="1"/>
  <c r="K12" i="4"/>
  <c r="B12" i="5" s="1"/>
  <c r="H15" i="4"/>
  <c r="D15" i="4"/>
  <c r="E15" i="4"/>
  <c r="J15" i="4"/>
  <c r="I15" i="4"/>
  <c r="C16" i="4"/>
  <c r="J16" i="4" l="1"/>
  <c r="C17" i="4"/>
  <c r="D16" i="4"/>
  <c r="H16" i="4"/>
  <c r="I16" i="4"/>
  <c r="E16" i="4"/>
  <c r="B14" i="4"/>
  <c r="A14" i="5" s="1"/>
  <c r="K13" i="4"/>
  <c r="B13" i="5" s="1"/>
  <c r="B15" i="4" l="1"/>
  <c r="A15" i="5" s="1"/>
  <c r="K14" i="4"/>
  <c r="B14" i="5" s="1"/>
  <c r="D17" i="4"/>
  <c r="H17" i="4"/>
  <c r="I17" i="4"/>
  <c r="E17" i="4"/>
  <c r="C18" i="4"/>
  <c r="J17" i="4"/>
  <c r="H18" i="4" l="1"/>
  <c r="I18" i="4"/>
  <c r="J18" i="4"/>
  <c r="C19" i="4"/>
  <c r="E18" i="4"/>
  <c r="D18" i="4"/>
  <c r="B16" i="4"/>
  <c r="A16" i="5" s="1"/>
  <c r="K15" i="4"/>
  <c r="B15" i="5" s="1"/>
  <c r="B17" i="4" l="1"/>
  <c r="A17" i="5" s="1"/>
  <c r="K16" i="4"/>
  <c r="B16" i="5" s="1"/>
  <c r="E19" i="4"/>
  <c r="D19" i="4"/>
  <c r="H19" i="4"/>
  <c r="I19" i="4"/>
  <c r="J19" i="4"/>
  <c r="C20" i="4"/>
  <c r="D20" i="4" l="1"/>
  <c r="I20" i="4"/>
  <c r="E20" i="4"/>
  <c r="H20" i="4"/>
  <c r="C21" i="4"/>
  <c r="J20" i="4"/>
  <c r="B18" i="4"/>
  <c r="A18" i="5" s="1"/>
  <c r="K17" i="4"/>
  <c r="B17" i="5" s="1"/>
  <c r="B19" i="4" l="1"/>
  <c r="A19" i="5" s="1"/>
  <c r="K18" i="4"/>
  <c r="B18" i="5" s="1"/>
  <c r="C22" i="4"/>
  <c r="D21" i="4"/>
  <c r="E21" i="4"/>
  <c r="H21" i="4"/>
  <c r="I21" i="4"/>
  <c r="J21" i="4"/>
  <c r="E22" i="4" l="1"/>
  <c r="D22" i="4"/>
  <c r="I22" i="4"/>
  <c r="H22" i="4"/>
  <c r="J22" i="4"/>
  <c r="C23" i="4"/>
  <c r="B20" i="4"/>
  <c r="A20" i="5" s="1"/>
  <c r="K19" i="4"/>
  <c r="B19" i="5" s="1"/>
  <c r="B21" i="4" l="1"/>
  <c r="A21" i="5" s="1"/>
  <c r="K20" i="4"/>
  <c r="B20" i="5" s="1"/>
  <c r="I23" i="4"/>
  <c r="C24" i="4"/>
  <c r="J23" i="4"/>
  <c r="D23" i="4"/>
  <c r="E23" i="4"/>
  <c r="H23" i="4"/>
  <c r="H24" i="4" l="1"/>
  <c r="E24" i="4"/>
  <c r="D24" i="4"/>
  <c r="I24" i="4"/>
  <c r="C25" i="4"/>
  <c r="J24" i="4"/>
  <c r="B22" i="4"/>
  <c r="A22" i="5" s="1"/>
  <c r="K21" i="4"/>
  <c r="B21" i="5" s="1"/>
  <c r="E25" i="4" l="1"/>
  <c r="J25" i="4"/>
  <c r="H25" i="4"/>
  <c r="I25" i="4"/>
  <c r="C26" i="4"/>
  <c r="D25" i="4"/>
  <c r="B23" i="4"/>
  <c r="A23" i="5" s="1"/>
  <c r="K22" i="4"/>
  <c r="B22" i="5" s="1"/>
  <c r="B24" i="4" l="1"/>
  <c r="A24" i="5" s="1"/>
  <c r="K23" i="4"/>
  <c r="B23" i="5" s="1"/>
  <c r="C27" i="4"/>
  <c r="D26" i="4"/>
  <c r="H26" i="4"/>
  <c r="J26" i="4"/>
  <c r="E26" i="4"/>
  <c r="I26" i="4"/>
  <c r="B25" i="4" l="1"/>
  <c r="A25" i="5" s="1"/>
  <c r="K24" i="4"/>
  <c r="B24" i="5" s="1"/>
  <c r="H27" i="4"/>
  <c r="D27" i="4"/>
  <c r="E27" i="4"/>
  <c r="J27" i="4"/>
  <c r="I27" i="4"/>
  <c r="C28" i="4"/>
  <c r="J28" i="4" l="1"/>
  <c r="C29" i="4"/>
  <c r="D28" i="4"/>
  <c r="E28" i="4"/>
  <c r="I28" i="4"/>
  <c r="H28" i="4"/>
  <c r="B26" i="4"/>
  <c r="A26" i="5" s="1"/>
  <c r="K25" i="4"/>
  <c r="B25" i="5" s="1"/>
  <c r="B27" i="4" l="1"/>
  <c r="A27" i="5" s="1"/>
  <c r="K26" i="4"/>
  <c r="B26" i="5" s="1"/>
  <c r="I29" i="4"/>
  <c r="H29" i="4"/>
  <c r="D29" i="4"/>
  <c r="E29" i="4"/>
  <c r="J29" i="4"/>
  <c r="C30" i="4"/>
  <c r="H30" i="4" l="1"/>
  <c r="I30" i="4"/>
  <c r="J30" i="4"/>
  <c r="C31" i="4"/>
  <c r="E30" i="4"/>
  <c r="D30" i="4"/>
  <c r="B28" i="4"/>
  <c r="A28" i="5" s="1"/>
  <c r="K27" i="4"/>
  <c r="B27" i="5" s="1"/>
  <c r="B29" i="4" l="1"/>
  <c r="A29" i="5" s="1"/>
  <c r="K28" i="4"/>
  <c r="B28" i="5" s="1"/>
  <c r="D31" i="4"/>
  <c r="E31" i="4"/>
  <c r="I31" i="4"/>
  <c r="J31" i="4"/>
  <c r="C32" i="4"/>
  <c r="H31" i="4"/>
  <c r="D32" i="4" l="1"/>
  <c r="I32" i="4"/>
  <c r="E32" i="4"/>
  <c r="H32" i="4"/>
  <c r="C33" i="4"/>
  <c r="J32" i="4"/>
  <c r="B30" i="4"/>
  <c r="A30" i="5" s="1"/>
  <c r="K29" i="4"/>
  <c r="B29" i="5" s="1"/>
  <c r="B31" i="4" l="1"/>
  <c r="A31" i="5" s="1"/>
  <c r="K30" i="4"/>
  <c r="B30" i="5" s="1"/>
  <c r="C34" i="4"/>
  <c r="E33" i="4"/>
  <c r="H33" i="4"/>
  <c r="D33" i="4"/>
  <c r="I33" i="4"/>
  <c r="J33" i="4"/>
  <c r="E34" i="4" l="1"/>
  <c r="J34" i="4"/>
  <c r="D34" i="4"/>
  <c r="I34" i="4"/>
  <c r="H34" i="4"/>
  <c r="C35" i="4"/>
  <c r="B32" i="4"/>
  <c r="A32" i="5" s="1"/>
  <c r="K31" i="4"/>
  <c r="B31" i="5" s="1"/>
  <c r="I35" i="4" l="1"/>
  <c r="C36" i="4"/>
  <c r="J35" i="4"/>
  <c r="E35" i="4"/>
  <c r="H35" i="4"/>
  <c r="D35" i="4"/>
  <c r="B33" i="4"/>
  <c r="A33" i="5" s="1"/>
  <c r="K32" i="4"/>
  <c r="B32" i="5" s="1"/>
  <c r="B34" i="4" l="1"/>
  <c r="A34" i="5" s="1"/>
  <c r="K33" i="4"/>
  <c r="B33" i="5" s="1"/>
  <c r="E36" i="4"/>
  <c r="H36" i="4"/>
  <c r="D36" i="4"/>
  <c r="I36" i="4"/>
  <c r="J36" i="4"/>
  <c r="C37" i="4"/>
  <c r="E37" i="4" l="1"/>
  <c r="J37" i="4"/>
  <c r="H37" i="4"/>
  <c r="I37" i="4"/>
  <c r="C38" i="4"/>
  <c r="D37" i="4"/>
  <c r="B35" i="4"/>
  <c r="A35" i="5" s="1"/>
  <c r="K34" i="4"/>
  <c r="B34" i="5" s="1"/>
  <c r="B36" i="4" l="1"/>
  <c r="A36" i="5" s="1"/>
  <c r="K35" i="4"/>
  <c r="B35" i="5" s="1"/>
  <c r="C39" i="4"/>
  <c r="D38" i="4"/>
  <c r="J38" i="4"/>
  <c r="E38" i="4"/>
  <c r="H38" i="4"/>
  <c r="I38" i="4"/>
  <c r="H39" i="4" l="1"/>
  <c r="D39" i="4"/>
  <c r="E39" i="4"/>
  <c r="J39" i="4"/>
  <c r="I39" i="4"/>
  <c r="C40" i="4"/>
  <c r="B37" i="4"/>
  <c r="A37" i="5" s="1"/>
  <c r="K36" i="4"/>
  <c r="B36" i="5" s="1"/>
  <c r="J40" i="4" l="1"/>
  <c r="C41" i="4"/>
  <c r="D40" i="4"/>
  <c r="E40" i="4"/>
  <c r="H40" i="4"/>
  <c r="I40" i="4"/>
  <c r="B38" i="4"/>
  <c r="A38" i="5" s="1"/>
  <c r="K37" i="4"/>
  <c r="B37" i="5" s="1"/>
  <c r="B39" i="4" l="1"/>
  <c r="A39" i="5" s="1"/>
  <c r="K38" i="4"/>
  <c r="B38" i="5" s="1"/>
  <c r="D41" i="4"/>
  <c r="H41" i="4"/>
  <c r="E41" i="4"/>
  <c r="I41" i="4"/>
  <c r="J41" i="4"/>
  <c r="C42" i="4"/>
  <c r="H42" i="4" l="1"/>
  <c r="I42" i="4"/>
  <c r="J42" i="4"/>
  <c r="C43" i="4"/>
  <c r="D42" i="4"/>
  <c r="E42" i="4"/>
  <c r="B40" i="4"/>
  <c r="A40" i="5" s="1"/>
  <c r="K39" i="4"/>
  <c r="B39" i="5" s="1"/>
  <c r="B41" i="4" l="1"/>
  <c r="A41" i="5" s="1"/>
  <c r="K40" i="4"/>
  <c r="B40" i="5" s="1"/>
  <c r="D43" i="4"/>
  <c r="E43" i="4"/>
  <c r="I43" i="4"/>
  <c r="J43" i="4"/>
  <c r="C44" i="4"/>
  <c r="H43" i="4"/>
  <c r="D44" i="4" l="1"/>
  <c r="I44" i="4"/>
  <c r="E44" i="4"/>
  <c r="H44" i="4"/>
  <c r="J44" i="4"/>
  <c r="C45" i="4"/>
  <c r="B42" i="4"/>
  <c r="A42" i="5" s="1"/>
  <c r="K41" i="4"/>
  <c r="B41" i="5" s="1"/>
  <c r="B43" i="4" l="1"/>
  <c r="A43" i="5" s="1"/>
  <c r="K42" i="4"/>
  <c r="B42" i="5" s="1"/>
  <c r="D45" i="4"/>
  <c r="E45" i="4"/>
  <c r="H45" i="4"/>
  <c r="I45" i="4"/>
  <c r="J45" i="4"/>
  <c r="B44" i="4" l="1"/>
  <c r="A44" i="5" s="1"/>
  <c r="K43" i="4"/>
  <c r="B43" i="5" s="1"/>
  <c r="B45" i="4" l="1"/>
  <c r="K44" i="4"/>
  <c r="B44" i="5" s="1"/>
  <c r="K45" i="4" l="1"/>
  <c r="B45" i="5" s="1"/>
  <c r="A45" i="5"/>
</calcChain>
</file>

<file path=xl/sharedStrings.xml><?xml version="1.0" encoding="utf-8"?>
<sst xmlns="http://schemas.openxmlformats.org/spreadsheetml/2006/main" count="691" uniqueCount="276">
  <si>
    <t>打开回显</t>
    <phoneticPr fontId="1" type="noConversion"/>
  </si>
  <si>
    <t>AT+IPR=9600</t>
    <phoneticPr fontId="1" type="noConversion"/>
  </si>
  <si>
    <t>设置波特率</t>
    <phoneticPr fontId="1" type="noConversion"/>
  </si>
  <si>
    <t>AT+SGSW</t>
    <phoneticPr fontId="1" type="noConversion"/>
  </si>
  <si>
    <t>获取版本信息</t>
    <phoneticPr fontId="1" type="noConversion"/>
  </si>
  <si>
    <t>AT+CGSN</t>
    <phoneticPr fontId="1" type="noConversion"/>
  </si>
  <si>
    <t>AT+CSCON?</t>
    <phoneticPr fontId="1" type="noConversion"/>
  </si>
  <si>
    <t>信令连接状态</t>
    <phoneticPr fontId="1" type="noConversion"/>
  </si>
  <si>
    <t>AT+CSQ</t>
    <phoneticPr fontId="1" type="noConversion"/>
  </si>
  <si>
    <t>获取信号质量</t>
    <phoneticPr fontId="1" type="noConversion"/>
  </si>
  <si>
    <t>AT+CESQ</t>
    <phoneticPr fontId="1" type="noConversion"/>
  </si>
  <si>
    <t>获得扩展的信号质量</t>
    <phoneticPr fontId="1" type="noConversion"/>
  </si>
  <si>
    <t>AT+CPIN?</t>
    <phoneticPr fontId="1" type="noConversion"/>
  </si>
  <si>
    <t>识别sm卡</t>
    <phoneticPr fontId="1" type="noConversion"/>
  </si>
  <si>
    <t>AT+CIMI</t>
    <phoneticPr fontId="1" type="noConversion"/>
  </si>
  <si>
    <t>获得SIM卡的IMSI</t>
    <phoneticPr fontId="1" type="noConversion"/>
  </si>
  <si>
    <t>AT+ECICCID</t>
    <phoneticPr fontId="1" type="noConversion"/>
  </si>
  <si>
    <t>获取CCID</t>
    <phoneticPr fontId="1" type="noConversion"/>
  </si>
  <si>
    <t>设置APN（PDP）</t>
    <phoneticPr fontId="1" type="noConversion"/>
  </si>
  <si>
    <t>AT+CGDCONT?</t>
    <phoneticPr fontId="1" type="noConversion"/>
  </si>
  <si>
    <t>查询设置APN（PDP）</t>
    <phoneticPr fontId="1" type="noConversion"/>
  </si>
  <si>
    <t>AT+CGPADDR</t>
    <phoneticPr fontId="1" type="noConversion"/>
  </si>
  <si>
    <t>显示PDP地址</t>
    <phoneticPr fontId="1" type="noConversion"/>
  </si>
  <si>
    <t>AT+CFUN=1</t>
    <phoneticPr fontId="1" type="noConversion"/>
  </si>
  <si>
    <t>开启射频</t>
    <phoneticPr fontId="1" type="noConversion"/>
  </si>
  <si>
    <t>AT+CGATT=1</t>
    <phoneticPr fontId="1" type="noConversion"/>
  </si>
  <si>
    <t>设置附着网络</t>
    <phoneticPr fontId="1" type="noConversion"/>
  </si>
  <si>
    <t>AT+CGATT?</t>
    <phoneticPr fontId="1" type="noConversion"/>
  </si>
  <si>
    <t>查询附着网络（查70s）</t>
    <phoneticPr fontId="1" type="noConversion"/>
  </si>
  <si>
    <t>AT+NMGR</t>
    <phoneticPr fontId="1" type="noConversion"/>
  </si>
  <si>
    <t>获取下行数据</t>
    <phoneticPr fontId="1" type="noConversion"/>
  </si>
  <si>
    <t>返回当前日期和时间</t>
    <phoneticPr fontId="1" type="noConversion"/>
  </si>
  <si>
    <t>设置 MQTT 3.1.1 版本</t>
    <phoneticPr fontId="1" type="noConversion"/>
  </si>
  <si>
    <t>关闭 MQTT 回显</t>
    <phoneticPr fontId="1" type="noConversion"/>
  </si>
  <si>
    <t>设置发送接收的都是文本</t>
    <phoneticPr fontId="1" type="noConversion"/>
  </si>
  <si>
    <t>设置心跳</t>
    <phoneticPr fontId="1" type="noConversion"/>
  </si>
  <si>
    <t>设置服务器在断开连接后不保留客户端信息</t>
    <phoneticPr fontId="1" type="noConversion"/>
  </si>
  <si>
    <t>打开客户端连接</t>
    <phoneticPr fontId="1" type="noConversion"/>
  </si>
  <si>
    <t>AT+ECMTCLOSE=0</t>
    <phoneticPr fontId="1" type="noConversion"/>
  </si>
  <si>
    <t>关闭 MQTT 客户端</t>
    <phoneticPr fontId="1" type="noConversion"/>
  </si>
  <si>
    <t>订阅Topic</t>
    <phoneticPr fontId="1" type="noConversion"/>
  </si>
  <si>
    <t>取消订阅</t>
    <phoneticPr fontId="1" type="noConversion"/>
  </si>
  <si>
    <t>发布消息</t>
    <phoneticPr fontId="1" type="noConversion"/>
  </si>
  <si>
    <t>AT+CCLK?</t>
    <phoneticPr fontId="1" type="noConversion"/>
  </si>
  <si>
    <t>ATE1</t>
    <phoneticPr fontId="1" type="noConversion"/>
  </si>
  <si>
    <t>登录连接服务器</t>
    <phoneticPr fontId="1" type="noConversion"/>
  </si>
  <si>
    <t>请求产品序列号IMEI</t>
    <phoneticPr fontId="1" type="noConversion"/>
  </si>
  <si>
    <t>AT+SKTCREATE=1,1,6</t>
    <phoneticPr fontId="1" type="noConversion"/>
  </si>
  <si>
    <t>创建socket</t>
    <phoneticPr fontId="1" type="noConversion"/>
  </si>
  <si>
    <t>AT+CFUN=0</t>
    <phoneticPr fontId="1" type="noConversion"/>
  </si>
  <si>
    <t>关闭射频</t>
    <phoneticPr fontId="1" type="noConversion"/>
  </si>
  <si>
    <t>AT+SKTDELETE=1</t>
    <phoneticPr fontId="1" type="noConversion"/>
  </si>
  <si>
    <t>删除socket</t>
    <phoneticPr fontId="1" type="noConversion"/>
  </si>
  <si>
    <t>//获取下行数据</t>
  </si>
  <si>
    <t>easyATCmdDataDoingFun</t>
    <phoneticPr fontId="1" type="noConversion"/>
  </si>
  <si>
    <t>easyATCmdDataLoadFun</t>
    <phoneticPr fontId="1" type="noConversion"/>
  </si>
  <si>
    <t>false</t>
  </si>
  <si>
    <t>"+OK"</t>
  </si>
  <si>
    <t>//关闭 MQTT 客户端</t>
  </si>
  <si>
    <t>//取消订阅</t>
  </si>
  <si>
    <t>//发布消息</t>
  </si>
  <si>
    <t>//订阅Topic</t>
  </si>
  <si>
    <t>//登录连接服务器</t>
  </si>
  <si>
    <t>//打开客户端连接</t>
  </si>
  <si>
    <t>//返回当前日期和时间</t>
  </si>
  <si>
    <t>//显示PDP地址</t>
  </si>
  <si>
    <t>//查询设置APN（PDP）</t>
  </si>
  <si>
    <t>//设置APN（PDP）</t>
  </si>
  <si>
    <t>//创建socket</t>
  </si>
  <si>
    <t>//删除socket</t>
  </si>
  <si>
    <t>//获取CCID</t>
  </si>
  <si>
    <t>//获得SIM卡的IMSI</t>
  </si>
  <si>
    <t>//识别sm卡</t>
  </si>
  <si>
    <t>//获得扩展的信号质量</t>
  </si>
  <si>
    <t>//获取信号质量</t>
  </si>
  <si>
    <t>//信令连接状态</t>
  </si>
  <si>
    <t>//查询附着网络（查70s）</t>
  </si>
  <si>
    <t>//设置附着网络</t>
  </si>
  <si>
    <t>//开启射频</t>
  </si>
  <si>
    <t>//设置服务器在断开连接后不保留客户端信息</t>
  </si>
  <si>
    <t>//设置心跳</t>
  </si>
  <si>
    <t>//设置发送接收的都是文本</t>
  </si>
  <si>
    <t>//关闭 MQTT 回显</t>
  </si>
  <si>
    <t>//设置 MQTT 3.1.1 版本</t>
  </si>
  <si>
    <t>//请求产品序列号IMEI</t>
  </si>
  <si>
    <t>//获取版本信息</t>
  </si>
  <si>
    <t>//设置波特率</t>
  </si>
  <si>
    <t>//打开回显</t>
  </si>
  <si>
    <t>//关闭射频</t>
  </si>
  <si>
    <t>含义</t>
    <phoneticPr fontId="1" type="noConversion"/>
  </si>
  <si>
    <t>实际指令顺序</t>
    <phoneticPr fontId="1" type="noConversion"/>
  </si>
  <si>
    <t>启用标记</t>
    <phoneticPr fontId="1" type="noConversion"/>
  </si>
  <si>
    <t>receiveFun</t>
    <phoneticPr fontId="1" type="noConversion"/>
  </si>
  <si>
    <t>sendFun</t>
    <phoneticPr fontId="1" type="noConversion"/>
  </si>
  <si>
    <t>是否等待
上位机回复</t>
    <phoneticPr fontId="1" type="noConversion"/>
  </si>
  <si>
    <t>回复</t>
    <phoneticPr fontId="1" type="noConversion"/>
  </si>
  <si>
    <t>SML130 指令表</t>
    <phoneticPr fontId="1" type="noConversion"/>
  </si>
  <si>
    <t>//查询BOOT版本</t>
  </si>
  <si>
    <t>AT+BTVER</t>
  </si>
  <si>
    <t>//查询模块MAC</t>
  </si>
  <si>
    <t>AT+MAC</t>
  </si>
  <si>
    <t>//恢复出场参数</t>
    <phoneticPr fontId="1" type="noConversion"/>
  </si>
  <si>
    <t>AT+CLEAR</t>
  </si>
  <si>
    <t>//恢复模块设置为默认参数</t>
  </si>
  <si>
    <t>AT+RELD</t>
  </si>
  <si>
    <t>//恢复设备出场设置</t>
    <phoneticPr fontId="1" type="noConversion"/>
  </si>
  <si>
    <t>AT+REBOOT</t>
  </si>
  <si>
    <t>//查看帮助</t>
  </si>
  <si>
    <t>AT+H</t>
  </si>
  <si>
    <t>//查询/设置连接前是否清理串口缓存</t>
  </si>
  <si>
    <t>AT+UARTCLBUF=ON</t>
  </si>
  <si>
    <t>//查询/设置WebSocket的方向</t>
  </si>
  <si>
    <t>AT+WEBPOINT=OFF</t>
  </si>
  <si>
    <t>//查询/设置WebSocket端口号</t>
  </si>
  <si>
    <t>AT+WEBSOCKPORT1=6432</t>
  </si>
  <si>
    <t>//查询/设置模块名称</t>
  </si>
  <si>
    <t>AT+MID=NJHY</t>
  </si>
  <si>
    <t>//设置/查询MQTT的客户端私钥</t>
  </si>
  <si>
    <t>AT+TLSCERMQTTCPK</t>
  </si>
  <si>
    <t>//设置/查询MQTT的客户端证书</t>
  </si>
  <si>
    <t>AT+TLSCERMQTTCER</t>
  </si>
  <si>
    <t>//设置/查询MQTT的服务器根证书</t>
  </si>
  <si>
    <t>AT+TLSCERMQTTCA</t>
  </si>
  <si>
    <t>//查询/设置MQTT的预置订阅主题信息</t>
  </si>
  <si>
    <t>setMQTTMassageSUBFun</t>
  </si>
  <si>
    <t>AT+MQTTSUB=1,ON,hy/gw/get/02345678903,0,0,&amp;#44,3</t>
    <phoneticPr fontId="1" type="noConversion"/>
  </si>
  <si>
    <t>//查询/设置MQTT的预置发布主题信息</t>
  </si>
  <si>
    <t>setMQTTMassagePUBFun</t>
  </si>
  <si>
    <t>AT+MQTTPUB=1,ON,hy/gw/set/02345678903,0,MY_PUB,0,OFF,3</t>
    <phoneticPr fontId="1" type="noConversion"/>
  </si>
  <si>
    <t>//查询/设置MQTT主题发布自定义模式</t>
  </si>
  <si>
    <t>AT+MQTTPUBCUSEN=OFF</t>
    <phoneticPr fontId="1" type="noConversion"/>
  </si>
  <si>
    <t>//查询/设置MQTT的SSL加密</t>
  </si>
  <si>
    <t>AT+MQTTSSL=OFF</t>
  </si>
  <si>
    <t>//查询/设置MQTT遗言信息</t>
  </si>
  <si>
    <t>AT+MQTTLWTCFG==/will,0,ON,offline</t>
  </si>
  <si>
    <t>//查询/设置MQTT遗言状态</t>
  </si>
  <si>
    <t>AT+MQTTLWTEN=ON</t>
  </si>
  <si>
    <t>//查询/设置MQTT用户密码</t>
  </si>
  <si>
    <t>setUserAndPassWordDataLoadFun</t>
  </si>
  <si>
    <t>AT+MQTTPSW=ql</t>
    <phoneticPr fontId="1" type="noConversion"/>
  </si>
  <si>
    <t>//查询/设置MQTT用户名</t>
  </si>
  <si>
    <t>AT+MQTTUSER=ql</t>
    <phoneticPr fontId="1" type="noConversion"/>
  </si>
  <si>
    <t>//查询/设置MQTT连接验证开启状态</t>
  </si>
  <si>
    <t>AT+MQTTAUTH=ON</t>
    <phoneticPr fontId="1" type="noConversion"/>
  </si>
  <si>
    <t>//查询/设置MQTT清理会话功能</t>
  </si>
  <si>
    <t>AT+MQTTCS=OFF</t>
  </si>
  <si>
    <t>//查询/设置MQTT无数据重连时间</t>
  </si>
  <si>
    <t>AT+MQTTNDTRECTM=0</t>
  </si>
  <si>
    <t>//查询/设置MQTT重连等待时间</t>
  </si>
  <si>
    <t>AT+MQTTRECTM=30</t>
  </si>
  <si>
    <t>//查询/设置MQTT心跳时间</t>
  </si>
  <si>
    <t>AT+MQTTHEARTTM=60</t>
  </si>
  <si>
    <t>//查询/设置MQTTsocket连接本地端口号</t>
  </si>
  <si>
    <t>AT+MQTTLPORT=0</t>
    <phoneticPr fontId="1" type="noConversion"/>
  </si>
  <si>
    <t>//查询/设置MQTT网关功能的服务器IP地址，端口号</t>
  </si>
  <si>
    <t>setRemoteIPDataLoadFun</t>
  </si>
  <si>
    <t>AT+MQTTSER=59.110.170.225,1883</t>
    <phoneticPr fontId="1" type="noConversion"/>
  </si>
  <si>
    <t>//查询/设置MQTT客户端ID</t>
  </si>
  <si>
    <t>setMQTTUserIDDataLoadFun</t>
  </si>
  <si>
    <t>AT+MQTTCID=HY_QL</t>
    <phoneticPr fontId="1" type="noConversion"/>
  </si>
  <si>
    <t>//查询/设置MQTT协议版本号</t>
  </si>
  <si>
    <t>AT+MQTTVER</t>
  </si>
  <si>
    <t>//查询/设置MQTT网关功能状态</t>
  </si>
  <si>
    <t>AT+MQTTEN=ON</t>
    <phoneticPr fontId="1" type="noConversion"/>
  </si>
  <si>
    <t>//设置/查询N号串口的socket客户端私钥</t>
  </si>
  <si>
    <t>AT+TLSCERPORTCPKN</t>
  </si>
  <si>
    <t>//设置/查询N号串口的socket客户端证书</t>
  </si>
  <si>
    <t>AT+TLSCERPORTCERN</t>
  </si>
  <si>
    <t>//设置/查询N号串口的socket服务器根证书</t>
  </si>
  <si>
    <t>AT+TLSCERPORTCAN</t>
  </si>
  <si>
    <t>//查询/设置N号串口的Socket的SSL加密功能</t>
  </si>
  <si>
    <t>AT+UARTSSLN=OFF</t>
  </si>
  <si>
    <t>//查询/设置N号串口的超时重连时间</t>
  </si>
  <si>
    <t>AT+SOCKTONN=3600</t>
  </si>
  <si>
    <t>//查询/设置N号串口的短连接时间</t>
  </si>
  <si>
    <t>AT+SHORTON</t>
  </si>
  <si>
    <t>//查询/设置N号串口的短连接功能</t>
  </si>
  <si>
    <t>AT+SOCKSLN=OFF</t>
  </si>
  <si>
    <t>//查询/设置N号串口的TCPS超过最大连接数的工作模式</t>
  </si>
  <si>
    <t>AT+TCPSE3=KICK</t>
    <phoneticPr fontId="1" type="noConversion"/>
  </si>
  <si>
    <t>//查询/设置N号串口的最大连接数量</t>
  </si>
  <si>
    <t>AT+MAXSK3=1</t>
    <phoneticPr fontId="1" type="noConversion"/>
  </si>
  <si>
    <t>AT+Z</t>
  </si>
  <si>
    <t>//查询N号串口的socketM的连接状态</t>
  </si>
  <si>
    <t>AT+SOCKLKA3</t>
    <phoneticPr fontId="1" type="noConversion"/>
  </si>
  <si>
    <t>AT+MQTTSER=59.110.170.225,1883</t>
  </si>
  <si>
    <t>//查询/设置N号串口的socket状态（M参数为socket号）</t>
  </si>
  <si>
    <t>AT+SOCKA3=TCPC,59.110.170.225,1883</t>
    <phoneticPr fontId="1" type="noConversion"/>
  </si>
  <si>
    <t>//查询/设置N号串口自定义心跳包,支持ASCII和HEX</t>
  </si>
  <si>
    <t>AT+HEARTUSERN=NJHY1234,ASCII</t>
  </si>
  <si>
    <t>//查询/设置N号串口的心跳包周期</t>
  </si>
  <si>
    <t>AT+HEARTTMN=30</t>
  </si>
  <si>
    <t>//查询/设置N号串口的心跳包发送方式</t>
  </si>
  <si>
    <t>AT+HEARTTPN=NET</t>
    <phoneticPr fontId="1" type="noConversion"/>
  </si>
  <si>
    <t>AT+MQTTPSW=ql</t>
  </si>
  <si>
    <t>//查询/设置N号串口是否开启心跳包（默认为网络心跳包）</t>
  </si>
  <si>
    <t>AT+HEARTENN=ON</t>
  </si>
  <si>
    <t>AT+MQTTUSER=ql</t>
  </si>
  <si>
    <t>//查询/设置N号串口接口参数</t>
  </si>
  <si>
    <t>ResetTrueFlagDoingFun</t>
  </si>
  <si>
    <t>setBandDataLoadFun</t>
  </si>
  <si>
    <t>false</t>
    <phoneticPr fontId="1" type="noConversion"/>
  </si>
  <si>
    <t>AT+UART3=115200,8,1,NONE,NFC</t>
    <phoneticPr fontId="1" type="noConversion"/>
  </si>
  <si>
    <t>//查询/设置模块备用DNS地址</t>
  </si>
  <si>
    <t>AT+SDNS=192.168.0.1</t>
  </si>
  <si>
    <t>AT+MQTTAUTH=ON</t>
  </si>
  <si>
    <t>//查询/设置模块DNS服务器的地址</t>
  </si>
  <si>
    <t>AT+DNS=192.168.0.1</t>
  </si>
  <si>
    <t>AT+MQTTLPORT=0</t>
  </si>
  <si>
    <t>//查询/设置模块DNS获取方式</t>
  </si>
  <si>
    <t>AT+DNSTYPE=AUTO</t>
  </si>
  <si>
    <t>AT+MQTTEN=ON</t>
  </si>
  <si>
    <t>//查询/设置模块获取到的WAN口IP（DHCP/STATIC）</t>
  </si>
  <si>
    <t>setWannDataLoadFun</t>
  </si>
  <si>
    <t>AT+WANN=STATIC,192.168.1.117,255.255.255.0,192.168.1.1</t>
  </si>
  <si>
    <t>AT+MAXSK2=1</t>
  </si>
  <si>
    <t>//退出AT命令模式，进入透传模式</t>
  </si>
  <si>
    <t>AT+ENTM</t>
  </si>
  <si>
    <t>//查询模块固件版本</t>
  </si>
  <si>
    <t>AT+VER</t>
  </si>
  <si>
    <t>//设备重启</t>
  </si>
  <si>
    <t>//查询/设置回显使能</t>
  </si>
  <si>
    <t>AT+E=ON</t>
  </si>
  <si>
    <t>AT+UART2=115200,8,1,NONE,NFC</t>
  </si>
  <si>
    <t>//确认进入AT模式</t>
    <phoneticPr fontId="1" type="noConversion"/>
  </si>
  <si>
    <t>"+ok"</t>
    <phoneticPr fontId="1" type="noConversion"/>
  </si>
  <si>
    <t>a</t>
    <phoneticPr fontId="1" type="noConversion"/>
  </si>
  <si>
    <t>//设置进入ATCmd模式</t>
    <phoneticPr fontId="1" type="noConversion"/>
  </si>
  <si>
    <t>"a"</t>
    <phoneticPr fontId="1" type="noConversion"/>
  </si>
  <si>
    <t>+++</t>
    <phoneticPr fontId="1" type="noConversion"/>
  </si>
  <si>
    <t>有人ED2 指令表</t>
    <phoneticPr fontId="1" type="noConversion"/>
  </si>
  <si>
    <t>CmdSend
Count</t>
    <phoneticPr fontId="1" type="noConversion"/>
  </si>
  <si>
    <t>CmdRes
Count</t>
    <phoneticPr fontId="1" type="noConversion"/>
  </si>
  <si>
    <t>RunFlag</t>
    <phoneticPr fontId="1" type="noConversion"/>
  </si>
  <si>
    <t>SucessStr</t>
  </si>
  <si>
    <t>Cmd</t>
    <phoneticPr fontId="1" type="noConversion"/>
  </si>
  <si>
    <t>Next
CmdID</t>
    <phoneticPr fontId="1" type="noConversion"/>
  </si>
  <si>
    <t xml:space="preserve">ID </t>
    <phoneticPr fontId="1" type="noConversion"/>
  </si>
  <si>
    <t>代码输出</t>
    <phoneticPr fontId="1" type="noConversion"/>
  </si>
  <si>
    <t>AT+ECMTCFG=\"version\",0,4</t>
  </si>
  <si>
    <t>AT+ECMTCFG=\"echomode\",0,1</t>
  </si>
  <si>
    <t>AT+ECMTCFG=\"dataformat\",0,0,0</t>
  </si>
  <si>
    <t>AT+ECMTCFG=\"keepalive\",0,40</t>
  </si>
  <si>
    <t>AT+ECMTCFG=\"session\",0,1</t>
  </si>
  <si>
    <t>AT+ECMTOPEN=0,\"mqtt.ctwing.cn\",1883</t>
  </si>
  <si>
    <t>AT+ECMTCONN=0,\"DevID\",\"UserName\",\"Characteristic String\"</t>
  </si>
  <si>
    <t>AT+ECMTSUB=0,1,\"hy/gw/get/02345678903\",0</t>
  </si>
  <si>
    <t>AT+ECMTPUB=0,0,0,0,\"hy/gw/set/02345678903\",\"{\"A\":\"SSS\"}\"</t>
  </si>
  <si>
    <t>AT+ECMTUNS=0,1,\"hy/gw/get/02345678903\"</t>
  </si>
  <si>
    <t>setRemoteIPDataLoadFun</t>
    <phoneticPr fontId="1" type="noConversion"/>
  </si>
  <si>
    <t>ResetTrueFlagDoingFun</t>
    <phoneticPr fontId="1" type="noConversion"/>
  </si>
  <si>
    <t>"OK"</t>
    <phoneticPr fontId="1" type="noConversion"/>
  </si>
  <si>
    <t>"+CGATT: 1"</t>
    <phoneticPr fontId="1" type="noConversion"/>
  </si>
  <si>
    <t>"+SKTCREATE: 1"</t>
    <phoneticPr fontId="1" type="noConversion"/>
  </si>
  <si>
    <t>AT+CGDCONT=1,\"IPV4V6\",\"M2M\"</t>
  </si>
  <si>
    <t>AT+CGDCONT=1,\"IPV4V6\",\"M2M\"</t>
    <phoneticPr fontId="1" type="noConversion"/>
  </si>
  <si>
    <t>setAPNForSIMLoadFun</t>
    <phoneticPr fontId="1" type="noConversion"/>
  </si>
  <si>
    <t>setUserNameAndPassWordLoadFun</t>
    <phoneticPr fontId="1" type="noConversion"/>
  </si>
  <si>
    <t>AT+ECMTCFG="version",0,4</t>
  </si>
  <si>
    <t>AT+ECMTCFG="echomode",0,1</t>
  </si>
  <si>
    <t>AT+ECMTCFG="dataformat",0,0,0</t>
  </si>
  <si>
    <t>AT+ECMTCFG="keepalive",0,40</t>
  </si>
  <si>
    <t>AT+ECMTCFG="session",0,1</t>
  </si>
  <si>
    <t>AT+CGDCONT=1,"IPV4V6","M2M"</t>
  </si>
  <si>
    <t>AT+ECMTOPEN=0,"mqtt.ctwing.cn",1883</t>
  </si>
  <si>
    <t>AT+ECMTCONN=0,"DevID","UserName","Characteristic String"</t>
  </si>
  <si>
    <t>AT+ECMTSUB=0,1,"hy/gw/get/02345678903",0</t>
  </si>
  <si>
    <t>AT+ECMTPUB=0,0,0,0,"hy/gw/set/02345678903","{"A":"SSS"}"</t>
  </si>
  <si>
    <t>AT+ECMTUNS=0,1,"hy/gw/get/02345678903"</t>
  </si>
  <si>
    <t>设置 SIM BAND</t>
    <phoneticPr fontId="1" type="noConversion"/>
  </si>
  <si>
    <t>//设置 SIM BAND</t>
    <phoneticPr fontId="1" type="noConversion"/>
  </si>
  <si>
    <t>setUartBandDataLoadFun</t>
    <phoneticPr fontId="1" type="noConversion"/>
  </si>
  <si>
    <t>setSIMBandDataLoadFun</t>
    <phoneticPr fontId="1" type="noConversion"/>
  </si>
  <si>
    <t>AT+ECBAND=0,5</t>
    <phoneticPr fontId="1" type="noConversion"/>
  </si>
  <si>
    <t>AT+ECMTCFG="will",0,0,0,0,"will_topic","will_msg"</t>
    <phoneticPr fontId="1" type="noConversion"/>
  </si>
  <si>
    <t>//设置Qos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</si>
</sst>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rgb="FFC00000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2" borderId="0" applyNumberFormat="0" applyBorder="0" applyAlignment="0" applyProtection="0">
      <alignment vertical="center"/>
    </xf>
  </cellStyleXfs>
  <cellXfs count="18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3" fillId="0" borderId="1" xfId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2" fillId="0" borderId="1" xfId="1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4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0" borderId="0" xfId="0" quotePrefix="1" applyAlignment="1">
      <alignment horizontal="center" vertical="center"/>
    </xf>
  </cellXfs>
  <cellStyles count="2">
    <cellStyle name="常规" xfId="0" builtinId="0"/>
    <cellStyle name="好" xfId="1" builtinId="26"/>
  </cellStyles>
  <dxfs count="1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3"/>
  <sheetViews>
    <sheetView topLeftCell="A16" workbookViewId="0">
      <selection activeCell="D33" sqref="D1:D33"/>
    </sheetView>
  </sheetViews>
  <sheetFormatPr defaultRowHeight="14.25" x14ac:dyDescent="0.2"/>
  <cols>
    <col min="1" max="1" width="56.25" bestFit="1" customWidth="1"/>
    <col min="2" max="2" width="2.5" style="3" bestFit="1" customWidth="1"/>
    <col min="3" max="3" width="40.125" bestFit="1" customWidth="1"/>
    <col min="4" max="4" width="73.25" bestFit="1" customWidth="1"/>
  </cols>
  <sheetData>
    <row r="1" spans="1:4" x14ac:dyDescent="0.2">
      <c r="A1" s="1" t="s">
        <v>49</v>
      </c>
      <c r="B1" s="2">
        <v>1</v>
      </c>
      <c r="C1" s="1" t="s">
        <v>50</v>
      </c>
      <c r="D1" t="str">
        <f>OuptUSBCfgaboutATCmd(A1,C1,ROW()-1)</f>
        <v>关闭射频=0|0|0|AT+CFUN=0</v>
      </c>
    </row>
    <row r="2" spans="1:4" x14ac:dyDescent="0.2">
      <c r="A2" s="1" t="s">
        <v>44</v>
      </c>
      <c r="B2" s="2">
        <v>1</v>
      </c>
      <c r="C2" s="1" t="s">
        <v>0</v>
      </c>
      <c r="D2" t="str">
        <f t="shared" ref="D2:D33" si="0">OuptUSBCfgaboutATCmd(A2,C2,ROW()-1)</f>
        <v>打开回显=0|1|1|ATE1</v>
      </c>
    </row>
    <row r="3" spans="1:4" x14ac:dyDescent="0.2">
      <c r="A3" s="1" t="s">
        <v>1</v>
      </c>
      <c r="B3" s="2">
        <v>1</v>
      </c>
      <c r="C3" s="1" t="s">
        <v>2</v>
      </c>
      <c r="D3" t="str">
        <f t="shared" si="0"/>
        <v>设置波特率=0|2|2|AT+IPR=9600</v>
      </c>
    </row>
    <row r="4" spans="1:4" x14ac:dyDescent="0.2">
      <c r="A4" s="1" t="s">
        <v>273</v>
      </c>
      <c r="B4" s="2">
        <v>1</v>
      </c>
      <c r="C4" s="1" t="s">
        <v>269</v>
      </c>
      <c r="D4" t="str">
        <f t="shared" si="0"/>
        <v>设置 SIM BAND=0|3|3|AT+ECBAND=0,5</v>
      </c>
    </row>
    <row r="5" spans="1:4" x14ac:dyDescent="0.2">
      <c r="A5" s="1" t="s">
        <v>3</v>
      </c>
      <c r="B5" s="2">
        <v>1</v>
      </c>
      <c r="C5" s="1" t="s">
        <v>4</v>
      </c>
      <c r="D5" t="str">
        <f t="shared" si="0"/>
        <v>获取版本信息=0|4|4|AT+SGSW</v>
      </c>
    </row>
    <row r="6" spans="1:4" x14ac:dyDescent="0.2">
      <c r="A6" s="1" t="s">
        <v>5</v>
      </c>
      <c r="B6" s="2">
        <v>1</v>
      </c>
      <c r="C6" s="1" t="s">
        <v>46</v>
      </c>
      <c r="D6" t="str">
        <f t="shared" si="0"/>
        <v>请求产品序列号IMEI=0|5|5|AT+CGSN</v>
      </c>
    </row>
    <row r="7" spans="1:4" x14ac:dyDescent="0.2">
      <c r="A7" s="1" t="s">
        <v>258</v>
      </c>
      <c r="B7" s="2">
        <v>1</v>
      </c>
      <c r="C7" s="1" t="s">
        <v>32</v>
      </c>
      <c r="D7" t="str">
        <f t="shared" si="0"/>
        <v>设置 MQTT 3.1.1 版本=0|6|6|AT+ECMTCFG="version",0,4</v>
      </c>
    </row>
    <row r="8" spans="1:4" x14ac:dyDescent="0.2">
      <c r="A8" s="1" t="s">
        <v>259</v>
      </c>
      <c r="B8" s="2">
        <v>1</v>
      </c>
      <c r="C8" s="1" t="s">
        <v>33</v>
      </c>
      <c r="D8" t="str">
        <f t="shared" si="0"/>
        <v>关闭 MQTT 回显=0|7|7|AT+ECMTCFG="echomode",0,1</v>
      </c>
    </row>
    <row r="9" spans="1:4" x14ac:dyDescent="0.2">
      <c r="A9" s="1" t="s">
        <v>260</v>
      </c>
      <c r="B9" s="2">
        <v>1</v>
      </c>
      <c r="C9" s="1" t="s">
        <v>34</v>
      </c>
      <c r="D9" t="str">
        <f t="shared" si="0"/>
        <v>设置发送接收的都是文本=0|8|8|AT+ECMTCFG="dataformat",0,0,0</v>
      </c>
    </row>
    <row r="10" spans="1:4" x14ac:dyDescent="0.2">
      <c r="A10" s="1" t="s">
        <v>261</v>
      </c>
      <c r="B10" s="2">
        <v>1</v>
      </c>
      <c r="C10" s="1" t="s">
        <v>35</v>
      </c>
      <c r="D10" t="str">
        <f t="shared" si="0"/>
        <v>设置心跳=0|9|9|AT+ECMTCFG="keepalive",0,40</v>
      </c>
    </row>
    <row r="11" spans="1:4" x14ac:dyDescent="0.2">
      <c r="A11" s="1" t="s">
        <v>262</v>
      </c>
      <c r="B11" s="2">
        <v>1</v>
      </c>
      <c r="C11" s="1" t="s">
        <v>36</v>
      </c>
      <c r="D11" t="str">
        <f t="shared" si="0"/>
        <v>设置服务器在断开连接后不保留客户端信息=0|10|10|AT+ECMTCFG="session",0,1</v>
      </c>
    </row>
    <row r="12" spans="1:4" x14ac:dyDescent="0.2">
      <c r="A12" s="1" t="s">
        <v>23</v>
      </c>
      <c r="B12" s="2"/>
      <c r="C12" s="1" t="s">
        <v>24</v>
      </c>
      <c r="D12" t="str">
        <f t="shared" si="0"/>
        <v>开启射频=0|11|11|AT+CFUN=1</v>
      </c>
    </row>
    <row r="13" spans="1:4" x14ac:dyDescent="0.2">
      <c r="A13" s="1" t="s">
        <v>12</v>
      </c>
      <c r="B13" s="2">
        <v>1</v>
      </c>
      <c r="C13" s="1" t="s">
        <v>13</v>
      </c>
      <c r="D13" t="str">
        <f t="shared" si="0"/>
        <v>识别sm卡=0|12|12|AT+CPIN?</v>
      </c>
    </row>
    <row r="14" spans="1:4" x14ac:dyDescent="0.2">
      <c r="A14" s="1" t="s">
        <v>51</v>
      </c>
      <c r="B14" s="2">
        <v>1</v>
      </c>
      <c r="C14" s="1" t="s">
        <v>52</v>
      </c>
      <c r="D14" t="str">
        <f t="shared" si="0"/>
        <v>删除socket=0|13|13|AT+SKTDELETE=1</v>
      </c>
    </row>
    <row r="15" spans="1:4" x14ac:dyDescent="0.2">
      <c r="A15" s="1" t="s">
        <v>47</v>
      </c>
      <c r="B15" s="2"/>
      <c r="C15" s="1" t="s">
        <v>48</v>
      </c>
      <c r="D15" t="str">
        <f t="shared" si="0"/>
        <v>创建socket=0|14|14|AT+SKTCREATE=1,1,6</v>
      </c>
    </row>
    <row r="16" spans="1:4" x14ac:dyDescent="0.2">
      <c r="A16" s="1" t="s">
        <v>263</v>
      </c>
      <c r="B16" s="2"/>
      <c r="C16" s="1" t="s">
        <v>18</v>
      </c>
      <c r="D16" t="str">
        <f t="shared" si="0"/>
        <v>设置APN（PDP）=0|15|15|AT+CGDCONT=1,"IPV4V6","M2M"</v>
      </c>
    </row>
    <row r="17" spans="1:4" x14ac:dyDescent="0.2">
      <c r="A17" s="1" t="s">
        <v>19</v>
      </c>
      <c r="B17" s="2"/>
      <c r="C17" s="1" t="s">
        <v>20</v>
      </c>
      <c r="D17" t="str">
        <f t="shared" si="0"/>
        <v>查询设置APN（PDP）=0|16|16|AT+CGDCONT?</v>
      </c>
    </row>
    <row r="18" spans="1:4" x14ac:dyDescent="0.2">
      <c r="A18" s="1" t="s">
        <v>21</v>
      </c>
      <c r="B18" s="2"/>
      <c r="C18" s="1" t="s">
        <v>22</v>
      </c>
      <c r="D18" t="str">
        <f t="shared" si="0"/>
        <v>显示PDP地址=0|17|17|AT+CGPADDR</v>
      </c>
    </row>
    <row r="19" spans="1:4" x14ac:dyDescent="0.2">
      <c r="A19" s="1" t="s">
        <v>25</v>
      </c>
      <c r="B19" s="2"/>
      <c r="C19" s="1" t="s">
        <v>26</v>
      </c>
      <c r="D19" t="str">
        <f t="shared" si="0"/>
        <v>设置附着网络=0|18|18|AT+CGATT=1</v>
      </c>
    </row>
    <row r="20" spans="1:4" x14ac:dyDescent="0.2">
      <c r="A20" s="1" t="s">
        <v>27</v>
      </c>
      <c r="B20" s="2"/>
      <c r="C20" s="1" t="s">
        <v>28</v>
      </c>
      <c r="D20" t="str">
        <f t="shared" si="0"/>
        <v>查询附着网络（查70s）=0|19|19|AT+CGATT?</v>
      </c>
    </row>
    <row r="21" spans="1:4" x14ac:dyDescent="0.2">
      <c r="A21" s="1" t="s">
        <v>6</v>
      </c>
      <c r="B21" s="2"/>
      <c r="C21" s="1" t="s">
        <v>7</v>
      </c>
      <c r="D21" t="str">
        <f t="shared" si="0"/>
        <v>信令连接状态=0|20|20|AT+CSCON?</v>
      </c>
    </row>
    <row r="22" spans="1:4" x14ac:dyDescent="0.2">
      <c r="A22" s="1" t="s">
        <v>8</v>
      </c>
      <c r="B22" s="2"/>
      <c r="C22" s="1" t="s">
        <v>9</v>
      </c>
      <c r="D22" t="str">
        <f t="shared" si="0"/>
        <v>获取信号质量=0|21|21|AT+CSQ</v>
      </c>
    </row>
    <row r="23" spans="1:4" x14ac:dyDescent="0.2">
      <c r="A23" s="1" t="s">
        <v>10</v>
      </c>
      <c r="B23" s="2"/>
      <c r="C23" s="1" t="s">
        <v>11</v>
      </c>
      <c r="D23" t="str">
        <f t="shared" si="0"/>
        <v>获得扩展的信号质量=0|22|22|AT+CESQ</v>
      </c>
    </row>
    <row r="24" spans="1:4" x14ac:dyDescent="0.2">
      <c r="A24" s="1" t="s">
        <v>14</v>
      </c>
      <c r="B24" s="2"/>
      <c r="C24" s="1" t="s">
        <v>15</v>
      </c>
      <c r="D24" t="str">
        <f t="shared" si="0"/>
        <v>获得SIM卡的IMSI=0|23|23|AT+CIMI</v>
      </c>
    </row>
    <row r="25" spans="1:4" x14ac:dyDescent="0.2">
      <c r="A25" s="1" t="s">
        <v>16</v>
      </c>
      <c r="B25" s="2"/>
      <c r="C25" s="1" t="s">
        <v>17</v>
      </c>
      <c r="D25" t="str">
        <f t="shared" si="0"/>
        <v>获取CCID=0|24|24|AT+ECICCID</v>
      </c>
    </row>
    <row r="26" spans="1:4" x14ac:dyDescent="0.2">
      <c r="A26" s="1" t="s">
        <v>43</v>
      </c>
      <c r="B26" s="2"/>
      <c r="C26" s="1" t="s">
        <v>31</v>
      </c>
      <c r="D26" t="str">
        <f t="shared" si="0"/>
        <v>返回当前日期和时间=0|25|25|AT+CCLK?</v>
      </c>
    </row>
    <row r="27" spans="1:4" x14ac:dyDescent="0.2">
      <c r="A27" s="1" t="s">
        <v>264</v>
      </c>
      <c r="B27" s="2"/>
      <c r="C27" s="1" t="s">
        <v>37</v>
      </c>
      <c r="D27" t="str">
        <f t="shared" si="0"/>
        <v>打开客户端连接=0|26|26|AT+ECMTOPEN=0,"mqtt.ctwing.cn",1883</v>
      </c>
    </row>
    <row r="28" spans="1:4" x14ac:dyDescent="0.2">
      <c r="A28" s="1" t="s">
        <v>265</v>
      </c>
      <c r="B28" s="2"/>
      <c r="C28" s="1" t="s">
        <v>45</v>
      </c>
      <c r="D28" t="str">
        <f t="shared" si="0"/>
        <v>登录连接服务器=0|27|27|AT+ECMTCONN=0,"DevID","UserName","Characteristic String"</v>
      </c>
    </row>
    <row r="29" spans="1:4" x14ac:dyDescent="0.2">
      <c r="A29" s="1" t="s">
        <v>266</v>
      </c>
      <c r="B29" s="2"/>
      <c r="C29" s="1" t="s">
        <v>40</v>
      </c>
      <c r="D29" t="str">
        <f t="shared" si="0"/>
        <v>订阅Topic=0|28|28|AT+ECMTSUB=0,1,"hy/gw/get/02345678903",0</v>
      </c>
    </row>
    <row r="30" spans="1:4" x14ac:dyDescent="0.2">
      <c r="A30" s="1" t="s">
        <v>267</v>
      </c>
      <c r="B30" s="2"/>
      <c r="C30" s="1" t="s">
        <v>42</v>
      </c>
      <c r="D30" t="str">
        <f t="shared" si="0"/>
        <v>发布消息=0|29|29|AT+ECMTPUB=0,0,0,0,"hy/gw/set/02345678903","{"A":"SSS"}"</v>
      </c>
    </row>
    <row r="31" spans="1:4" x14ac:dyDescent="0.2">
      <c r="A31" s="1" t="s">
        <v>268</v>
      </c>
      <c r="B31" s="2"/>
      <c r="C31" s="1" t="s">
        <v>41</v>
      </c>
      <c r="D31" t="str">
        <f t="shared" si="0"/>
        <v>取消订阅=0|30|30|AT+ECMTUNS=0,1,"hy/gw/get/02345678903"</v>
      </c>
    </row>
    <row r="32" spans="1:4" x14ac:dyDescent="0.2">
      <c r="A32" s="1" t="s">
        <v>38</v>
      </c>
      <c r="B32" s="2"/>
      <c r="C32" s="1" t="s">
        <v>39</v>
      </c>
      <c r="D32" t="str">
        <f t="shared" si="0"/>
        <v>关闭 MQTT 客户端=0|31|31|AT+ECMTCLOSE=0</v>
      </c>
    </row>
    <row r="33" spans="1:4" x14ac:dyDescent="0.2">
      <c r="A33" s="1" t="s">
        <v>29</v>
      </c>
      <c r="B33" s="2"/>
      <c r="C33" s="1" t="s">
        <v>30</v>
      </c>
      <c r="D33" t="str">
        <f t="shared" si="0"/>
        <v>获取下行数据=0|32|32|AT+NMGR</v>
      </c>
    </row>
  </sheetData>
  <sortState xmlns:xlrd2="http://schemas.microsoft.com/office/spreadsheetml/2017/richdata2" ref="A1:D33">
    <sortCondition descending="1" ref="B1:B33"/>
  </sortState>
  <phoneticPr fontId="1" type="noConversion"/>
  <conditionalFormatting sqref="C33 B1:C1 B13:B15 B18:B33 C19:C26 C13:C16 B3:C12">
    <cfRule type="duplicateValues" dxfId="10" priority="12"/>
  </conditionalFormatting>
  <conditionalFormatting sqref="A1">
    <cfRule type="duplicateValues" dxfId="9" priority="2"/>
  </conditionalFormatting>
  <conditionalFormatting sqref="A19:A33 A3:A16">
    <cfRule type="duplicateValues" dxfId="8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78327-0D25-4A3E-B296-A6955280C38A}">
  <dimension ref="A1:I100"/>
  <sheetViews>
    <sheetView tabSelected="1" topLeftCell="A10" zoomScaleNormal="100" workbookViewId="0">
      <selection activeCell="C39" sqref="C39"/>
    </sheetView>
  </sheetViews>
  <sheetFormatPr defaultColWidth="9" defaultRowHeight="14.25" x14ac:dyDescent="0.2"/>
  <cols>
    <col min="1" max="1" width="56" style="3" bestFit="1" customWidth="1"/>
    <col min="2" max="2" width="31.375" style="3" bestFit="1" customWidth="1"/>
    <col min="3" max="3" width="11" style="6" customWidth="1"/>
    <col min="4" max="4" width="33.25" style="6" bestFit="1" customWidth="1"/>
    <col min="5" max="5" width="24.25" style="6" customWidth="1"/>
    <col min="6" max="6" width="9" style="6" customWidth="1"/>
    <col min="7" max="7" width="50" style="3" customWidth="1"/>
    <col min="8" max="8" width="58.75" style="3" bestFit="1" customWidth="1"/>
    <col min="9" max="9" width="54.5" style="5" bestFit="1" customWidth="1"/>
    <col min="10" max="16384" width="9" style="5"/>
  </cols>
  <sheetData>
    <row r="1" spans="1:9" ht="28.5" x14ac:dyDescent="0.2">
      <c r="A1" s="2" t="s">
        <v>96</v>
      </c>
      <c r="B1" s="2" t="s">
        <v>95</v>
      </c>
      <c r="C1" s="9" t="s">
        <v>94</v>
      </c>
      <c r="D1" s="4" t="s">
        <v>93</v>
      </c>
      <c r="E1" s="4" t="s">
        <v>92</v>
      </c>
      <c r="F1" s="4" t="s">
        <v>91</v>
      </c>
      <c r="G1" s="2" t="s">
        <v>89</v>
      </c>
      <c r="H1" s="8" t="s">
        <v>90</v>
      </c>
      <c r="I1" s="2" t="s">
        <v>89</v>
      </c>
    </row>
    <row r="2" spans="1:9" x14ac:dyDescent="0.2">
      <c r="A2" s="1" t="s">
        <v>49</v>
      </c>
      <c r="B2" s="2" t="s">
        <v>251</v>
      </c>
      <c r="C2" s="7" t="s">
        <v>56</v>
      </c>
      <c r="D2" s="4" t="s">
        <v>55</v>
      </c>
      <c r="E2" s="4" t="s">
        <v>54</v>
      </c>
      <c r="F2" s="4">
        <v>1</v>
      </c>
      <c r="G2" s="2" t="s">
        <v>88</v>
      </c>
      <c r="H2" s="1" t="s">
        <v>49</v>
      </c>
      <c r="I2" s="2" t="str">
        <f>VLOOKUP(MID(IF(""""&amp;IF(H2&lt;&gt;"",H2,"")&amp;""""="""+++""","""+++""",IF(""""&amp;IF(H2&lt;&gt;"",H2,"")&amp;""""="""a""","""a""",IF(""""&amp;IF(H2&lt;&gt;"",H2,"")&amp;""""="""""","""""",""""&amp;IF(H2&lt;&gt;"",H2,"")&amp;""""))),2,LEN(IF(""""&amp;IF(H2&lt;&gt;"",H2,"")&amp;""""="""+++""","""+++""",IF(""""&amp;IF(H2&lt;&gt;"",H2,"")&amp;""""="""a""","""a""",IF(""""&amp;IF(H2&lt;&gt;"",H2,"")&amp;""""="""""","""""",""""&amp;IF(H2&lt;&gt;"",H2,"")&amp;""""))))-2),A:G,7,0)</f>
        <v>//关闭射频</v>
      </c>
    </row>
    <row r="3" spans="1:9" x14ac:dyDescent="0.2">
      <c r="A3" s="1" t="s">
        <v>44</v>
      </c>
      <c r="B3" s="2" t="s">
        <v>251</v>
      </c>
      <c r="C3" s="7" t="s">
        <v>56</v>
      </c>
      <c r="D3" s="4" t="s">
        <v>55</v>
      </c>
      <c r="E3" s="4" t="s">
        <v>54</v>
      </c>
      <c r="F3" s="4">
        <v>1</v>
      </c>
      <c r="G3" s="2" t="s">
        <v>87</v>
      </c>
      <c r="H3" s="1" t="s">
        <v>44</v>
      </c>
      <c r="I3" s="2" t="str">
        <f>VLOOKUP(MID(IF(""""&amp;IF(H3&lt;&gt;"",H3,"")&amp;""""="""+++""","""+++""",IF(""""&amp;IF(H3&lt;&gt;"",H3,"")&amp;""""="""a""","""a""",IF(""""&amp;IF(H3&lt;&gt;"",H3,"")&amp;""""="""""","""""",""""&amp;IF(H3&lt;&gt;"",H3,"")&amp;""""))),2,LEN(IF(""""&amp;IF(H3&lt;&gt;"",H3,"")&amp;""""="""+++""","""+++""",IF(""""&amp;IF(H3&lt;&gt;"",H3,"")&amp;""""="""a""","""a""",IF(""""&amp;IF(H3&lt;&gt;"",H3,"")&amp;""""="""""","""""",""""&amp;IF(H3&lt;&gt;"",H3,"")&amp;""""))))-2),A:G,7,0)</f>
        <v>//打开回显</v>
      </c>
    </row>
    <row r="4" spans="1:9" x14ac:dyDescent="0.2">
      <c r="A4" s="1" t="s">
        <v>1</v>
      </c>
      <c r="B4" s="2" t="s">
        <v>251</v>
      </c>
      <c r="C4" s="7" t="s">
        <v>56</v>
      </c>
      <c r="D4" s="4" t="s">
        <v>271</v>
      </c>
      <c r="E4" s="4" t="s">
        <v>54</v>
      </c>
      <c r="F4" s="4">
        <v>1</v>
      </c>
      <c r="G4" s="2" t="s">
        <v>86</v>
      </c>
      <c r="H4" s="1" t="s">
        <v>1</v>
      </c>
      <c r="I4" s="2" t="str">
        <f>VLOOKUP(MID(IF(""""&amp;IF(H4&lt;&gt;"",H4,"")&amp;""""="""+++""","""+++""",IF(""""&amp;IF(H4&lt;&gt;"",H4,"")&amp;""""="""a""","""a""",IF(""""&amp;IF(H4&lt;&gt;"",H4,"")&amp;""""="""""","""""",""""&amp;IF(H4&lt;&gt;"",H4,"")&amp;""""))),2,LEN(IF(""""&amp;IF(H4&lt;&gt;"",H4,"")&amp;""""="""+++""","""+++""",IF(""""&amp;IF(H4&lt;&gt;"",H4,"")&amp;""""="""a""","""a""",IF(""""&amp;IF(H4&lt;&gt;"",H4,"")&amp;""""="""""","""""",""""&amp;IF(H4&lt;&gt;"",H4,"")&amp;""""))))-2),A:G,7,0)</f>
        <v>//设置波特率</v>
      </c>
    </row>
    <row r="5" spans="1:9" x14ac:dyDescent="0.2">
      <c r="A5" s="1" t="s">
        <v>273</v>
      </c>
      <c r="B5" s="2" t="s">
        <v>251</v>
      </c>
      <c r="C5" s="7" t="s">
        <v>56</v>
      </c>
      <c r="D5" s="4" t="s">
        <v>272</v>
      </c>
      <c r="E5" s="4" t="s">
        <v>54</v>
      </c>
      <c r="F5" s="4">
        <v>1</v>
      </c>
      <c r="G5" s="1" t="s">
        <v>270</v>
      </c>
      <c r="H5" s="1" t="s">
        <v>273</v>
      </c>
      <c r="I5" s="2" t="str">
        <f>VLOOKUP(MID(IF(""""&amp;IF(H5&lt;&gt;"",H5,"")&amp;""""="""+++""","""+++""",IF(""""&amp;IF(H5&lt;&gt;"",H5,"")&amp;""""="""a""","""a""",IF(""""&amp;IF(H5&lt;&gt;"",H5,"")&amp;""""="""""","""""",""""&amp;IF(H5&lt;&gt;"",H5,"")&amp;""""))),2,LEN(IF(""""&amp;IF(H5&lt;&gt;"",H5,"")&amp;""""="""+++""","""+++""",IF(""""&amp;IF(H5&lt;&gt;"",H5,"")&amp;""""="""a""","""a""",IF(""""&amp;IF(H5&lt;&gt;"",H5,"")&amp;""""="""""","""""",""""&amp;IF(H5&lt;&gt;"",H5,"")&amp;""""))))-2),A:G,7,0)</f>
        <v>//设置 SIM BAND</v>
      </c>
    </row>
    <row r="6" spans="1:9" x14ac:dyDescent="0.2">
      <c r="A6" s="1" t="s">
        <v>3</v>
      </c>
      <c r="B6" s="2" t="s">
        <v>251</v>
      </c>
      <c r="C6" s="7" t="s">
        <v>56</v>
      </c>
      <c r="D6" s="4" t="s">
        <v>55</v>
      </c>
      <c r="E6" s="4" t="s">
        <v>54</v>
      </c>
      <c r="F6" s="4">
        <v>1</v>
      </c>
      <c r="G6" s="2" t="s">
        <v>85</v>
      </c>
      <c r="H6" s="1" t="s">
        <v>3</v>
      </c>
      <c r="I6" s="2" t="str">
        <f>VLOOKUP(MID(IF(""""&amp;IF(H6&lt;&gt;"",H6,"")&amp;""""="""+++""","""+++""",IF(""""&amp;IF(H6&lt;&gt;"",H6,"")&amp;""""="""a""","""a""",IF(""""&amp;IF(H6&lt;&gt;"",H6,"")&amp;""""="""""","""""",""""&amp;IF(H6&lt;&gt;"",H6,"")&amp;""""))),2,LEN(IF(""""&amp;IF(H6&lt;&gt;"",H6,"")&amp;""""="""+++""","""+++""",IF(""""&amp;IF(H6&lt;&gt;"",H6,"")&amp;""""="""a""","""a""",IF(""""&amp;IF(H6&lt;&gt;"",H6,"")&amp;""""="""""","""""",""""&amp;IF(H6&lt;&gt;"",H6,"")&amp;""""))))-2),A:G,7,0)</f>
        <v>//获取版本信息</v>
      </c>
    </row>
    <row r="7" spans="1:9" x14ac:dyDescent="0.2">
      <c r="A7" s="1" t="s">
        <v>5</v>
      </c>
      <c r="B7" s="2" t="s">
        <v>251</v>
      </c>
      <c r="C7" s="7" t="s">
        <v>56</v>
      </c>
      <c r="D7" s="4" t="s">
        <v>55</v>
      </c>
      <c r="E7" s="4" t="s">
        <v>54</v>
      </c>
      <c r="F7" s="4">
        <v>1</v>
      </c>
      <c r="G7" s="2" t="s">
        <v>84</v>
      </c>
      <c r="H7" s="1" t="s">
        <v>5</v>
      </c>
      <c r="I7" s="2" t="str">
        <f>VLOOKUP(MID(IF(""""&amp;IF(H7&lt;&gt;"",H7,"")&amp;""""="""+++""","""+++""",IF(""""&amp;IF(H7&lt;&gt;"",H7,"")&amp;""""="""a""","""a""",IF(""""&amp;IF(H7&lt;&gt;"",H7,"")&amp;""""="""""","""""",""""&amp;IF(H7&lt;&gt;"",H7,"")&amp;""""))),2,LEN(IF(""""&amp;IF(H7&lt;&gt;"",H7,"")&amp;""""="""+++""","""+++""",IF(""""&amp;IF(H7&lt;&gt;"",H7,"")&amp;""""="""a""","""a""",IF(""""&amp;IF(H7&lt;&gt;"",H7,"")&amp;""""="""""","""""",""""&amp;IF(H7&lt;&gt;"",H7,"")&amp;""""))))-2),A:G,7,0)</f>
        <v>//请求产品序列号IMEI</v>
      </c>
    </row>
    <row r="8" spans="1:9" x14ac:dyDescent="0.2">
      <c r="A8" s="1" t="s">
        <v>239</v>
      </c>
      <c r="B8" s="2" t="s">
        <v>251</v>
      </c>
      <c r="C8" s="7" t="s">
        <v>56</v>
      </c>
      <c r="D8" s="4" t="s">
        <v>55</v>
      </c>
      <c r="E8" s="4" t="s">
        <v>54</v>
      </c>
      <c r="F8" s="4">
        <v>1</v>
      </c>
      <c r="G8" s="2" t="s">
        <v>83</v>
      </c>
      <c r="H8" s="1" t="s">
        <v>239</v>
      </c>
      <c r="I8" s="2" t="str">
        <f>VLOOKUP(MID(IF(""""&amp;IF(H8&lt;&gt;"",H8,"")&amp;""""="""+++""","""+++""",IF(""""&amp;IF(H8&lt;&gt;"",H8,"")&amp;""""="""a""","""a""",IF(""""&amp;IF(H8&lt;&gt;"",H8,"")&amp;""""="""""","""""",""""&amp;IF(H8&lt;&gt;"",H8,"")&amp;""""))),2,LEN(IF(""""&amp;IF(H8&lt;&gt;"",H8,"")&amp;""""="""+++""","""+++""",IF(""""&amp;IF(H8&lt;&gt;"",H8,"")&amp;""""="""a""","""a""",IF(""""&amp;IF(H8&lt;&gt;"",H8,"")&amp;""""="""""","""""",""""&amp;IF(H8&lt;&gt;"",H8,"")&amp;""""))))-2),A:G,7,0)</f>
        <v>//设置 MQTT 3.1.1 版本</v>
      </c>
    </row>
    <row r="9" spans="1:9" x14ac:dyDescent="0.2">
      <c r="A9" s="1" t="s">
        <v>240</v>
      </c>
      <c r="B9" s="2" t="s">
        <v>251</v>
      </c>
      <c r="C9" s="7" t="s">
        <v>56</v>
      </c>
      <c r="D9" s="4" t="s">
        <v>55</v>
      </c>
      <c r="E9" s="4" t="s">
        <v>54</v>
      </c>
      <c r="F9" s="4">
        <v>1</v>
      </c>
      <c r="G9" s="2" t="s">
        <v>82</v>
      </c>
      <c r="H9" s="1" t="s">
        <v>240</v>
      </c>
      <c r="I9" s="2" t="str">
        <f>VLOOKUP(MID(IF(""""&amp;IF(H9&lt;&gt;"",H9,"")&amp;""""="""+++""","""+++""",IF(""""&amp;IF(H9&lt;&gt;"",H9,"")&amp;""""="""a""","""a""",IF(""""&amp;IF(H9&lt;&gt;"",H9,"")&amp;""""="""""","""""",""""&amp;IF(H9&lt;&gt;"",H9,"")&amp;""""))),2,LEN(IF(""""&amp;IF(H9&lt;&gt;"",H9,"")&amp;""""="""+++""","""+++""",IF(""""&amp;IF(H9&lt;&gt;"",H9,"")&amp;""""="""a""","""a""",IF(""""&amp;IF(H9&lt;&gt;"",H9,"")&amp;""""="""""","""""",""""&amp;IF(H9&lt;&gt;"",H9,"")&amp;""""))))-2),A:G,7,0)</f>
        <v>//关闭 MQTT 回显</v>
      </c>
    </row>
    <row r="10" spans="1:9" x14ac:dyDescent="0.2">
      <c r="A10" s="1" t="s">
        <v>241</v>
      </c>
      <c r="B10" s="2" t="s">
        <v>251</v>
      </c>
      <c r="C10" s="7" t="s">
        <v>56</v>
      </c>
      <c r="D10" s="4" t="s">
        <v>55</v>
      </c>
      <c r="E10" s="4" t="s">
        <v>54</v>
      </c>
      <c r="F10" s="4">
        <v>1</v>
      </c>
      <c r="G10" s="2" t="s">
        <v>81</v>
      </c>
      <c r="H10" s="1" t="s">
        <v>241</v>
      </c>
      <c r="I10" s="2" t="str">
        <f>VLOOKUP(MID(IF(""""&amp;IF(H10&lt;&gt;"",H10,"")&amp;""""="""+++""","""+++""",IF(""""&amp;IF(H10&lt;&gt;"",H10,"")&amp;""""="""a""","""a""",IF(""""&amp;IF(H10&lt;&gt;"",H10,"")&amp;""""="""""","""""",""""&amp;IF(H10&lt;&gt;"",H10,"")&amp;""""))),2,LEN(IF(""""&amp;IF(H10&lt;&gt;"",H10,"")&amp;""""="""+++""","""+++""",IF(""""&amp;IF(H10&lt;&gt;"",H10,"")&amp;""""="""a""","""a""",IF(""""&amp;IF(H10&lt;&gt;"",H10,"")&amp;""""="""""","""""",""""&amp;IF(H10&lt;&gt;"",H10,"")&amp;""""))))-2),A:G,7,0)</f>
        <v>//设置发送接收的都是文本</v>
      </c>
    </row>
    <row r="11" spans="1:9" x14ac:dyDescent="0.2">
      <c r="A11" s="1" t="s">
        <v>242</v>
      </c>
      <c r="B11" s="2" t="s">
        <v>251</v>
      </c>
      <c r="C11" s="7" t="s">
        <v>56</v>
      </c>
      <c r="D11" s="4" t="s">
        <v>55</v>
      </c>
      <c r="E11" s="4" t="s">
        <v>54</v>
      </c>
      <c r="F11" s="4">
        <v>1</v>
      </c>
      <c r="G11" s="2" t="s">
        <v>80</v>
      </c>
      <c r="H11" s="1" t="s">
        <v>242</v>
      </c>
      <c r="I11" s="2" t="str">
        <f>VLOOKUP(MID(IF(""""&amp;IF(H11&lt;&gt;"",H11,"")&amp;""""="""+++""","""+++""",IF(""""&amp;IF(H11&lt;&gt;"",H11,"")&amp;""""="""a""","""a""",IF(""""&amp;IF(H11&lt;&gt;"",H11,"")&amp;""""="""""","""""",""""&amp;IF(H11&lt;&gt;"",H11,"")&amp;""""))),2,LEN(IF(""""&amp;IF(H11&lt;&gt;"",H11,"")&amp;""""="""+++""","""+++""",IF(""""&amp;IF(H11&lt;&gt;"",H11,"")&amp;""""="""a""","""a""",IF(""""&amp;IF(H11&lt;&gt;"",H11,"")&amp;""""="""""","""""",""""&amp;IF(H11&lt;&gt;"",H11,"")&amp;""""))))-2),A:G,7,0)</f>
        <v>//设置心跳</v>
      </c>
    </row>
    <row r="12" spans="1:9" x14ac:dyDescent="0.2">
      <c r="A12" s="1" t="s">
        <v>243</v>
      </c>
      <c r="B12" s="2" t="s">
        <v>251</v>
      </c>
      <c r="C12" s="7" t="s">
        <v>56</v>
      </c>
      <c r="D12" s="4" t="s">
        <v>55</v>
      </c>
      <c r="E12" s="4" t="s">
        <v>54</v>
      </c>
      <c r="F12" s="4">
        <v>1</v>
      </c>
      <c r="G12" s="2" t="s">
        <v>79</v>
      </c>
      <c r="H12" s="1" t="s">
        <v>243</v>
      </c>
      <c r="I12" s="2" t="str">
        <f>VLOOKUP(MID(IF(""""&amp;IF(H12&lt;&gt;"",H12,"")&amp;""""="""+++""","""+++""",IF(""""&amp;IF(H12&lt;&gt;"",H12,"")&amp;""""="""a""","""a""",IF(""""&amp;IF(H12&lt;&gt;"",H12,"")&amp;""""="""""","""""",""""&amp;IF(H12&lt;&gt;"",H12,"")&amp;""""))),2,LEN(IF(""""&amp;IF(H12&lt;&gt;"",H12,"")&amp;""""="""+++""","""+++""",IF(""""&amp;IF(H12&lt;&gt;"",H12,"")&amp;""""="""a""","""a""",IF(""""&amp;IF(H12&lt;&gt;"",H12,"")&amp;""""="""""","""""",""""&amp;IF(H12&lt;&gt;"",H12,"")&amp;""""))))-2),A:G,7,0)</f>
        <v>//设置服务器在断开连接后不保留客户端信息</v>
      </c>
    </row>
    <row r="13" spans="1:9" x14ac:dyDescent="0.2">
      <c r="A13" s="1" t="s">
        <v>274</v>
      </c>
      <c r="B13" s="2" t="s">
        <v>251</v>
      </c>
      <c r="C13" s="7" t="s">
        <v>56</v>
      </c>
      <c r="D13" s="4" t="s">
        <v>55</v>
      </c>
      <c r="E13" s="4" t="s">
        <v>54</v>
      </c>
      <c r="F13" s="4">
        <v>2</v>
      </c>
      <c r="G13" s="2" t="s">
        <v>275</v>
      </c>
      <c r="H13" s="1"/>
      <c r="I13" s="2"/>
    </row>
    <row r="14" spans="1:9" x14ac:dyDescent="0.2">
      <c r="A14" s="1" t="s">
        <v>23</v>
      </c>
      <c r="B14" s="2" t="s">
        <v>251</v>
      </c>
      <c r="C14" s="7" t="s">
        <v>56</v>
      </c>
      <c r="D14" s="4" t="s">
        <v>55</v>
      </c>
      <c r="E14" s="4" t="s">
        <v>54</v>
      </c>
      <c r="F14" s="4">
        <v>1</v>
      </c>
      <c r="G14" s="2" t="s">
        <v>78</v>
      </c>
      <c r="H14" s="1" t="s">
        <v>23</v>
      </c>
      <c r="I14" s="2" t="str">
        <f>VLOOKUP(MID(IF(""""&amp;IF(H14&lt;&gt;"",H14,"")&amp;""""="""+++""","""+++""",IF(""""&amp;IF(H14&lt;&gt;"",H14,"")&amp;""""="""a""","""a""",IF(""""&amp;IF(H14&lt;&gt;"",H14,"")&amp;""""="""""","""""",""""&amp;IF(H14&lt;&gt;"",H14,"")&amp;""""))),2,LEN(IF(""""&amp;IF(H14&lt;&gt;"",H14,"")&amp;""""="""+++""","""+++""",IF(""""&amp;IF(H14&lt;&gt;"",H14,"")&amp;""""="""a""","""a""",IF(""""&amp;IF(H14&lt;&gt;"",H14,"")&amp;""""="""""","""""",""""&amp;IF(H14&lt;&gt;"",H14,"")&amp;""""))))-2),A:G,7,0)</f>
        <v>//开启射频</v>
      </c>
    </row>
    <row r="15" spans="1:9" x14ac:dyDescent="0.2">
      <c r="A15" s="1" t="s">
        <v>25</v>
      </c>
      <c r="B15" s="2" t="s">
        <v>251</v>
      </c>
      <c r="C15" s="7" t="s">
        <v>56</v>
      </c>
      <c r="D15" s="4" t="s">
        <v>55</v>
      </c>
      <c r="E15" s="4" t="s">
        <v>54</v>
      </c>
      <c r="F15" s="4">
        <v>1</v>
      </c>
      <c r="G15" s="2" t="s">
        <v>77</v>
      </c>
      <c r="H15" s="1" t="s">
        <v>12</v>
      </c>
      <c r="I15" s="2" t="str">
        <f>VLOOKUP(MID(IF(""""&amp;IF(H15&lt;&gt;"",H15,"")&amp;""""="""+++""","""+++""",IF(""""&amp;IF(H15&lt;&gt;"",H15,"")&amp;""""="""a""","""a""",IF(""""&amp;IF(H15&lt;&gt;"",H15,"")&amp;""""="""""","""""",""""&amp;IF(H15&lt;&gt;"",H15,"")&amp;""""))),2,LEN(IF(""""&amp;IF(H15&lt;&gt;"",H15,"")&amp;""""="""+++""","""+++""",IF(""""&amp;IF(H15&lt;&gt;"",H15,"")&amp;""""="""a""","""a""",IF(""""&amp;IF(H15&lt;&gt;"",H15,"")&amp;""""="""""","""""",""""&amp;IF(H15&lt;&gt;"",H15,"")&amp;""""))))-2),A:G,7,0)</f>
        <v>//识别sm卡</v>
      </c>
    </row>
    <row r="16" spans="1:9" x14ac:dyDescent="0.2">
      <c r="A16" s="1" t="s">
        <v>27</v>
      </c>
      <c r="B16" s="2" t="s">
        <v>252</v>
      </c>
      <c r="C16" s="7" t="s">
        <v>56</v>
      </c>
      <c r="D16" s="4" t="s">
        <v>55</v>
      </c>
      <c r="E16" s="4" t="s">
        <v>54</v>
      </c>
      <c r="F16" s="4">
        <v>1</v>
      </c>
      <c r="G16" s="2" t="s">
        <v>76</v>
      </c>
      <c r="H16" s="1" t="s">
        <v>51</v>
      </c>
      <c r="I16" s="2" t="str">
        <f>VLOOKUP(MID(IF(""""&amp;IF(H16&lt;&gt;"",H16,"")&amp;""""="""+++""","""+++""",IF(""""&amp;IF(H16&lt;&gt;"",H16,"")&amp;""""="""a""","""a""",IF(""""&amp;IF(H16&lt;&gt;"",H16,"")&amp;""""="""""","""""",""""&amp;IF(H16&lt;&gt;"",H16,"")&amp;""""))),2,LEN(IF(""""&amp;IF(H16&lt;&gt;"",H16,"")&amp;""""="""+++""","""+++""",IF(""""&amp;IF(H16&lt;&gt;"",H16,"")&amp;""""="""a""","""a""",IF(""""&amp;IF(H16&lt;&gt;"",H16,"")&amp;""""="""""","""""",""""&amp;IF(H16&lt;&gt;"",H16,"")&amp;""""))))-2),A:G,7,0)</f>
        <v>//删除socket</v>
      </c>
    </row>
    <row r="17" spans="1:9" x14ac:dyDescent="0.2">
      <c r="A17" s="1" t="s">
        <v>6</v>
      </c>
      <c r="B17" s="2" t="s">
        <v>251</v>
      </c>
      <c r="C17" s="7" t="s">
        <v>56</v>
      </c>
      <c r="D17" s="4" t="s">
        <v>55</v>
      </c>
      <c r="E17" s="4" t="s">
        <v>54</v>
      </c>
      <c r="F17" s="4">
        <v>1</v>
      </c>
      <c r="G17" s="2" t="s">
        <v>75</v>
      </c>
      <c r="H17" s="1" t="s">
        <v>47</v>
      </c>
      <c r="I17" s="2" t="str">
        <f>VLOOKUP(MID(IF(""""&amp;IF(H17&lt;&gt;"",H17,"")&amp;""""="""+++""","""+++""",IF(""""&amp;IF(H17&lt;&gt;"",H17,"")&amp;""""="""a""","""a""",IF(""""&amp;IF(H17&lt;&gt;"",H17,"")&amp;""""="""""","""""",""""&amp;IF(H17&lt;&gt;"",H17,"")&amp;""""))),2,LEN(IF(""""&amp;IF(H17&lt;&gt;"",H17,"")&amp;""""="""+++""","""+++""",IF(""""&amp;IF(H17&lt;&gt;"",H17,"")&amp;""""="""a""","""a""",IF(""""&amp;IF(H17&lt;&gt;"",H17,"")&amp;""""="""""","""""",""""&amp;IF(H17&lt;&gt;"",H17,"")&amp;""""))))-2),A:G,7,0)</f>
        <v>//创建socket</v>
      </c>
    </row>
    <row r="18" spans="1:9" x14ac:dyDescent="0.2">
      <c r="A18" s="1" t="s">
        <v>8</v>
      </c>
      <c r="B18" s="2" t="s">
        <v>251</v>
      </c>
      <c r="C18" s="7" t="s">
        <v>56</v>
      </c>
      <c r="D18" s="4" t="s">
        <v>55</v>
      </c>
      <c r="E18" s="4" t="s">
        <v>54</v>
      </c>
      <c r="F18" s="4">
        <v>1</v>
      </c>
      <c r="G18" s="2" t="s">
        <v>74</v>
      </c>
      <c r="H18" s="1" t="s">
        <v>254</v>
      </c>
      <c r="I18" s="2" t="str">
        <f>VLOOKUP(MID(IF(""""&amp;IF(H18&lt;&gt;"",H18,"")&amp;""""="""+++""","""+++""",IF(""""&amp;IF(H18&lt;&gt;"",H18,"")&amp;""""="""a""","""a""",IF(""""&amp;IF(H18&lt;&gt;"",H18,"")&amp;""""="""""","""""",""""&amp;IF(H18&lt;&gt;"",H18,"")&amp;""""))),2,LEN(IF(""""&amp;IF(H18&lt;&gt;"",H18,"")&amp;""""="""+++""","""+++""",IF(""""&amp;IF(H18&lt;&gt;"",H18,"")&amp;""""="""a""","""a""",IF(""""&amp;IF(H18&lt;&gt;"",H18,"")&amp;""""="""""","""""",""""&amp;IF(H18&lt;&gt;"",H18,"")&amp;""""))))-2),A:G,7,0)</f>
        <v>//设置APN（PDP）</v>
      </c>
    </row>
    <row r="19" spans="1:9" x14ac:dyDescent="0.2">
      <c r="A19" s="1" t="s">
        <v>10</v>
      </c>
      <c r="B19" s="2" t="s">
        <v>251</v>
      </c>
      <c r="C19" s="7" t="s">
        <v>56</v>
      </c>
      <c r="D19" s="4" t="s">
        <v>55</v>
      </c>
      <c r="E19" s="4" t="s">
        <v>54</v>
      </c>
      <c r="F19" s="4">
        <v>1</v>
      </c>
      <c r="G19" s="2" t="s">
        <v>73</v>
      </c>
      <c r="H19" s="1" t="s">
        <v>19</v>
      </c>
      <c r="I19" s="2" t="str">
        <f>VLOOKUP(MID(IF(""""&amp;IF(H19&lt;&gt;"",H19,"")&amp;""""="""+++""","""+++""",IF(""""&amp;IF(H19&lt;&gt;"",H19,"")&amp;""""="""a""","""a""",IF(""""&amp;IF(H19&lt;&gt;"",H19,"")&amp;""""="""""","""""",""""&amp;IF(H19&lt;&gt;"",H19,"")&amp;""""))),2,LEN(IF(""""&amp;IF(H19&lt;&gt;"",H19,"")&amp;""""="""+++""","""+++""",IF(""""&amp;IF(H19&lt;&gt;"",H19,"")&amp;""""="""a""","""a""",IF(""""&amp;IF(H19&lt;&gt;"",H19,"")&amp;""""="""""","""""",""""&amp;IF(H19&lt;&gt;"",H19,"")&amp;""""))))-2),A:G,7,0)</f>
        <v>//查询设置APN（PDP）</v>
      </c>
    </row>
    <row r="20" spans="1:9" x14ac:dyDescent="0.2">
      <c r="A20" s="1" t="s">
        <v>12</v>
      </c>
      <c r="B20" s="2" t="s">
        <v>251</v>
      </c>
      <c r="C20" s="7" t="s">
        <v>56</v>
      </c>
      <c r="D20" s="4" t="s">
        <v>55</v>
      </c>
      <c r="E20" s="4" t="s">
        <v>54</v>
      </c>
      <c r="F20" s="4">
        <v>1</v>
      </c>
      <c r="G20" s="2" t="s">
        <v>72</v>
      </c>
      <c r="H20" s="1" t="s">
        <v>21</v>
      </c>
      <c r="I20" s="2" t="str">
        <f>VLOOKUP(MID(IF(""""&amp;IF(H20&lt;&gt;"",H20,"")&amp;""""="""+++""","""+++""",IF(""""&amp;IF(H20&lt;&gt;"",H20,"")&amp;""""="""a""","""a""",IF(""""&amp;IF(H20&lt;&gt;"",H20,"")&amp;""""="""""","""""",""""&amp;IF(H20&lt;&gt;"",H20,"")&amp;""""))),2,LEN(IF(""""&amp;IF(H20&lt;&gt;"",H20,"")&amp;""""="""+++""","""+++""",IF(""""&amp;IF(H20&lt;&gt;"",H20,"")&amp;""""="""a""","""a""",IF(""""&amp;IF(H20&lt;&gt;"",H20,"")&amp;""""="""""","""""",""""&amp;IF(H20&lt;&gt;"",H20,"")&amp;""""))))-2),A:G,7,0)</f>
        <v>//显示PDP地址</v>
      </c>
    </row>
    <row r="21" spans="1:9" ht="13.5" customHeight="1" x14ac:dyDescent="0.2">
      <c r="A21" s="1" t="s">
        <v>14</v>
      </c>
      <c r="B21" s="2" t="s">
        <v>251</v>
      </c>
      <c r="C21" s="7" t="s">
        <v>56</v>
      </c>
      <c r="D21" s="4" t="s">
        <v>55</v>
      </c>
      <c r="E21" s="4" t="s">
        <v>54</v>
      </c>
      <c r="F21" s="4">
        <v>1</v>
      </c>
      <c r="G21" s="2" t="s">
        <v>71</v>
      </c>
      <c r="H21" s="1" t="s">
        <v>25</v>
      </c>
      <c r="I21" s="2" t="str">
        <f>VLOOKUP(MID(IF(""""&amp;IF(H21&lt;&gt;"",H21,"")&amp;""""="""+++""","""+++""",IF(""""&amp;IF(H21&lt;&gt;"",H21,"")&amp;""""="""a""","""a""",IF(""""&amp;IF(H21&lt;&gt;"",H21,"")&amp;""""="""""","""""",""""&amp;IF(H21&lt;&gt;"",H21,"")&amp;""""))),2,LEN(IF(""""&amp;IF(H21&lt;&gt;"",H21,"")&amp;""""="""+++""","""+++""",IF(""""&amp;IF(H21&lt;&gt;"",H21,"")&amp;""""="""a""","""a""",IF(""""&amp;IF(H21&lt;&gt;"",H21,"")&amp;""""="""""","""""",""""&amp;IF(H21&lt;&gt;"",H21,"")&amp;""""))))-2),A:G,7,0)</f>
        <v>//设置附着网络</v>
      </c>
    </row>
    <row r="22" spans="1:9" x14ac:dyDescent="0.2">
      <c r="A22" s="1" t="s">
        <v>16</v>
      </c>
      <c r="B22" s="2" t="s">
        <v>251</v>
      </c>
      <c r="C22" s="7" t="s">
        <v>56</v>
      </c>
      <c r="D22" s="4" t="s">
        <v>55</v>
      </c>
      <c r="E22" s="4" t="s">
        <v>54</v>
      </c>
      <c r="F22" s="4">
        <v>1</v>
      </c>
      <c r="G22" s="2" t="s">
        <v>70</v>
      </c>
      <c r="H22" s="1" t="s">
        <v>27</v>
      </c>
      <c r="I22" s="2" t="str">
        <f>VLOOKUP(MID(IF(""""&amp;IF(H22&lt;&gt;"",H22,"")&amp;""""="""+++""","""+++""",IF(""""&amp;IF(H22&lt;&gt;"",H22,"")&amp;""""="""a""","""a""",IF(""""&amp;IF(H22&lt;&gt;"",H22,"")&amp;""""="""""","""""",""""&amp;IF(H22&lt;&gt;"",H22,"")&amp;""""))),2,LEN(IF(""""&amp;IF(H22&lt;&gt;"",H22,"")&amp;""""="""+++""","""+++""",IF(""""&amp;IF(H22&lt;&gt;"",H22,"")&amp;""""="""a""","""a""",IF(""""&amp;IF(H22&lt;&gt;"",H22,"")&amp;""""="""""","""""",""""&amp;IF(H22&lt;&gt;"",H22,"")&amp;""""))))-2),A:G,7,0)</f>
        <v>//查询附着网络（查70s）</v>
      </c>
    </row>
    <row r="23" spans="1:9" x14ac:dyDescent="0.2">
      <c r="A23" s="1" t="s">
        <v>51</v>
      </c>
      <c r="B23" s="2" t="s">
        <v>251</v>
      </c>
      <c r="C23" s="7" t="s">
        <v>56</v>
      </c>
      <c r="D23" s="4" t="s">
        <v>55</v>
      </c>
      <c r="E23" s="4" t="s">
        <v>250</v>
      </c>
      <c r="F23" s="4">
        <v>1</v>
      </c>
      <c r="G23" s="2" t="s">
        <v>69</v>
      </c>
      <c r="H23" s="1" t="s">
        <v>6</v>
      </c>
      <c r="I23" s="2" t="str">
        <f>VLOOKUP(MID(IF(""""&amp;IF(H23&lt;&gt;"",H23,"")&amp;""""="""+++""","""+++""",IF(""""&amp;IF(H23&lt;&gt;"",H23,"")&amp;""""="""a""","""a""",IF(""""&amp;IF(H23&lt;&gt;"",H23,"")&amp;""""="""""","""""",""""&amp;IF(H23&lt;&gt;"",H23,"")&amp;""""))),2,LEN(IF(""""&amp;IF(H23&lt;&gt;"",H23,"")&amp;""""="""+++""","""+++""",IF(""""&amp;IF(H23&lt;&gt;"",H23,"")&amp;""""="""a""","""a""",IF(""""&amp;IF(H23&lt;&gt;"",H23,"")&amp;""""="""""","""""",""""&amp;IF(H23&lt;&gt;"",H23,"")&amp;""""))))-2),A:G,7,0)</f>
        <v>//信令连接状态</v>
      </c>
    </row>
    <row r="24" spans="1:9" x14ac:dyDescent="0.2">
      <c r="A24" s="1" t="s">
        <v>47</v>
      </c>
      <c r="B24" s="2" t="s">
        <v>253</v>
      </c>
      <c r="C24" s="7" t="s">
        <v>56</v>
      </c>
      <c r="D24" s="4" t="s">
        <v>55</v>
      </c>
      <c r="E24" s="4" t="s">
        <v>54</v>
      </c>
      <c r="F24" s="4">
        <v>1</v>
      </c>
      <c r="G24" s="2" t="s">
        <v>68</v>
      </c>
      <c r="H24" s="1" t="s">
        <v>8</v>
      </c>
      <c r="I24" s="2" t="str">
        <f>VLOOKUP(MID(IF(""""&amp;IF(H24&lt;&gt;"",H24,"")&amp;""""="""+++""","""+++""",IF(""""&amp;IF(H24&lt;&gt;"",H24,"")&amp;""""="""a""","""a""",IF(""""&amp;IF(H24&lt;&gt;"",H24,"")&amp;""""="""""","""""",""""&amp;IF(H24&lt;&gt;"",H24,"")&amp;""""))),2,LEN(IF(""""&amp;IF(H24&lt;&gt;"",H24,"")&amp;""""="""+++""","""+++""",IF(""""&amp;IF(H24&lt;&gt;"",H24,"")&amp;""""="""a""","""a""",IF(""""&amp;IF(H24&lt;&gt;"",H24,"")&amp;""""="""""","""""",""""&amp;IF(H24&lt;&gt;"",H24,"")&amp;""""))))-2),A:G,7,0)</f>
        <v>//获取信号质量</v>
      </c>
    </row>
    <row r="25" spans="1:9" x14ac:dyDescent="0.2">
      <c r="A25" s="1" t="s">
        <v>255</v>
      </c>
      <c r="B25" s="2" t="s">
        <v>251</v>
      </c>
      <c r="C25" s="7" t="s">
        <v>56</v>
      </c>
      <c r="D25" s="4" t="s">
        <v>256</v>
      </c>
      <c r="E25" s="4" t="s">
        <v>54</v>
      </c>
      <c r="F25" s="4">
        <v>1</v>
      </c>
      <c r="G25" s="2" t="s">
        <v>67</v>
      </c>
      <c r="H25" s="1" t="s">
        <v>10</v>
      </c>
      <c r="I25" s="2" t="str">
        <f>VLOOKUP(MID(IF(""""&amp;IF(H25&lt;&gt;"",H25,"")&amp;""""="""+++""","""+++""",IF(""""&amp;IF(H25&lt;&gt;"",H25,"")&amp;""""="""a""","""a""",IF(""""&amp;IF(H25&lt;&gt;"",H25,"")&amp;""""="""""","""""",""""&amp;IF(H25&lt;&gt;"",H25,"")&amp;""""))),2,LEN(IF(""""&amp;IF(H25&lt;&gt;"",H25,"")&amp;""""="""+++""","""+++""",IF(""""&amp;IF(H25&lt;&gt;"",H25,"")&amp;""""="""a""","""a""",IF(""""&amp;IF(H25&lt;&gt;"",H25,"")&amp;""""="""""","""""",""""&amp;IF(H25&lt;&gt;"",H25,"")&amp;""""))))-2),A:G,7,0)</f>
        <v>//获得扩展的信号质量</v>
      </c>
    </row>
    <row r="26" spans="1:9" x14ac:dyDescent="0.2">
      <c r="A26" s="1" t="s">
        <v>19</v>
      </c>
      <c r="B26" s="2" t="s">
        <v>251</v>
      </c>
      <c r="C26" s="7" t="s">
        <v>56</v>
      </c>
      <c r="D26" s="4" t="s">
        <v>55</v>
      </c>
      <c r="E26" s="4" t="s">
        <v>54</v>
      </c>
      <c r="F26" s="4">
        <v>1</v>
      </c>
      <c r="G26" s="2" t="s">
        <v>66</v>
      </c>
      <c r="H26" s="1" t="s">
        <v>14</v>
      </c>
      <c r="I26" s="2" t="str">
        <f>VLOOKUP(MID(IF(""""&amp;IF(H26&lt;&gt;"",H26,"")&amp;""""="""+++""","""+++""",IF(""""&amp;IF(H26&lt;&gt;"",H26,"")&amp;""""="""a""","""a""",IF(""""&amp;IF(H26&lt;&gt;"",H26,"")&amp;""""="""""","""""",""""&amp;IF(H26&lt;&gt;"",H26,"")&amp;""""))),2,LEN(IF(""""&amp;IF(H26&lt;&gt;"",H26,"")&amp;""""="""+++""","""+++""",IF(""""&amp;IF(H26&lt;&gt;"",H26,"")&amp;""""="""a""","""a""",IF(""""&amp;IF(H26&lt;&gt;"",H26,"")&amp;""""="""""","""""",""""&amp;IF(H26&lt;&gt;"",H26,"")&amp;""""))))-2),A:G,7,0)</f>
        <v>//获得SIM卡的IMSI</v>
      </c>
    </row>
    <row r="27" spans="1:9" x14ac:dyDescent="0.2">
      <c r="A27" s="1" t="s">
        <v>21</v>
      </c>
      <c r="B27" s="2" t="s">
        <v>251</v>
      </c>
      <c r="C27" s="7" t="s">
        <v>56</v>
      </c>
      <c r="D27" s="4" t="s">
        <v>55</v>
      </c>
      <c r="E27" s="4" t="s">
        <v>54</v>
      </c>
      <c r="F27" s="4">
        <v>1</v>
      </c>
      <c r="G27" s="2" t="s">
        <v>65</v>
      </c>
      <c r="H27" s="1" t="s">
        <v>16</v>
      </c>
      <c r="I27" s="2" t="str">
        <f>VLOOKUP(MID(IF(""""&amp;IF(H27&lt;&gt;"",H27,"")&amp;""""="""+++""","""+++""",IF(""""&amp;IF(H27&lt;&gt;"",H27,"")&amp;""""="""a""","""a""",IF(""""&amp;IF(H27&lt;&gt;"",H27,"")&amp;""""="""""","""""",""""&amp;IF(H27&lt;&gt;"",H27,"")&amp;""""))),2,LEN(IF(""""&amp;IF(H27&lt;&gt;"",H27,"")&amp;""""="""+++""","""+++""",IF(""""&amp;IF(H27&lt;&gt;"",H27,"")&amp;""""="""a""","""a""",IF(""""&amp;IF(H27&lt;&gt;"",H27,"")&amp;""""="""""","""""",""""&amp;IF(H27&lt;&gt;"",H27,"")&amp;""""))))-2),A:G,7,0)</f>
        <v>//获取CCID</v>
      </c>
    </row>
    <row r="28" spans="1:9" x14ac:dyDescent="0.2">
      <c r="A28" s="1" t="s">
        <v>43</v>
      </c>
      <c r="B28" s="2" t="s">
        <v>251</v>
      </c>
      <c r="C28" s="7" t="s">
        <v>56</v>
      </c>
      <c r="D28" s="4" t="s">
        <v>55</v>
      </c>
      <c r="E28" s="4" t="s">
        <v>54</v>
      </c>
      <c r="F28" s="4">
        <v>1</v>
      </c>
      <c r="G28" s="2" t="s">
        <v>64</v>
      </c>
      <c r="H28" s="1" t="s">
        <v>43</v>
      </c>
      <c r="I28" s="2" t="str">
        <f>VLOOKUP(MID(IF(""""&amp;IF(H28&lt;&gt;"",H28,"")&amp;""""="""+++""","""+++""",IF(""""&amp;IF(H28&lt;&gt;"",H28,"")&amp;""""="""a""","""a""",IF(""""&amp;IF(H28&lt;&gt;"",H28,"")&amp;""""="""""","""""",""""&amp;IF(H28&lt;&gt;"",H28,"")&amp;""""))),2,LEN(IF(""""&amp;IF(H28&lt;&gt;"",H28,"")&amp;""""="""+++""","""+++""",IF(""""&amp;IF(H28&lt;&gt;"",H28,"")&amp;""""="""a""","""a""",IF(""""&amp;IF(H28&lt;&gt;"",H28,"")&amp;""""="""""","""""",""""&amp;IF(H28&lt;&gt;"",H28,"")&amp;""""))))-2),A:G,7,0)</f>
        <v>//返回当前日期和时间</v>
      </c>
    </row>
    <row r="29" spans="1:9" x14ac:dyDescent="0.2">
      <c r="A29" s="1" t="s">
        <v>244</v>
      </c>
      <c r="B29" s="2" t="s">
        <v>251</v>
      </c>
      <c r="C29" s="7" t="s">
        <v>56</v>
      </c>
      <c r="D29" s="4" t="s">
        <v>249</v>
      </c>
      <c r="E29" s="4" t="s">
        <v>54</v>
      </c>
      <c r="F29" s="4">
        <v>1</v>
      </c>
      <c r="G29" s="2" t="s">
        <v>63</v>
      </c>
      <c r="H29" s="1" t="s">
        <v>244</v>
      </c>
      <c r="I29" s="2" t="str">
        <f>VLOOKUP(MID(IF(""""&amp;IF(H29&lt;&gt;"",H29,"")&amp;""""="""+++""","""+++""",IF(""""&amp;IF(H29&lt;&gt;"",H29,"")&amp;""""="""a""","""a""",IF(""""&amp;IF(H29&lt;&gt;"",H29,"")&amp;""""="""""","""""",""""&amp;IF(H29&lt;&gt;"",H29,"")&amp;""""))),2,LEN(IF(""""&amp;IF(H29&lt;&gt;"",H29,"")&amp;""""="""+++""","""+++""",IF(""""&amp;IF(H29&lt;&gt;"",H29,"")&amp;""""="""a""","""a""",IF(""""&amp;IF(H29&lt;&gt;"",H29,"")&amp;""""="""""","""""",""""&amp;IF(H29&lt;&gt;"",H29,"")&amp;""""))))-2),A:G,7,0)</f>
        <v>//打开客户端连接</v>
      </c>
    </row>
    <row r="30" spans="1:9" x14ac:dyDescent="0.2">
      <c r="A30" s="1" t="s">
        <v>245</v>
      </c>
      <c r="B30" s="2" t="s">
        <v>251</v>
      </c>
      <c r="C30" s="7" t="s">
        <v>56</v>
      </c>
      <c r="D30" s="4" t="s">
        <v>257</v>
      </c>
      <c r="E30" s="4" t="s">
        <v>54</v>
      </c>
      <c r="F30" s="4">
        <v>1</v>
      </c>
      <c r="G30" s="2" t="s">
        <v>62</v>
      </c>
      <c r="H30" s="1" t="s">
        <v>245</v>
      </c>
      <c r="I30" s="2" t="str">
        <f>VLOOKUP(MID(IF(""""&amp;IF(H30&lt;&gt;"",H30,"")&amp;""""="""+++""","""+++""",IF(""""&amp;IF(H30&lt;&gt;"",H30,"")&amp;""""="""a""","""a""",IF(""""&amp;IF(H30&lt;&gt;"",H30,"")&amp;""""="""""","""""",""""&amp;IF(H30&lt;&gt;"",H30,"")&amp;""""))),2,LEN(IF(""""&amp;IF(H30&lt;&gt;"",H30,"")&amp;""""="""+++""","""+++""",IF(""""&amp;IF(H30&lt;&gt;"",H30,"")&amp;""""="""a""","""a""",IF(""""&amp;IF(H30&lt;&gt;"",H30,"")&amp;""""="""""","""""",""""&amp;IF(H30&lt;&gt;"",H30,"")&amp;""""))))-2),A:G,7,0)</f>
        <v>//登录连接服务器</v>
      </c>
    </row>
    <row r="31" spans="1:9" x14ac:dyDescent="0.2">
      <c r="A31" s="1" t="s">
        <v>246</v>
      </c>
      <c r="B31" s="2" t="s">
        <v>251</v>
      </c>
      <c r="C31" s="7" t="s">
        <v>56</v>
      </c>
      <c r="D31" s="4" t="s">
        <v>55</v>
      </c>
      <c r="E31" s="4" t="s">
        <v>54</v>
      </c>
      <c r="F31" s="4">
        <v>1</v>
      </c>
      <c r="G31" s="2" t="s">
        <v>61</v>
      </c>
      <c r="H31" s="1" t="s">
        <v>246</v>
      </c>
      <c r="I31" s="2" t="str">
        <f>VLOOKUP(MID(IF(""""&amp;IF(H31&lt;&gt;"",H31,"")&amp;""""="""+++""","""+++""",IF(""""&amp;IF(H31&lt;&gt;"",H31,"")&amp;""""="""a""","""a""",IF(""""&amp;IF(H31&lt;&gt;"",H31,"")&amp;""""="""""","""""",""""&amp;IF(H31&lt;&gt;"",H31,"")&amp;""""))),2,LEN(IF(""""&amp;IF(H31&lt;&gt;"",H31,"")&amp;""""="""+++""","""+++""",IF(""""&amp;IF(H31&lt;&gt;"",H31,"")&amp;""""="""a""","""a""",IF(""""&amp;IF(H31&lt;&gt;"",H31,"")&amp;""""="""""","""""",""""&amp;IF(H31&lt;&gt;"",H31,"")&amp;""""))))-2),A:G,7,0)</f>
        <v>//订阅Topic</v>
      </c>
    </row>
    <row r="32" spans="1:9" x14ac:dyDescent="0.2">
      <c r="A32" s="1" t="s">
        <v>247</v>
      </c>
      <c r="B32" s="2" t="s">
        <v>251</v>
      </c>
      <c r="C32" s="7" t="s">
        <v>56</v>
      </c>
      <c r="D32" s="4" t="s">
        <v>55</v>
      </c>
      <c r="E32" s="4" t="s">
        <v>54</v>
      </c>
      <c r="F32" s="4">
        <v>1</v>
      </c>
      <c r="G32" s="2" t="s">
        <v>60</v>
      </c>
      <c r="H32" s="1" t="s">
        <v>247</v>
      </c>
      <c r="I32" s="2" t="str">
        <f>VLOOKUP(MID(IF(""""&amp;IF(H32&lt;&gt;"",H32,"")&amp;""""="""+++""","""+++""",IF(""""&amp;IF(H32&lt;&gt;"",H32,"")&amp;""""="""a""","""a""",IF(""""&amp;IF(H32&lt;&gt;"",H32,"")&amp;""""="""""","""""",""""&amp;IF(H32&lt;&gt;"",H32,"")&amp;""""))),2,LEN(IF(""""&amp;IF(H32&lt;&gt;"",H32,"")&amp;""""="""+++""","""+++""",IF(""""&amp;IF(H32&lt;&gt;"",H32,"")&amp;""""="""a""","""a""",IF(""""&amp;IF(H32&lt;&gt;"",H32,"")&amp;""""="""""","""""",""""&amp;IF(H32&lt;&gt;"",H32,"")&amp;""""))))-2),A:G,7,0)</f>
        <v>//发布消息</v>
      </c>
    </row>
    <row r="33" spans="1:9" x14ac:dyDescent="0.2">
      <c r="A33" s="1" t="s">
        <v>248</v>
      </c>
      <c r="B33" s="2" t="s">
        <v>251</v>
      </c>
      <c r="C33" s="7" t="s">
        <v>56</v>
      </c>
      <c r="D33" s="4" t="s">
        <v>55</v>
      </c>
      <c r="E33" s="4" t="s">
        <v>54</v>
      </c>
      <c r="F33" s="4">
        <v>1</v>
      </c>
      <c r="G33" s="2" t="s">
        <v>59</v>
      </c>
      <c r="H33" s="1" t="s">
        <v>248</v>
      </c>
      <c r="I33" s="2" t="str">
        <f>VLOOKUP(MID(IF(""""&amp;IF(H33&lt;&gt;"",H33,"")&amp;""""="""+++""","""+++""",IF(""""&amp;IF(H33&lt;&gt;"",H33,"")&amp;""""="""a""","""a""",IF(""""&amp;IF(H33&lt;&gt;"",H33,"")&amp;""""="""""","""""",""""&amp;IF(H33&lt;&gt;"",H33,"")&amp;""""))),2,LEN(IF(""""&amp;IF(H33&lt;&gt;"",H33,"")&amp;""""="""+++""","""+++""",IF(""""&amp;IF(H33&lt;&gt;"",H33,"")&amp;""""="""a""","""a""",IF(""""&amp;IF(H33&lt;&gt;"",H33,"")&amp;""""="""""","""""",""""&amp;IF(H33&lt;&gt;"",H33,"")&amp;""""))))-2),A:G,7,0)</f>
        <v>//取消订阅</v>
      </c>
    </row>
    <row r="34" spans="1:9" x14ac:dyDescent="0.2">
      <c r="A34" s="1" t="s">
        <v>38</v>
      </c>
      <c r="B34" s="2" t="s">
        <v>251</v>
      </c>
      <c r="C34" s="7" t="s">
        <v>56</v>
      </c>
      <c r="D34" s="4" t="s">
        <v>55</v>
      </c>
      <c r="E34" s="4" t="s">
        <v>54</v>
      </c>
      <c r="F34" s="4">
        <v>0</v>
      </c>
      <c r="G34" s="2" t="s">
        <v>58</v>
      </c>
      <c r="H34" s="1" t="s">
        <v>38</v>
      </c>
      <c r="I34" s="2" t="str">
        <f>VLOOKUP(MID(IF(""""&amp;IF(H34&lt;&gt;"",H34,"")&amp;""""="""+++""","""+++""",IF(""""&amp;IF(H34&lt;&gt;"",H34,"")&amp;""""="""a""","""a""",IF(""""&amp;IF(H34&lt;&gt;"",H34,"")&amp;""""="""""","""""",""""&amp;IF(H34&lt;&gt;"",H34,"")&amp;""""))),2,LEN(IF(""""&amp;IF(H34&lt;&gt;"",H34,"")&amp;""""="""+++""","""+++""",IF(""""&amp;IF(H34&lt;&gt;"",H34,"")&amp;""""="""a""","""a""",IF(""""&amp;IF(H34&lt;&gt;"",H34,"")&amp;""""="""""","""""",""""&amp;IF(H34&lt;&gt;"",H34,"")&amp;""""))))-2),A:G,7,0)</f>
        <v>//关闭 MQTT 客户端</v>
      </c>
    </row>
    <row r="35" spans="1:9" x14ac:dyDescent="0.2">
      <c r="A35" s="1" t="s">
        <v>29</v>
      </c>
      <c r="B35" s="2" t="s">
        <v>251</v>
      </c>
      <c r="C35" s="7" t="s">
        <v>56</v>
      </c>
      <c r="D35" s="4" t="s">
        <v>55</v>
      </c>
      <c r="E35" s="4" t="s">
        <v>54</v>
      </c>
      <c r="F35" s="4">
        <v>0</v>
      </c>
      <c r="G35" s="2" t="s">
        <v>53</v>
      </c>
      <c r="H35" s="1" t="s">
        <v>29</v>
      </c>
      <c r="I35" s="2" t="str">
        <f>VLOOKUP(MID(IF(""""&amp;IF(H35&lt;&gt;"",H35,"")&amp;""""="""+++""","""+++""",IF(""""&amp;IF(H35&lt;&gt;"",H35,"")&amp;""""="""a""","""a""",IF(""""&amp;IF(H35&lt;&gt;"",H35,"")&amp;""""="""""","""""",""""&amp;IF(H35&lt;&gt;"",H35,"")&amp;""""))),2,LEN(IF(""""&amp;IF(H35&lt;&gt;"",H35,"")&amp;""""="""+++""","""+++""",IF(""""&amp;IF(H35&lt;&gt;"",H35,"")&amp;""""="""a""","""a""",IF(""""&amp;IF(H35&lt;&gt;"",H35,"")&amp;""""="""""","""""",""""&amp;IF(H35&lt;&gt;"",H35,"")&amp;""""))))-2),A:G,7,0)</f>
        <v>//获取下行数据</v>
      </c>
    </row>
    <row r="36" spans="1:9" x14ac:dyDescent="0.2">
      <c r="A36"/>
      <c r="C36" s="17"/>
      <c r="H36"/>
      <c r="I36" s="3"/>
    </row>
    <row r="37" spans="1:9" x14ac:dyDescent="0.2">
      <c r="A37"/>
      <c r="C37" s="17"/>
      <c r="H37"/>
      <c r="I37" s="3"/>
    </row>
    <row r="38" spans="1:9" x14ac:dyDescent="0.2">
      <c r="A38"/>
      <c r="C38" s="17"/>
      <c r="H38"/>
      <c r="I38" s="3"/>
    </row>
    <row r="39" spans="1:9" x14ac:dyDescent="0.2">
      <c r="A39"/>
      <c r="C39" s="17"/>
      <c r="H39"/>
      <c r="I39" s="3"/>
    </row>
    <row r="40" spans="1:9" x14ac:dyDescent="0.2">
      <c r="A40"/>
      <c r="C40" s="17"/>
      <c r="H40"/>
      <c r="I40" s="3"/>
    </row>
    <row r="41" spans="1:9" x14ac:dyDescent="0.2">
      <c r="A41"/>
      <c r="C41" s="17"/>
      <c r="H41"/>
      <c r="I41" s="3"/>
    </row>
    <row r="43" spans="1:9" ht="28.5" x14ac:dyDescent="0.2">
      <c r="A43" s="2" t="s">
        <v>230</v>
      </c>
      <c r="B43" s="2" t="s">
        <v>95</v>
      </c>
      <c r="C43" s="9" t="s">
        <v>94</v>
      </c>
      <c r="D43" s="4" t="s">
        <v>93</v>
      </c>
      <c r="E43" s="4" t="s">
        <v>92</v>
      </c>
      <c r="F43" s="4" t="s">
        <v>91</v>
      </c>
      <c r="G43" s="2" t="s">
        <v>89</v>
      </c>
      <c r="H43" s="8" t="s">
        <v>90</v>
      </c>
      <c r="I43" s="2" t="s">
        <v>89</v>
      </c>
    </row>
    <row r="44" spans="1:9" x14ac:dyDescent="0.2">
      <c r="A44" s="12" t="s">
        <v>229</v>
      </c>
      <c r="B44" s="2" t="s">
        <v>228</v>
      </c>
      <c r="C44" s="7" t="s">
        <v>56</v>
      </c>
      <c r="D44" s="4" t="s">
        <v>55</v>
      </c>
      <c r="E44" s="4" t="s">
        <v>54</v>
      </c>
      <c r="F44" s="4">
        <v>1</v>
      </c>
      <c r="G44" s="2" t="s">
        <v>227</v>
      </c>
      <c r="H44" s="1" t="s">
        <v>222</v>
      </c>
      <c r="I44" s="2" t="str">
        <f>VLOOKUP(MID(IF(""""&amp;IF(H44&lt;&gt;"",H44,"")&amp;""""="""+++""","""+++""",IF(""""&amp;IF(H44&lt;&gt;"",H44,"")&amp;""""="""a""","""a""",IF(""""&amp;IF(H44&lt;&gt;"",H44,"")&amp;""""="""""","""""",""""&amp;IF(H44&lt;&gt;"",H44,"")&amp;""""))),2,LEN(IF(""""&amp;IF(H44&lt;&gt;"",H44,"")&amp;""""="""+++""","""+++""",IF(""""&amp;IF(H44&lt;&gt;"",H44,"")&amp;""""="""a""","""a""",IF(""""&amp;IF(H44&lt;&gt;"",H44,"")&amp;""""="""""","""""",""""&amp;IF(H44&lt;&gt;"",H44,"")&amp;""""))))-2),A:G,7,0)</f>
        <v>//查询/设置回显使能</v>
      </c>
    </row>
    <row r="45" spans="1:9" x14ac:dyDescent="0.2">
      <c r="A45" s="12" t="s">
        <v>226</v>
      </c>
      <c r="B45" s="2" t="s">
        <v>225</v>
      </c>
      <c r="C45" s="7" t="s">
        <v>56</v>
      </c>
      <c r="D45" s="4" t="s">
        <v>55</v>
      </c>
      <c r="E45" s="4" t="s">
        <v>54</v>
      </c>
      <c r="F45" s="4">
        <v>1</v>
      </c>
      <c r="G45" s="2" t="s">
        <v>224</v>
      </c>
      <c r="H45" s="1" t="s">
        <v>223</v>
      </c>
      <c r="I45" s="2" t="e">
        <f>VLOOKUP(MID(IF(""""&amp;IF(H45&lt;&gt;"",H45,"")&amp;""""="""+++""","""+++""",IF(""""&amp;IF(H45&lt;&gt;"",H45,"")&amp;""""="""a""","""a""",IF(""""&amp;IF(H45&lt;&gt;"",H45,"")&amp;""""="""""","""""",""""&amp;IF(H45&lt;&gt;"",H45,"")&amp;""""))),2,LEN(IF(""""&amp;IF(H45&lt;&gt;"",H45,"")&amp;""""="""+++""","""+++""",IF(""""&amp;IF(H45&lt;&gt;"",H45,"")&amp;""""="""a""","""a""",IF(""""&amp;IF(H45&lt;&gt;"",H45,"")&amp;""""="""""","""""",""""&amp;IF(H45&lt;&gt;"",H45,"")&amp;""""))))-2),A:G,7,0)</f>
        <v>#N/A</v>
      </c>
    </row>
    <row r="46" spans="1:9" x14ac:dyDescent="0.2">
      <c r="A46" s="12" t="s">
        <v>222</v>
      </c>
      <c r="B46" s="2" t="s">
        <v>57</v>
      </c>
      <c r="C46" s="7" t="s">
        <v>56</v>
      </c>
      <c r="D46" s="4" t="s">
        <v>55</v>
      </c>
      <c r="E46" s="4" t="s">
        <v>54</v>
      </c>
      <c r="F46" s="4">
        <v>1</v>
      </c>
      <c r="G46" s="2" t="s">
        <v>221</v>
      </c>
      <c r="H46" s="1" t="s">
        <v>110</v>
      </c>
      <c r="I46" s="2" t="str">
        <f>VLOOKUP(MID(IF(""""&amp;IF(H46&lt;&gt;"",H46,"")&amp;""""="""+++""","""+++""",IF(""""&amp;IF(H46&lt;&gt;"",H46,"")&amp;""""="""a""","""a""",IF(""""&amp;IF(H46&lt;&gt;"",H46,"")&amp;""""="""""","""""",""""&amp;IF(H46&lt;&gt;"",H46,"")&amp;""""))),2,LEN(IF(""""&amp;IF(H46&lt;&gt;"",H46,"")&amp;""""="""+++""","""+++""",IF(""""&amp;IF(H46&lt;&gt;"",H46,"")&amp;""""="""a""","""a""",IF(""""&amp;IF(H46&lt;&gt;"",H46,"")&amp;""""="""""","""""",""""&amp;IF(H46&lt;&gt;"",H46,"")&amp;""""))))-2),A:G,7,0)</f>
        <v>//查询/设置连接前是否清理串口缓存</v>
      </c>
    </row>
    <row r="47" spans="1:9" x14ac:dyDescent="0.2">
      <c r="A47" s="12" t="s">
        <v>182</v>
      </c>
      <c r="B47" s="2" t="s">
        <v>57</v>
      </c>
      <c r="C47" s="7" t="s">
        <v>56</v>
      </c>
      <c r="D47" s="4" t="s">
        <v>55</v>
      </c>
      <c r="E47" s="4" t="s">
        <v>54</v>
      </c>
      <c r="F47" s="4">
        <v>1</v>
      </c>
      <c r="G47" s="2" t="s">
        <v>220</v>
      </c>
      <c r="H47" s="1" t="s">
        <v>210</v>
      </c>
      <c r="I47" s="2" t="str">
        <f>VLOOKUP(MID(IF(""""&amp;IF(H47&lt;&gt;"",H47,"")&amp;""""="""+++""","""+++""",IF(""""&amp;IF(H47&lt;&gt;"",H47,"")&amp;""""="""a""","""a""",IF(""""&amp;IF(H47&lt;&gt;"",H47,"")&amp;""""="""""","""""",""""&amp;IF(H47&lt;&gt;"",H47,"")&amp;""""))),2,LEN(IF(""""&amp;IF(H47&lt;&gt;"",H47,"")&amp;""""="""+++""","""+++""",IF(""""&amp;IF(H47&lt;&gt;"",H47,"")&amp;""""="""a""","""a""",IF(""""&amp;IF(H47&lt;&gt;"",H47,"")&amp;""""="""""","""""",""""&amp;IF(H47&lt;&gt;"",H47,"")&amp;""""))))-2),A:G,7,0)</f>
        <v>//查询/设置模块DNS获取方式</v>
      </c>
    </row>
    <row r="48" spans="1:9" x14ac:dyDescent="0.2">
      <c r="A48" s="12" t="s">
        <v>219</v>
      </c>
      <c r="B48" s="2" t="s">
        <v>57</v>
      </c>
      <c r="C48" s="7" t="s">
        <v>56</v>
      </c>
      <c r="D48" s="4" t="s">
        <v>55</v>
      </c>
      <c r="E48" s="4" t="s">
        <v>54</v>
      </c>
      <c r="F48" s="4">
        <v>1</v>
      </c>
      <c r="G48" s="2" t="s">
        <v>218</v>
      </c>
      <c r="H48" s="1" t="s">
        <v>214</v>
      </c>
      <c r="I48" s="2" t="str">
        <f>VLOOKUP(MID(IF(""""&amp;IF(H48&lt;&gt;"",H48,"")&amp;""""="""+++""","""+++""",IF(""""&amp;IF(H48&lt;&gt;"",H48,"")&amp;""""="""a""","""a""",IF(""""&amp;IF(H48&lt;&gt;"",H48,"")&amp;""""="""""","""""",""""&amp;IF(H48&lt;&gt;"",H48,"")&amp;""""))),2,LEN(IF(""""&amp;IF(H48&lt;&gt;"",H48,"")&amp;""""="""+++""","""+++""",IF(""""&amp;IF(H48&lt;&gt;"",H48,"")&amp;""""="""a""","""a""",IF(""""&amp;IF(H48&lt;&gt;"",H48,"")&amp;""""="""""","""""",""""&amp;IF(H48&lt;&gt;"",H48,"")&amp;""""))))-2),A:G,7,0)</f>
        <v>//查询/设置模块获取到的WAN口IP（DHCP/STATIC）</v>
      </c>
    </row>
    <row r="49" spans="1:9" x14ac:dyDescent="0.2">
      <c r="A49" s="12" t="s">
        <v>217</v>
      </c>
      <c r="B49" s="2" t="s">
        <v>57</v>
      </c>
      <c r="C49" s="7" t="s">
        <v>56</v>
      </c>
      <c r="D49" s="4" t="s">
        <v>55</v>
      </c>
      <c r="E49" s="4" t="s">
        <v>54</v>
      </c>
      <c r="F49" s="4">
        <v>1</v>
      </c>
      <c r="G49" s="2" t="s">
        <v>216</v>
      </c>
      <c r="H49" s="1" t="s">
        <v>215</v>
      </c>
      <c r="I49" s="2" t="e">
        <f>VLOOKUP(MID(IF(""""&amp;IF(H49&lt;&gt;"",H49,"")&amp;""""="""+++""","""+++""",IF(""""&amp;IF(H49&lt;&gt;"",H49,"")&amp;""""="""a""","""a""",IF(""""&amp;IF(H49&lt;&gt;"",H49,"")&amp;""""="""""","""""",""""&amp;IF(H49&lt;&gt;"",H49,"")&amp;""""))),2,LEN(IF(""""&amp;IF(H49&lt;&gt;"",H49,"")&amp;""""="""+++""","""+++""",IF(""""&amp;IF(H49&lt;&gt;"",H49,"")&amp;""""="""a""","""a""",IF(""""&amp;IF(H49&lt;&gt;"",H49,"")&amp;""""="""""","""""",""""&amp;IF(H49&lt;&gt;"",H49,"")&amp;""""))))-2),A:G,7,0)</f>
        <v>#N/A</v>
      </c>
    </row>
    <row r="50" spans="1:9" x14ac:dyDescent="0.2">
      <c r="A50" s="12" t="s">
        <v>214</v>
      </c>
      <c r="B50" s="2" t="s">
        <v>57</v>
      </c>
      <c r="C50" s="7" t="s">
        <v>56</v>
      </c>
      <c r="D50" s="4" t="s">
        <v>213</v>
      </c>
      <c r="E50" s="4" t="s">
        <v>54</v>
      </c>
      <c r="F50" s="4">
        <v>1</v>
      </c>
      <c r="G50" s="2" t="s">
        <v>212</v>
      </c>
      <c r="H50" s="1" t="s">
        <v>211</v>
      </c>
      <c r="I50" s="2" t="str">
        <f>VLOOKUP(MID(IF(""""&amp;IF(H50&lt;&gt;"",H50,"")&amp;""""="""+++""","""+++""",IF(""""&amp;IF(H50&lt;&gt;"",H50,"")&amp;""""="""a""","""a""",IF(""""&amp;IF(H50&lt;&gt;"",H50,"")&amp;""""="""""","""""",""""&amp;IF(H50&lt;&gt;"",H50,"")&amp;""""))),2,LEN(IF(""""&amp;IF(H50&lt;&gt;"",H50,"")&amp;""""="""+++""","""+++""",IF(""""&amp;IF(H50&lt;&gt;"",H50,"")&amp;""""="""a""","""a""",IF(""""&amp;IF(H50&lt;&gt;"",H50,"")&amp;""""="""""","""""",""""&amp;IF(H50&lt;&gt;"",H50,"")&amp;""""))))-2),A:G,7,0)</f>
        <v>//查询/设置MQTT网关功能状态</v>
      </c>
    </row>
    <row r="51" spans="1:9" x14ac:dyDescent="0.2">
      <c r="A51" s="12" t="s">
        <v>210</v>
      </c>
      <c r="B51" s="2" t="s">
        <v>57</v>
      </c>
      <c r="C51" s="7" t="s">
        <v>56</v>
      </c>
      <c r="D51" s="4" t="s">
        <v>55</v>
      </c>
      <c r="E51" s="4" t="s">
        <v>54</v>
      </c>
      <c r="F51" s="4">
        <v>1</v>
      </c>
      <c r="G51" s="2" t="s">
        <v>209</v>
      </c>
      <c r="H51" s="1" t="s">
        <v>208</v>
      </c>
      <c r="I51" s="2" t="str">
        <f>VLOOKUP(MID(IF(""""&amp;IF(H51&lt;&gt;"",H51,"")&amp;""""="""+++""","""+++""",IF(""""&amp;IF(H51&lt;&gt;"",H51,"")&amp;""""="""a""","""a""",IF(""""&amp;IF(H51&lt;&gt;"",H51,"")&amp;""""="""""","""""",""""&amp;IF(H51&lt;&gt;"",H51,"")&amp;""""))),2,LEN(IF(""""&amp;IF(H51&lt;&gt;"",H51,"")&amp;""""="""+++""","""+++""",IF(""""&amp;IF(H51&lt;&gt;"",H51,"")&amp;""""="""a""","""a""",IF(""""&amp;IF(H51&lt;&gt;"",H51,"")&amp;""""="""""","""""",""""&amp;IF(H51&lt;&gt;"",H51,"")&amp;""""))))-2),A:G,7,0)</f>
        <v>//查询/设置MQTTsocket连接本地端口号</v>
      </c>
    </row>
    <row r="52" spans="1:9" x14ac:dyDescent="0.2">
      <c r="A52" s="2" t="s">
        <v>207</v>
      </c>
      <c r="B52" s="2" t="s">
        <v>57</v>
      </c>
      <c r="C52" s="7" t="s">
        <v>56</v>
      </c>
      <c r="D52" s="4" t="s">
        <v>55</v>
      </c>
      <c r="E52" s="4" t="s">
        <v>54</v>
      </c>
      <c r="F52" s="4">
        <v>1</v>
      </c>
      <c r="G52" s="2" t="s">
        <v>206</v>
      </c>
      <c r="H52" s="1" t="s">
        <v>205</v>
      </c>
      <c r="I52" s="2" t="str">
        <f>VLOOKUP(MID(IF(""""&amp;IF(H52&lt;&gt;"",H52,"")&amp;""""="""+++""","""+++""",IF(""""&amp;IF(H52&lt;&gt;"",H52,"")&amp;""""="""a""","""a""",IF(""""&amp;IF(H52&lt;&gt;"",H52,"")&amp;""""="""""","""""",""""&amp;IF(H52&lt;&gt;"",H52,"")&amp;""""))),2,LEN(IF(""""&amp;IF(H52&lt;&gt;"",H52,"")&amp;""""="""+++""","""+++""",IF(""""&amp;IF(H52&lt;&gt;"",H52,"")&amp;""""="""a""","""a""",IF(""""&amp;IF(H52&lt;&gt;"",H52,"")&amp;""""="""""","""""",""""&amp;IF(H52&lt;&gt;"",H52,"")&amp;""""))))-2),A:G,7,0)</f>
        <v>//查询/设置MQTT连接验证开启状态</v>
      </c>
    </row>
    <row r="53" spans="1:9" x14ac:dyDescent="0.2">
      <c r="A53" s="2" t="s">
        <v>204</v>
      </c>
      <c r="B53" s="2" t="s">
        <v>57</v>
      </c>
      <c r="C53" s="7" t="s">
        <v>56</v>
      </c>
      <c r="D53" s="4" t="s">
        <v>55</v>
      </c>
      <c r="E53" s="4" t="s">
        <v>54</v>
      </c>
      <c r="F53" s="4">
        <v>1</v>
      </c>
      <c r="G53" s="2" t="s">
        <v>203</v>
      </c>
      <c r="H53" s="1" t="s">
        <v>159</v>
      </c>
      <c r="I53" s="2" t="str">
        <f>VLOOKUP(MID(IF(""""&amp;IF(H53&lt;&gt;"",H53,"")&amp;""""="""+++""","""+++""",IF(""""&amp;IF(H53&lt;&gt;"",H53,"")&amp;""""="""a""","""a""",IF(""""&amp;IF(H53&lt;&gt;"",H53,"")&amp;""""="""""","""""",""""&amp;IF(H53&lt;&gt;"",H53,"")&amp;""""))),2,LEN(IF(""""&amp;IF(H53&lt;&gt;"",H53,"")&amp;""""="""+++""","""+++""",IF(""""&amp;IF(H53&lt;&gt;"",H53,"")&amp;""""="""a""","""a""",IF(""""&amp;IF(H53&lt;&gt;"",H53,"")&amp;""""="""""","""""",""""&amp;IF(H53&lt;&gt;"",H53,"")&amp;""""))))-2),A:G,7,0)</f>
        <v>//查询/设置MQTT客户端ID</v>
      </c>
    </row>
    <row r="54" spans="1:9" x14ac:dyDescent="0.2">
      <c r="A54" s="12" t="s">
        <v>202</v>
      </c>
      <c r="B54" s="2" t="s">
        <v>57</v>
      </c>
      <c r="C54" s="7" t="s">
        <v>201</v>
      </c>
      <c r="D54" s="4" t="s">
        <v>200</v>
      </c>
      <c r="E54" s="4" t="s">
        <v>199</v>
      </c>
      <c r="F54" s="4">
        <v>0</v>
      </c>
      <c r="G54" s="2" t="s">
        <v>198</v>
      </c>
      <c r="H54" s="1" t="s">
        <v>197</v>
      </c>
      <c r="I54" s="2" t="str">
        <f>VLOOKUP(MID(IF(""""&amp;IF(H54&lt;&gt;"",H54,"")&amp;""""="""+++""","""+++""",IF(""""&amp;IF(H54&lt;&gt;"",H54,"")&amp;""""="""a""","""a""",IF(""""&amp;IF(H54&lt;&gt;"",H54,"")&amp;""""="""""","""""",""""&amp;IF(H54&lt;&gt;"",H54,"")&amp;""""))),2,LEN(IF(""""&amp;IF(H54&lt;&gt;"",H54,"")&amp;""""="""+++""","""+++""",IF(""""&amp;IF(H54&lt;&gt;"",H54,"")&amp;""""="""a""","""a""",IF(""""&amp;IF(H54&lt;&gt;"",H54,"")&amp;""""="""""","""""",""""&amp;IF(H54&lt;&gt;"",H54,"")&amp;""""))))-2),A:G,7,0)</f>
        <v>//查询/设置MQTT用户名</v>
      </c>
    </row>
    <row r="55" spans="1:9" x14ac:dyDescent="0.2">
      <c r="A55" s="2" t="s">
        <v>196</v>
      </c>
      <c r="B55" s="2" t="s">
        <v>57</v>
      </c>
      <c r="C55" s="7" t="s">
        <v>56</v>
      </c>
      <c r="D55" s="4" t="s">
        <v>55</v>
      </c>
      <c r="E55" s="4" t="s">
        <v>54</v>
      </c>
      <c r="F55" s="4">
        <v>1</v>
      </c>
      <c r="G55" s="13" t="s">
        <v>195</v>
      </c>
      <c r="H55" s="1" t="s">
        <v>194</v>
      </c>
      <c r="I55" s="2" t="str">
        <f>VLOOKUP(MID(IF(""""&amp;IF(H55&lt;&gt;"",H55,"")&amp;""""="""+++""","""+++""",IF(""""&amp;IF(H55&lt;&gt;"",H55,"")&amp;""""="""a""","""a""",IF(""""&amp;IF(H55&lt;&gt;"",H55,"")&amp;""""="""""","""""",""""&amp;IF(H55&lt;&gt;"",H55,"")&amp;""""))),2,LEN(IF(""""&amp;IF(H55&lt;&gt;"",H55,"")&amp;""""="""+++""","""+++""",IF(""""&amp;IF(H55&lt;&gt;"",H55,"")&amp;""""="""a""","""a""",IF(""""&amp;IF(H55&lt;&gt;"",H55,"")&amp;""""="""""","""""",""""&amp;IF(H55&lt;&gt;"",H55,"")&amp;""""))))-2),A:G,7,0)</f>
        <v>//查询/设置MQTT用户密码</v>
      </c>
    </row>
    <row r="56" spans="1:9" x14ac:dyDescent="0.2">
      <c r="A56" s="2" t="s">
        <v>193</v>
      </c>
      <c r="B56" s="2" t="s">
        <v>57</v>
      </c>
      <c r="C56" s="7" t="s">
        <v>56</v>
      </c>
      <c r="D56" s="4" t="s">
        <v>55</v>
      </c>
      <c r="E56" s="4" t="s">
        <v>54</v>
      </c>
      <c r="F56" s="4">
        <v>1</v>
      </c>
      <c r="G56" s="13" t="s">
        <v>192</v>
      </c>
      <c r="H56" s="1" t="s">
        <v>130</v>
      </c>
      <c r="I56" s="2" t="str">
        <f>VLOOKUP(MID(IF(""""&amp;IF(H56&lt;&gt;"",H56,"")&amp;""""="""+++""","""+++""",IF(""""&amp;IF(H56&lt;&gt;"",H56,"")&amp;""""="""a""","""a""",IF(""""&amp;IF(H56&lt;&gt;"",H56,"")&amp;""""="""""","""""",""""&amp;IF(H56&lt;&gt;"",H56,"")&amp;""""))),2,LEN(IF(""""&amp;IF(H56&lt;&gt;"",H56,"")&amp;""""="""+++""","""+++""",IF(""""&amp;IF(H56&lt;&gt;"",H56,"")&amp;""""="""a""","""a""",IF(""""&amp;IF(H56&lt;&gt;"",H56,"")&amp;""""="""""","""""",""""&amp;IF(H56&lt;&gt;"",H56,"")&amp;""""))))-2),A:G,7,0)</f>
        <v>//查询/设置MQTT主题发布自定义模式</v>
      </c>
    </row>
    <row r="57" spans="1:9" x14ac:dyDescent="0.2">
      <c r="A57" s="2" t="s">
        <v>191</v>
      </c>
      <c r="B57" s="2" t="s">
        <v>57</v>
      </c>
      <c r="C57" s="7" t="s">
        <v>56</v>
      </c>
      <c r="D57" s="4" t="s">
        <v>55</v>
      </c>
      <c r="E57" s="4" t="s">
        <v>54</v>
      </c>
      <c r="F57" s="4">
        <v>1</v>
      </c>
      <c r="G57" s="13" t="s">
        <v>190</v>
      </c>
      <c r="H57" s="2" t="s">
        <v>128</v>
      </c>
      <c r="I57" s="2" t="str">
        <f>VLOOKUP(MID(IF(""""&amp;IF(H57&lt;&gt;"",H57,"")&amp;""""="""+++""","""+++""",IF(""""&amp;IF(H57&lt;&gt;"",H57,"")&amp;""""="""a""","""a""",IF(""""&amp;IF(H57&lt;&gt;"",H57,"")&amp;""""="""""","""""",""""&amp;IF(H57&lt;&gt;"",H57,"")&amp;""""))),2,LEN(IF(""""&amp;IF(H57&lt;&gt;"",H57,"")&amp;""""="""+++""","""+++""",IF(""""&amp;IF(H57&lt;&gt;"",H57,"")&amp;""""="""a""","""a""",IF(""""&amp;IF(H57&lt;&gt;"",H57,"")&amp;""""="""""","""""",""""&amp;IF(H57&lt;&gt;"",H57,"")&amp;""""))))-2),A:G,7,0)</f>
        <v>//查询/设置MQTT的预置发布主题信息</v>
      </c>
    </row>
    <row r="58" spans="1:9" x14ac:dyDescent="0.2">
      <c r="A58" s="2" t="s">
        <v>189</v>
      </c>
      <c r="B58" s="2" t="s">
        <v>57</v>
      </c>
      <c r="C58" s="7" t="s">
        <v>56</v>
      </c>
      <c r="D58" s="4" t="s">
        <v>55</v>
      </c>
      <c r="E58" s="4" t="s">
        <v>54</v>
      </c>
      <c r="F58" s="4">
        <v>1</v>
      </c>
      <c r="G58" s="13" t="s">
        <v>188</v>
      </c>
      <c r="H58" s="2" t="s">
        <v>125</v>
      </c>
      <c r="I58" s="2" t="str">
        <f>VLOOKUP(MID(IF(""""&amp;IF(H58&lt;&gt;"",H58,"")&amp;""""="""+++""","""+++""",IF(""""&amp;IF(H58&lt;&gt;"",H58,"")&amp;""""="""a""","""a""",IF(""""&amp;IF(H58&lt;&gt;"",H58,"")&amp;""""="""""","""""",""""&amp;IF(H58&lt;&gt;"",H58,"")&amp;""""))),2,LEN(IF(""""&amp;IF(H58&lt;&gt;"",H58,"")&amp;""""="""+++""","""+++""",IF(""""&amp;IF(H58&lt;&gt;"",H58,"")&amp;""""="""a""","""a""",IF(""""&amp;IF(H58&lt;&gt;"",H58,"")&amp;""""="""""","""""",""""&amp;IF(H58&lt;&gt;"",H58,"")&amp;""""))))-2),A:G,7,0)</f>
        <v>//查询/设置MQTT的预置订阅主题信息</v>
      </c>
    </row>
    <row r="59" spans="1:9" x14ac:dyDescent="0.2">
      <c r="A59" s="14" t="s">
        <v>187</v>
      </c>
      <c r="B59" s="2" t="s">
        <v>57</v>
      </c>
      <c r="C59" s="7" t="s">
        <v>56</v>
      </c>
      <c r="D59" s="4" t="s">
        <v>155</v>
      </c>
      <c r="E59" s="4" t="s">
        <v>54</v>
      </c>
      <c r="F59" s="4">
        <v>1</v>
      </c>
      <c r="G59" s="13" t="s">
        <v>186</v>
      </c>
      <c r="H59" s="1" t="s">
        <v>185</v>
      </c>
      <c r="I59" s="2" t="str">
        <f>VLOOKUP(MID(IF(""""&amp;IF(H59&lt;&gt;"",H59,"")&amp;""""="""+++""","""+++""",IF(""""&amp;IF(H59&lt;&gt;"",H59,"")&amp;""""="""a""","""a""",IF(""""&amp;IF(H59&lt;&gt;"",H59,"")&amp;""""="""""","""""",""""&amp;IF(H59&lt;&gt;"",H59,"")&amp;""""))),2,LEN(IF(""""&amp;IF(H59&lt;&gt;"",H59,"")&amp;""""="""+++""","""+++""",IF(""""&amp;IF(H59&lt;&gt;"",H59,"")&amp;""""="""a""","""a""",IF(""""&amp;IF(H59&lt;&gt;"",H59,"")&amp;""""="""""","""""",""""&amp;IF(H59&lt;&gt;"",H59,"")&amp;""""))))-2),A:G,7,0)</f>
        <v>//查询/设置MQTT网关功能的服务器IP地址，端口号</v>
      </c>
    </row>
    <row r="60" spans="1:9" x14ac:dyDescent="0.2">
      <c r="A60" s="2" t="s">
        <v>184</v>
      </c>
      <c r="B60" s="2" t="s">
        <v>57</v>
      </c>
      <c r="C60" s="7" t="s">
        <v>56</v>
      </c>
      <c r="D60" s="4" t="s">
        <v>55</v>
      </c>
      <c r="E60" s="4" t="s">
        <v>54</v>
      </c>
      <c r="F60" s="4">
        <v>1</v>
      </c>
      <c r="G60" s="13" t="s">
        <v>183</v>
      </c>
      <c r="H60" s="1" t="s">
        <v>182</v>
      </c>
      <c r="I60" s="2" t="str">
        <f>VLOOKUP(MID(IF(""""&amp;IF(H60&lt;&gt;"",H60,"")&amp;""""="""+++""","""+++""",IF(""""&amp;IF(H60&lt;&gt;"",H60,"")&amp;""""="""a""","""a""",IF(""""&amp;IF(H60&lt;&gt;"",H60,"")&amp;""""="""""","""""",""""&amp;IF(H60&lt;&gt;"",H60,"")&amp;""""))),2,LEN(IF(""""&amp;IF(H60&lt;&gt;"",H60,"")&amp;""""="""+++""","""+++""",IF(""""&amp;IF(H60&lt;&gt;"",H60,"")&amp;""""="""a""","""a""",IF(""""&amp;IF(H60&lt;&gt;"",H60,"")&amp;""""="""""","""""",""""&amp;IF(H60&lt;&gt;"",H60,"")&amp;""""))))-2),A:G,7,0)</f>
        <v>//设备重启</v>
      </c>
    </row>
    <row r="61" spans="1:9" x14ac:dyDescent="0.2">
      <c r="A61" s="12" t="s">
        <v>181</v>
      </c>
      <c r="B61" s="2" t="s">
        <v>57</v>
      </c>
      <c r="C61" s="7" t="s">
        <v>56</v>
      </c>
      <c r="D61" s="4" t="s">
        <v>55</v>
      </c>
      <c r="E61" s="4" t="s">
        <v>54</v>
      </c>
      <c r="F61" s="4">
        <v>1</v>
      </c>
      <c r="G61" s="13" t="s">
        <v>180</v>
      </c>
      <c r="H61" s="2"/>
      <c r="I61" s="2" t="e">
        <f>VLOOKUP(MID(IF(""""&amp;IF(H61&lt;&gt;"",H61,"")&amp;""""="""+++""","""+++""",IF(""""&amp;IF(H61&lt;&gt;"",H61,"")&amp;""""="""a""","""a""",IF(""""&amp;IF(H61&lt;&gt;"",H61,"")&amp;""""="""""","""""",""""&amp;IF(H61&lt;&gt;"",H61,"")&amp;""""))),2,LEN(IF(""""&amp;IF(H61&lt;&gt;"",H61,"")&amp;""""="""+++""","""+++""",IF(""""&amp;IF(H61&lt;&gt;"",H61,"")&amp;""""="""a""","""a""",IF(""""&amp;IF(H61&lt;&gt;"",H61,"")&amp;""""="""""","""""",""""&amp;IF(H61&lt;&gt;"",H61,"")&amp;""""))))-2),A:G,7,0)</f>
        <v>#N/A</v>
      </c>
    </row>
    <row r="62" spans="1:9" x14ac:dyDescent="0.2">
      <c r="A62" s="14" t="s">
        <v>179</v>
      </c>
      <c r="B62" s="2" t="s">
        <v>57</v>
      </c>
      <c r="C62" s="7" t="s">
        <v>56</v>
      </c>
      <c r="D62" s="4" t="s">
        <v>55</v>
      </c>
      <c r="E62" s="4" t="s">
        <v>54</v>
      </c>
      <c r="F62" s="4">
        <v>1</v>
      </c>
      <c r="G62" s="13" t="s">
        <v>178</v>
      </c>
      <c r="H62" s="2"/>
      <c r="I62" s="2" t="e">
        <f>VLOOKUP(MID(IF(""""&amp;IF(H62&lt;&gt;"",H62,"")&amp;""""="""+++""","""+++""",IF(""""&amp;IF(H62&lt;&gt;"",H62,"")&amp;""""="""a""","""a""",IF(""""&amp;IF(H62&lt;&gt;"",H62,"")&amp;""""="""""","""""",""""&amp;IF(H62&lt;&gt;"",H62,"")&amp;""""))),2,LEN(IF(""""&amp;IF(H62&lt;&gt;"",H62,"")&amp;""""="""+++""","""+++""",IF(""""&amp;IF(H62&lt;&gt;"",H62,"")&amp;""""="""a""","""a""",IF(""""&amp;IF(H62&lt;&gt;"",H62,"")&amp;""""="""""","""""",""""&amp;IF(H62&lt;&gt;"",H62,"")&amp;""""))))-2),A:G,7,0)</f>
        <v>#N/A</v>
      </c>
    </row>
    <row r="63" spans="1:9" x14ac:dyDescent="0.2">
      <c r="A63" s="2" t="s">
        <v>177</v>
      </c>
      <c r="B63" s="2" t="s">
        <v>57</v>
      </c>
      <c r="C63" s="7" t="s">
        <v>56</v>
      </c>
      <c r="D63" s="4" t="s">
        <v>55</v>
      </c>
      <c r="E63" s="4" t="s">
        <v>54</v>
      </c>
      <c r="F63" s="4">
        <v>1</v>
      </c>
      <c r="G63" s="13" t="s">
        <v>176</v>
      </c>
      <c r="H63" s="1"/>
      <c r="I63" s="2" t="e">
        <f>VLOOKUP(MID(IF(""""&amp;IF(H63&lt;&gt;"",H63,"")&amp;""""="""+++""","""+++""",IF(""""&amp;IF(H63&lt;&gt;"",H63,"")&amp;""""="""a""","""a""",IF(""""&amp;IF(H63&lt;&gt;"",H63,"")&amp;""""="""""","""""",""""&amp;IF(H63&lt;&gt;"",H63,"")&amp;""""))),2,LEN(IF(""""&amp;IF(H63&lt;&gt;"",H63,"")&amp;""""="""+++""","""+++""",IF(""""&amp;IF(H63&lt;&gt;"",H63,"")&amp;""""="""a""","""a""",IF(""""&amp;IF(H63&lt;&gt;"",H63,"")&amp;""""="""""","""""",""""&amp;IF(H63&lt;&gt;"",H63,"")&amp;""""))))-2),A:G,7,0)</f>
        <v>#N/A</v>
      </c>
    </row>
    <row r="64" spans="1:9" x14ac:dyDescent="0.2">
      <c r="A64" s="2" t="s">
        <v>175</v>
      </c>
      <c r="B64" s="2" t="s">
        <v>57</v>
      </c>
      <c r="C64" s="7" t="s">
        <v>56</v>
      </c>
      <c r="D64" s="4" t="s">
        <v>55</v>
      </c>
      <c r="E64" s="4" t="s">
        <v>54</v>
      </c>
      <c r="F64" s="4">
        <v>1</v>
      </c>
      <c r="G64" s="13" t="s">
        <v>174</v>
      </c>
      <c r="H64" s="1"/>
      <c r="I64" s="2" t="e">
        <f>VLOOKUP(MID(IF(""""&amp;IF(H64&lt;&gt;"",H64,"")&amp;""""="""+++""","""+++""",IF(""""&amp;IF(H64&lt;&gt;"",H64,"")&amp;""""="""a""","""a""",IF(""""&amp;IF(H64&lt;&gt;"",H64,"")&amp;""""="""""","""""",""""&amp;IF(H64&lt;&gt;"",H64,"")&amp;""""))),2,LEN(IF(""""&amp;IF(H64&lt;&gt;"",H64,"")&amp;""""="""+++""","""+++""",IF(""""&amp;IF(H64&lt;&gt;"",H64,"")&amp;""""="""a""","""a""",IF(""""&amp;IF(H64&lt;&gt;"",H64,"")&amp;""""="""""","""""",""""&amp;IF(H64&lt;&gt;"",H64,"")&amp;""""))))-2),A:G,7,0)</f>
        <v>#N/A</v>
      </c>
    </row>
    <row r="65" spans="1:9" x14ac:dyDescent="0.2">
      <c r="A65" s="2" t="s">
        <v>173</v>
      </c>
      <c r="B65" s="2" t="s">
        <v>57</v>
      </c>
      <c r="C65" s="7" t="s">
        <v>56</v>
      </c>
      <c r="D65" s="4" t="s">
        <v>55</v>
      </c>
      <c r="E65" s="4" t="s">
        <v>54</v>
      </c>
      <c r="F65" s="4">
        <v>1</v>
      </c>
      <c r="G65" s="13" t="s">
        <v>172</v>
      </c>
      <c r="H65" s="1"/>
      <c r="I65" s="2" t="e">
        <f>VLOOKUP(MID(IF(""""&amp;IF(H65&lt;&gt;"",H65,"")&amp;""""="""+++""","""+++""",IF(""""&amp;IF(H65&lt;&gt;"",H65,"")&amp;""""="""a""","""a""",IF(""""&amp;IF(H65&lt;&gt;"",H65,"")&amp;""""="""""","""""",""""&amp;IF(H65&lt;&gt;"",H65,"")&amp;""""))),2,LEN(IF(""""&amp;IF(H65&lt;&gt;"",H65,"")&amp;""""="""+++""","""+++""",IF(""""&amp;IF(H65&lt;&gt;"",H65,"")&amp;""""="""a""","""a""",IF(""""&amp;IF(H65&lt;&gt;"",H65,"")&amp;""""="""""","""""",""""&amp;IF(H65&lt;&gt;"",H65,"")&amp;""""))))-2),A:G,7,0)</f>
        <v>#N/A</v>
      </c>
    </row>
    <row r="66" spans="1:9" x14ac:dyDescent="0.2">
      <c r="A66" s="2" t="s">
        <v>171</v>
      </c>
      <c r="B66" s="2" t="s">
        <v>57</v>
      </c>
      <c r="C66" s="7" t="s">
        <v>56</v>
      </c>
      <c r="D66" s="4" t="s">
        <v>55</v>
      </c>
      <c r="E66" s="4" t="s">
        <v>54</v>
      </c>
      <c r="F66" s="4">
        <v>1</v>
      </c>
      <c r="G66" s="13" t="s">
        <v>170</v>
      </c>
      <c r="H66" s="1"/>
      <c r="I66" s="2" t="e">
        <f>VLOOKUP(MID(IF(""""&amp;IF(H66&lt;&gt;"",H66,"")&amp;""""="""+++""","""+++""",IF(""""&amp;IF(H66&lt;&gt;"",H66,"")&amp;""""="""a""","""a""",IF(""""&amp;IF(H66&lt;&gt;"",H66,"")&amp;""""="""""","""""",""""&amp;IF(H66&lt;&gt;"",H66,"")&amp;""""))),2,LEN(IF(""""&amp;IF(H66&lt;&gt;"",H66,"")&amp;""""="""+++""","""+++""",IF(""""&amp;IF(H66&lt;&gt;"",H66,"")&amp;""""="""a""","""a""",IF(""""&amp;IF(H66&lt;&gt;"",H66,"")&amp;""""="""""","""""",""""&amp;IF(H66&lt;&gt;"",H66,"")&amp;""""))))-2),A:G,7,0)</f>
        <v>#N/A</v>
      </c>
    </row>
    <row r="67" spans="1:9" x14ac:dyDescent="0.2">
      <c r="A67" s="2" t="s">
        <v>169</v>
      </c>
      <c r="B67" s="2" t="s">
        <v>57</v>
      </c>
      <c r="C67" s="7" t="s">
        <v>56</v>
      </c>
      <c r="D67" s="4" t="s">
        <v>55</v>
      </c>
      <c r="E67" s="4" t="s">
        <v>54</v>
      </c>
      <c r="F67" s="4">
        <v>1</v>
      </c>
      <c r="G67" s="13" t="s">
        <v>168</v>
      </c>
      <c r="H67" s="1"/>
      <c r="I67" s="2" t="e">
        <f>VLOOKUP(MID(IF(""""&amp;IF(H67&lt;&gt;"",H67,"")&amp;""""="""+++""","""+++""",IF(""""&amp;IF(H67&lt;&gt;"",H67,"")&amp;""""="""a""","""a""",IF(""""&amp;IF(H67&lt;&gt;"",H67,"")&amp;""""="""""","""""",""""&amp;IF(H67&lt;&gt;"",H67,"")&amp;""""))),2,LEN(IF(""""&amp;IF(H67&lt;&gt;"",H67,"")&amp;""""="""+++""","""+++""",IF(""""&amp;IF(H67&lt;&gt;"",H67,"")&amp;""""="""a""","""a""",IF(""""&amp;IF(H67&lt;&gt;"",H67,"")&amp;""""="""""","""""",""""&amp;IF(H67&lt;&gt;"",H67,"")&amp;""""))))-2),A:G,7,0)</f>
        <v>#N/A</v>
      </c>
    </row>
    <row r="68" spans="1:9" x14ac:dyDescent="0.2">
      <c r="A68" s="2" t="s">
        <v>167</v>
      </c>
      <c r="B68" s="2" t="s">
        <v>57</v>
      </c>
      <c r="C68" s="7" t="s">
        <v>56</v>
      </c>
      <c r="D68" s="4" t="s">
        <v>55</v>
      </c>
      <c r="E68" s="4" t="s">
        <v>54</v>
      </c>
      <c r="F68" s="4">
        <v>1</v>
      </c>
      <c r="G68" s="13" t="s">
        <v>166</v>
      </c>
      <c r="H68" s="1"/>
      <c r="I68" s="2" t="e">
        <f>VLOOKUP(MID(IF(""""&amp;IF(H68&lt;&gt;"",H68,"")&amp;""""="""+++""","""+++""",IF(""""&amp;IF(H68&lt;&gt;"",H68,"")&amp;""""="""a""","""a""",IF(""""&amp;IF(H68&lt;&gt;"",H68,"")&amp;""""="""""","""""",""""&amp;IF(H68&lt;&gt;"",H68,"")&amp;""""))),2,LEN(IF(""""&amp;IF(H68&lt;&gt;"",H68,"")&amp;""""="""+++""","""+++""",IF(""""&amp;IF(H68&lt;&gt;"",H68,"")&amp;""""="""a""","""a""",IF(""""&amp;IF(H68&lt;&gt;"",H68,"")&amp;""""="""""","""""",""""&amp;IF(H68&lt;&gt;"",H68,"")&amp;""""))))-2),A:G,7,0)</f>
        <v>#N/A</v>
      </c>
    </row>
    <row r="69" spans="1:9" x14ac:dyDescent="0.2">
      <c r="A69" s="2" t="s">
        <v>165</v>
      </c>
      <c r="B69" s="2" t="s">
        <v>57</v>
      </c>
      <c r="C69" s="7" t="s">
        <v>56</v>
      </c>
      <c r="D69" s="4" t="s">
        <v>55</v>
      </c>
      <c r="E69" s="4" t="s">
        <v>54</v>
      </c>
      <c r="F69" s="4">
        <v>1</v>
      </c>
      <c r="G69" s="13" t="s">
        <v>164</v>
      </c>
      <c r="H69" s="1"/>
      <c r="I69" s="2" t="e">
        <f>VLOOKUP(MID(IF(""""&amp;IF(H69&lt;&gt;"",H69,"")&amp;""""="""+++""","""+++""",IF(""""&amp;IF(H69&lt;&gt;"",H69,"")&amp;""""="""a""","""a""",IF(""""&amp;IF(H69&lt;&gt;"",H69,"")&amp;""""="""""","""""",""""&amp;IF(H69&lt;&gt;"",H69,"")&amp;""""))),2,LEN(IF(""""&amp;IF(H69&lt;&gt;"",H69,"")&amp;""""="""+++""","""+++""",IF(""""&amp;IF(H69&lt;&gt;"",H69,"")&amp;""""="""a""","""a""",IF(""""&amp;IF(H69&lt;&gt;"",H69,"")&amp;""""="""""","""""",""""&amp;IF(H69&lt;&gt;"",H69,"")&amp;""""))))-2),A:G,7,0)</f>
        <v>#N/A</v>
      </c>
    </row>
    <row r="70" spans="1:9" x14ac:dyDescent="0.2">
      <c r="A70" s="12" t="s">
        <v>163</v>
      </c>
      <c r="B70" s="2" t="s">
        <v>57</v>
      </c>
      <c r="C70" s="7" t="s">
        <v>56</v>
      </c>
      <c r="D70" s="4" t="s">
        <v>55</v>
      </c>
      <c r="E70" s="4" t="s">
        <v>54</v>
      </c>
      <c r="F70" s="4">
        <v>1</v>
      </c>
      <c r="G70" s="2" t="s">
        <v>162</v>
      </c>
      <c r="H70" s="1"/>
      <c r="I70" s="2" t="e">
        <f>VLOOKUP(MID(IF(""""&amp;IF(H70&lt;&gt;"",H70,"")&amp;""""="""+++""","""+++""",IF(""""&amp;IF(H70&lt;&gt;"",H70,"")&amp;""""="""a""","""a""",IF(""""&amp;IF(H70&lt;&gt;"",H70,"")&amp;""""="""""","""""",""""&amp;IF(H70&lt;&gt;"",H70,"")&amp;""""))),2,LEN(IF(""""&amp;IF(H70&lt;&gt;"",H70,"")&amp;""""="""+++""","""+++""",IF(""""&amp;IF(H70&lt;&gt;"",H70,"")&amp;""""="""a""","""a""",IF(""""&amp;IF(H70&lt;&gt;"",H70,"")&amp;""""="""""","""""",""""&amp;IF(H70&lt;&gt;"",H70,"")&amp;""""))))-2),A:G,7,0)</f>
        <v>#N/A</v>
      </c>
    </row>
    <row r="71" spans="1:9" x14ac:dyDescent="0.2">
      <c r="A71" s="2" t="s">
        <v>161</v>
      </c>
      <c r="B71" s="2" t="s">
        <v>57</v>
      </c>
      <c r="C71" s="7" t="s">
        <v>56</v>
      </c>
      <c r="D71" s="4" t="s">
        <v>55</v>
      </c>
      <c r="E71" s="4" t="s">
        <v>54</v>
      </c>
      <c r="F71" s="4">
        <v>1</v>
      </c>
      <c r="G71" s="2" t="s">
        <v>160</v>
      </c>
      <c r="H71" s="1"/>
      <c r="I71" s="2" t="e">
        <f>VLOOKUP(MID(IF(""""&amp;IF(H71&lt;&gt;"",H71,"")&amp;""""="""+++""","""+++""",IF(""""&amp;IF(H71&lt;&gt;"",H71,"")&amp;""""="""a""","""a""",IF(""""&amp;IF(H71&lt;&gt;"",H71,"")&amp;""""="""""","""""",""""&amp;IF(H71&lt;&gt;"",H71,"")&amp;""""))),2,LEN(IF(""""&amp;IF(H71&lt;&gt;"",H71,"")&amp;""""="""+++""","""+++""",IF(""""&amp;IF(H71&lt;&gt;"",H71,"")&amp;""""="""a""","""a""",IF(""""&amp;IF(H71&lt;&gt;"",H71,"")&amp;""""="""""","""""",""""&amp;IF(H71&lt;&gt;"",H71,"")&amp;""""))))-2),A:G,7,0)</f>
        <v>#N/A</v>
      </c>
    </row>
    <row r="72" spans="1:9" x14ac:dyDescent="0.2">
      <c r="A72" s="12" t="s">
        <v>159</v>
      </c>
      <c r="B72" s="2" t="s">
        <v>57</v>
      </c>
      <c r="C72" s="7" t="s">
        <v>56</v>
      </c>
      <c r="D72" s="4" t="s">
        <v>158</v>
      </c>
      <c r="E72" s="4" t="s">
        <v>54</v>
      </c>
      <c r="F72" s="4">
        <v>1</v>
      </c>
      <c r="G72" s="2" t="s">
        <v>157</v>
      </c>
      <c r="H72" s="1"/>
      <c r="I72" s="2" t="e">
        <f>VLOOKUP(MID(IF(""""&amp;IF(H72&lt;&gt;"",H72,"")&amp;""""="""+++""","""+++""",IF(""""&amp;IF(H72&lt;&gt;"",H72,"")&amp;""""="""a""","""a""",IF(""""&amp;IF(H72&lt;&gt;"",H72,"")&amp;""""="""""","""""",""""&amp;IF(H72&lt;&gt;"",H72,"")&amp;""""))),2,LEN(IF(""""&amp;IF(H72&lt;&gt;"",H72,"")&amp;""""="""+++""","""+++""",IF(""""&amp;IF(H72&lt;&gt;"",H72,"")&amp;""""="""a""","""a""",IF(""""&amp;IF(H72&lt;&gt;"",H72,"")&amp;""""="""""","""""",""""&amp;IF(H72&lt;&gt;"",H72,"")&amp;""""))))-2),A:G,7,0)</f>
        <v>#N/A</v>
      </c>
    </row>
    <row r="73" spans="1:9" x14ac:dyDescent="0.2">
      <c r="A73" s="12" t="s">
        <v>156</v>
      </c>
      <c r="B73" s="2" t="s">
        <v>57</v>
      </c>
      <c r="C73" s="7" t="s">
        <v>56</v>
      </c>
      <c r="D73" s="4" t="s">
        <v>155</v>
      </c>
      <c r="E73" s="4" t="s">
        <v>54</v>
      </c>
      <c r="F73" s="4">
        <v>1</v>
      </c>
      <c r="G73" s="2" t="s">
        <v>154</v>
      </c>
      <c r="H73" s="1"/>
      <c r="I73" s="2" t="e">
        <f>VLOOKUP(MID(IF(""""&amp;IF(H73&lt;&gt;"",H73,"")&amp;""""="""+++""","""+++""",IF(""""&amp;IF(H73&lt;&gt;"",H73,"")&amp;""""="""a""","""a""",IF(""""&amp;IF(H73&lt;&gt;"",H73,"")&amp;""""="""""","""""",""""&amp;IF(H73&lt;&gt;"",H73,"")&amp;""""))),2,LEN(IF(""""&amp;IF(H73&lt;&gt;"",H73,"")&amp;""""="""+++""","""+++""",IF(""""&amp;IF(H73&lt;&gt;"",H73,"")&amp;""""="""a""","""a""",IF(""""&amp;IF(H73&lt;&gt;"",H73,"")&amp;""""="""""","""""",""""&amp;IF(H73&lt;&gt;"",H73,"")&amp;""""))))-2),A:G,7,0)</f>
        <v>#N/A</v>
      </c>
    </row>
    <row r="74" spans="1:9" x14ac:dyDescent="0.2">
      <c r="A74" s="12" t="s">
        <v>153</v>
      </c>
      <c r="B74" s="2" t="s">
        <v>57</v>
      </c>
      <c r="C74" s="7" t="s">
        <v>56</v>
      </c>
      <c r="D74" s="4" t="s">
        <v>55</v>
      </c>
      <c r="E74" s="4" t="s">
        <v>54</v>
      </c>
      <c r="F74" s="4">
        <v>1</v>
      </c>
      <c r="G74" s="2" t="s">
        <v>152</v>
      </c>
      <c r="H74" s="1"/>
      <c r="I74" s="2" t="e">
        <f>VLOOKUP(MID(IF(""""&amp;IF(H74&lt;&gt;"",H74,"")&amp;""""="""+++""","""+++""",IF(""""&amp;IF(H74&lt;&gt;"",H74,"")&amp;""""="""a""","""a""",IF(""""&amp;IF(H74&lt;&gt;"",H74,"")&amp;""""="""""","""""",""""&amp;IF(H74&lt;&gt;"",H74,"")&amp;""""))),2,LEN(IF(""""&amp;IF(H74&lt;&gt;"",H74,"")&amp;""""="""+++""","""+++""",IF(""""&amp;IF(H74&lt;&gt;"",H74,"")&amp;""""="""a""","""a""",IF(""""&amp;IF(H74&lt;&gt;"",H74,"")&amp;""""="""""","""""",""""&amp;IF(H74&lt;&gt;"",H74,"")&amp;""""))))-2),A:G,7,0)</f>
        <v>#N/A</v>
      </c>
    </row>
    <row r="75" spans="1:9" x14ac:dyDescent="0.2">
      <c r="A75" s="2" t="s">
        <v>151</v>
      </c>
      <c r="B75" s="2" t="s">
        <v>57</v>
      </c>
      <c r="C75" s="7" t="s">
        <v>56</v>
      </c>
      <c r="D75" s="4" t="s">
        <v>55</v>
      </c>
      <c r="E75" s="4" t="s">
        <v>54</v>
      </c>
      <c r="F75" s="4">
        <v>1</v>
      </c>
      <c r="G75" s="2" t="s">
        <v>150</v>
      </c>
      <c r="H75" s="1"/>
      <c r="I75" s="2" t="e">
        <f>VLOOKUP(MID(IF(""""&amp;IF(H75&lt;&gt;"",H75,"")&amp;""""="""+++""","""+++""",IF(""""&amp;IF(H75&lt;&gt;"",H75,"")&amp;""""="""a""","""a""",IF(""""&amp;IF(H75&lt;&gt;"",H75,"")&amp;""""="""""","""""",""""&amp;IF(H75&lt;&gt;"",H75,"")&amp;""""))),2,LEN(IF(""""&amp;IF(H75&lt;&gt;"",H75,"")&amp;""""="""+++""","""+++""",IF(""""&amp;IF(H75&lt;&gt;"",H75,"")&amp;""""="""a""","""a""",IF(""""&amp;IF(H75&lt;&gt;"",H75,"")&amp;""""="""""","""""",""""&amp;IF(H75&lt;&gt;"",H75,"")&amp;""""))))-2),A:G,7,0)</f>
        <v>#N/A</v>
      </c>
    </row>
    <row r="76" spans="1:9" x14ac:dyDescent="0.2">
      <c r="A76" s="2" t="s">
        <v>149</v>
      </c>
      <c r="B76" s="2" t="s">
        <v>57</v>
      </c>
      <c r="C76" s="7" t="s">
        <v>56</v>
      </c>
      <c r="D76" s="4" t="s">
        <v>55</v>
      </c>
      <c r="E76" s="4" t="s">
        <v>54</v>
      </c>
      <c r="F76" s="4">
        <v>1</v>
      </c>
      <c r="G76" s="2" t="s">
        <v>148</v>
      </c>
      <c r="H76" s="2"/>
      <c r="I76" s="2" t="e">
        <f>VLOOKUP(MID(IF(""""&amp;IF(H76&lt;&gt;"",H76,"")&amp;""""="""+++""","""+++""",IF(""""&amp;IF(H76&lt;&gt;"",H76,"")&amp;""""="""a""","""a""",IF(""""&amp;IF(H76&lt;&gt;"",H76,"")&amp;""""="""""","""""",""""&amp;IF(H76&lt;&gt;"",H76,"")&amp;""""))),2,LEN(IF(""""&amp;IF(H76&lt;&gt;"",H76,"")&amp;""""="""+++""","""+++""",IF(""""&amp;IF(H76&lt;&gt;"",H76,"")&amp;""""="""a""","""a""",IF(""""&amp;IF(H76&lt;&gt;"",H76,"")&amp;""""="""""","""""",""""&amp;IF(H76&lt;&gt;"",H76,"")&amp;""""))))-2),A:G,7,0)</f>
        <v>#N/A</v>
      </c>
    </row>
    <row r="77" spans="1:9" x14ac:dyDescent="0.2">
      <c r="A77" s="2" t="s">
        <v>147</v>
      </c>
      <c r="B77" s="2" t="s">
        <v>57</v>
      </c>
      <c r="C77" s="7" t="s">
        <v>56</v>
      </c>
      <c r="D77" s="4" t="s">
        <v>55</v>
      </c>
      <c r="E77" s="4" t="s">
        <v>54</v>
      </c>
      <c r="F77" s="4">
        <v>1</v>
      </c>
      <c r="G77" s="2" t="s">
        <v>146</v>
      </c>
      <c r="H77" s="2"/>
      <c r="I77" s="2" t="e">
        <f>VLOOKUP(MID(IF(""""&amp;IF(H77&lt;&gt;"",H77,"")&amp;""""="""+++""","""+++""",IF(""""&amp;IF(H77&lt;&gt;"",H77,"")&amp;""""="""a""","""a""",IF(""""&amp;IF(H77&lt;&gt;"",H77,"")&amp;""""="""""","""""",""""&amp;IF(H77&lt;&gt;"",H77,"")&amp;""""))),2,LEN(IF(""""&amp;IF(H77&lt;&gt;"",H77,"")&amp;""""="""+++""","""+++""",IF(""""&amp;IF(H77&lt;&gt;"",H77,"")&amp;""""="""a""","""a""",IF(""""&amp;IF(H77&lt;&gt;"",H77,"")&amp;""""="""""","""""",""""&amp;IF(H77&lt;&gt;"",H77,"")&amp;""""))))-2),A:G,7,0)</f>
        <v>#N/A</v>
      </c>
    </row>
    <row r="78" spans="1:9" x14ac:dyDescent="0.2">
      <c r="A78" s="2" t="s">
        <v>145</v>
      </c>
      <c r="B78" s="2" t="s">
        <v>57</v>
      </c>
      <c r="C78" s="7" t="s">
        <v>56</v>
      </c>
      <c r="D78" s="4" t="s">
        <v>55</v>
      </c>
      <c r="E78" s="4" t="s">
        <v>54</v>
      </c>
      <c r="F78" s="4">
        <v>1</v>
      </c>
      <c r="G78" s="2" t="s">
        <v>144</v>
      </c>
      <c r="H78" s="1"/>
      <c r="I78" s="2" t="e">
        <f>VLOOKUP(MID(IF(""""&amp;IF(H78&lt;&gt;"",H78,"")&amp;""""="""+++""","""+++""",IF(""""&amp;IF(H78&lt;&gt;"",H78,"")&amp;""""="""a""","""a""",IF(""""&amp;IF(H78&lt;&gt;"",H78,"")&amp;""""="""""","""""",""""&amp;IF(H78&lt;&gt;"",H78,"")&amp;""""))),2,LEN(IF(""""&amp;IF(H78&lt;&gt;"",H78,"")&amp;""""="""+++""","""+++""",IF(""""&amp;IF(H78&lt;&gt;"",H78,"")&amp;""""="""a""","""a""",IF(""""&amp;IF(H78&lt;&gt;"",H78,"")&amp;""""="""""","""""",""""&amp;IF(H78&lt;&gt;"",H78,"")&amp;""""))))-2),A:G,7,0)</f>
        <v>#N/A</v>
      </c>
    </row>
    <row r="79" spans="1:9" x14ac:dyDescent="0.2">
      <c r="A79" s="12" t="s">
        <v>143</v>
      </c>
      <c r="B79" s="2" t="s">
        <v>57</v>
      </c>
      <c r="C79" s="7" t="s">
        <v>56</v>
      </c>
      <c r="D79" s="4" t="s">
        <v>55</v>
      </c>
      <c r="E79" s="4" t="s">
        <v>54</v>
      </c>
      <c r="F79" s="4">
        <v>1</v>
      </c>
      <c r="G79" s="2" t="s">
        <v>142</v>
      </c>
      <c r="H79" s="1"/>
      <c r="I79" s="2" t="e">
        <f>VLOOKUP(MID(IF(""""&amp;IF(H79&lt;&gt;"",H79,"")&amp;""""="""+++""","""+++""",IF(""""&amp;IF(H79&lt;&gt;"",H79,"")&amp;""""="""a""","""a""",IF(""""&amp;IF(H79&lt;&gt;"",H79,"")&amp;""""="""""","""""",""""&amp;IF(H79&lt;&gt;"",H79,"")&amp;""""))),2,LEN(IF(""""&amp;IF(H79&lt;&gt;"",H79,"")&amp;""""="""+++""","""+++""",IF(""""&amp;IF(H79&lt;&gt;"",H79,"")&amp;""""="""a""","""a""",IF(""""&amp;IF(H79&lt;&gt;"",H79,"")&amp;""""="""""","""""",""""&amp;IF(H79&lt;&gt;"",H79,"")&amp;""""))))-2),A:G,7,0)</f>
        <v>#N/A</v>
      </c>
    </row>
    <row r="80" spans="1:9" x14ac:dyDescent="0.2">
      <c r="A80" s="12" t="s">
        <v>141</v>
      </c>
      <c r="B80" s="2" t="s">
        <v>57</v>
      </c>
      <c r="C80" s="7" t="s">
        <v>56</v>
      </c>
      <c r="D80" s="4" t="s">
        <v>138</v>
      </c>
      <c r="E80" s="4" t="s">
        <v>54</v>
      </c>
      <c r="F80" s="4">
        <v>1</v>
      </c>
      <c r="G80" s="2" t="s">
        <v>140</v>
      </c>
      <c r="H80" s="10"/>
      <c r="I80" s="2" t="e">
        <f>VLOOKUP(MID(IF(""""&amp;IF(H80&lt;&gt;"",H80,"")&amp;""""="""+++""","""+++""",IF(""""&amp;IF(H80&lt;&gt;"",H80,"")&amp;""""="""a""","""a""",IF(""""&amp;IF(H80&lt;&gt;"",H80,"")&amp;""""="""""","""""",""""&amp;IF(H80&lt;&gt;"",H80,"")&amp;""""))),2,LEN(IF(""""&amp;IF(H80&lt;&gt;"",H80,"")&amp;""""="""+++""","""+++""",IF(""""&amp;IF(H80&lt;&gt;"",H80,"")&amp;""""="""a""","""a""",IF(""""&amp;IF(H80&lt;&gt;"",H80,"")&amp;""""="""""","""""",""""&amp;IF(H80&lt;&gt;"",H80,"")&amp;""""))))-2),A:G,7,0)</f>
        <v>#N/A</v>
      </c>
    </row>
    <row r="81" spans="1:9" x14ac:dyDescent="0.2">
      <c r="A81" s="12" t="s">
        <v>139</v>
      </c>
      <c r="B81" s="2" t="s">
        <v>57</v>
      </c>
      <c r="C81" s="7" t="s">
        <v>56</v>
      </c>
      <c r="D81" s="4" t="s">
        <v>138</v>
      </c>
      <c r="E81" s="4" t="s">
        <v>54</v>
      </c>
      <c r="F81" s="4">
        <v>1</v>
      </c>
      <c r="G81" s="2" t="s">
        <v>137</v>
      </c>
      <c r="H81" s="10"/>
      <c r="I81" s="2" t="e">
        <f>VLOOKUP(MID(IF(""""&amp;IF(H81&lt;&gt;"",H81,"")&amp;""""="""+++""","""+++""",IF(""""&amp;IF(H81&lt;&gt;"",H81,"")&amp;""""="""a""","""a""",IF(""""&amp;IF(H81&lt;&gt;"",H81,"")&amp;""""="""""","""""",""""&amp;IF(H81&lt;&gt;"",H81,"")&amp;""""))),2,LEN(IF(""""&amp;IF(H81&lt;&gt;"",H81,"")&amp;""""="""+++""","""+++""",IF(""""&amp;IF(H81&lt;&gt;"",H81,"")&amp;""""="""a""","""a""",IF(""""&amp;IF(H81&lt;&gt;"",H81,"")&amp;""""="""""","""""",""""&amp;IF(H81&lt;&gt;"",H81,"")&amp;""""))))-2),A:G,7,0)</f>
        <v>#N/A</v>
      </c>
    </row>
    <row r="82" spans="1:9" x14ac:dyDescent="0.2">
      <c r="A82" s="2" t="s">
        <v>136</v>
      </c>
      <c r="B82" s="2" t="s">
        <v>57</v>
      </c>
      <c r="C82" s="7" t="s">
        <v>56</v>
      </c>
      <c r="D82" s="4" t="s">
        <v>55</v>
      </c>
      <c r="E82" s="4" t="s">
        <v>54</v>
      </c>
      <c r="F82" s="4">
        <v>1</v>
      </c>
      <c r="G82" s="2" t="s">
        <v>135</v>
      </c>
      <c r="H82" s="10"/>
      <c r="I82" s="2" t="e">
        <f>VLOOKUP(MID(IF(""""&amp;IF(H82&lt;&gt;"",H82,"")&amp;""""="""+++""","""+++""",IF(""""&amp;IF(H82&lt;&gt;"",H82,"")&amp;""""="""a""","""a""",IF(""""&amp;IF(H82&lt;&gt;"",H82,"")&amp;""""="""""","""""",""""&amp;IF(H82&lt;&gt;"",H82,"")&amp;""""))),2,LEN(IF(""""&amp;IF(H82&lt;&gt;"",H82,"")&amp;""""="""+++""","""+++""",IF(""""&amp;IF(H82&lt;&gt;"",H82,"")&amp;""""="""a""","""a""",IF(""""&amp;IF(H82&lt;&gt;"",H82,"")&amp;""""="""""","""""",""""&amp;IF(H82&lt;&gt;"",H82,"")&amp;""""))))-2),A:G,7,0)</f>
        <v>#N/A</v>
      </c>
    </row>
    <row r="83" spans="1:9" x14ac:dyDescent="0.2">
      <c r="A83" s="2" t="s">
        <v>134</v>
      </c>
      <c r="B83" s="2" t="s">
        <v>57</v>
      </c>
      <c r="C83" s="7" t="s">
        <v>56</v>
      </c>
      <c r="D83" s="4" t="s">
        <v>55</v>
      </c>
      <c r="E83" s="4" t="s">
        <v>54</v>
      </c>
      <c r="F83" s="4">
        <v>1</v>
      </c>
      <c r="G83" s="2" t="s">
        <v>133</v>
      </c>
      <c r="H83" s="10"/>
      <c r="I83" s="2" t="e">
        <f>VLOOKUP(MID(IF(""""&amp;IF(H83&lt;&gt;"",H83,"")&amp;""""="""+++""","""+++""",IF(""""&amp;IF(H83&lt;&gt;"",H83,"")&amp;""""="""a""","""a""",IF(""""&amp;IF(H83&lt;&gt;"",H83,"")&amp;""""="""""","""""",""""&amp;IF(H83&lt;&gt;"",H83,"")&amp;""""))),2,LEN(IF(""""&amp;IF(H83&lt;&gt;"",H83,"")&amp;""""="""+++""","""+++""",IF(""""&amp;IF(H83&lt;&gt;"",H83,"")&amp;""""="""a""","""a""",IF(""""&amp;IF(H83&lt;&gt;"",H83,"")&amp;""""="""""","""""",""""&amp;IF(H83&lt;&gt;"",H83,"")&amp;""""))))-2),A:G,7,0)</f>
        <v>#N/A</v>
      </c>
    </row>
    <row r="84" spans="1:9" x14ac:dyDescent="0.2">
      <c r="A84" s="2" t="s">
        <v>132</v>
      </c>
      <c r="B84" s="2" t="s">
        <v>57</v>
      </c>
      <c r="C84" s="7" t="s">
        <v>56</v>
      </c>
      <c r="D84" s="4" t="s">
        <v>55</v>
      </c>
      <c r="E84" s="4" t="s">
        <v>54</v>
      </c>
      <c r="F84" s="4">
        <v>1</v>
      </c>
      <c r="G84" s="2" t="s">
        <v>131</v>
      </c>
      <c r="H84" s="10"/>
      <c r="I84" s="2" t="e">
        <f>VLOOKUP(MID(IF(""""&amp;IF(H84&lt;&gt;"",H84,"")&amp;""""="""+++""","""+++""",IF(""""&amp;IF(H84&lt;&gt;"",H84,"")&amp;""""="""a""","""a""",IF(""""&amp;IF(H84&lt;&gt;"",H84,"")&amp;""""="""""","""""",""""&amp;IF(H84&lt;&gt;"",H84,"")&amp;""""))),2,LEN(IF(""""&amp;IF(H84&lt;&gt;"",H84,"")&amp;""""="""+++""","""+++""",IF(""""&amp;IF(H84&lt;&gt;"",H84,"")&amp;""""="""a""","""a""",IF(""""&amp;IF(H84&lt;&gt;"",H84,"")&amp;""""="""""","""""",""""&amp;IF(H84&lt;&gt;"",H84,"")&amp;""""))))-2),A:G,7,0)</f>
        <v>#N/A</v>
      </c>
    </row>
    <row r="85" spans="1:9" x14ac:dyDescent="0.2">
      <c r="A85" s="12" t="s">
        <v>130</v>
      </c>
      <c r="B85" s="2" t="s">
        <v>57</v>
      </c>
      <c r="C85" s="7" t="s">
        <v>56</v>
      </c>
      <c r="D85" s="4" t="s">
        <v>55</v>
      </c>
      <c r="E85" s="4" t="s">
        <v>54</v>
      </c>
      <c r="F85" s="4">
        <v>1</v>
      </c>
      <c r="G85" s="2" t="s">
        <v>129</v>
      </c>
      <c r="H85" s="10"/>
      <c r="I85" s="2" t="e">
        <f>VLOOKUP(MID(IF(""""&amp;IF(H85&lt;&gt;"",H85,"")&amp;""""="""+++""","""+++""",IF(""""&amp;IF(H85&lt;&gt;"",H85,"")&amp;""""="""a""","""a""",IF(""""&amp;IF(H85&lt;&gt;"",H85,"")&amp;""""="""""","""""",""""&amp;IF(H85&lt;&gt;"",H85,"")&amp;""""))),2,LEN(IF(""""&amp;IF(H85&lt;&gt;"",H85,"")&amp;""""="""+++""","""+++""",IF(""""&amp;IF(H85&lt;&gt;"",H85,"")&amp;""""="""a""","""a""",IF(""""&amp;IF(H85&lt;&gt;"",H85,"")&amp;""""="""""","""""",""""&amp;IF(H85&lt;&gt;"",H85,"")&amp;""""))))-2),A:G,7,0)</f>
        <v>#N/A</v>
      </c>
    </row>
    <row r="86" spans="1:9" x14ac:dyDescent="0.2">
      <c r="A86" s="12" t="s">
        <v>128</v>
      </c>
      <c r="B86" s="2" t="s">
        <v>57</v>
      </c>
      <c r="C86" s="7" t="s">
        <v>56</v>
      </c>
      <c r="D86" s="4" t="s">
        <v>127</v>
      </c>
      <c r="E86" s="4" t="s">
        <v>54</v>
      </c>
      <c r="F86" s="4">
        <v>1</v>
      </c>
      <c r="G86" s="2" t="s">
        <v>126</v>
      </c>
      <c r="H86" s="10"/>
      <c r="I86" s="2" t="e">
        <f>VLOOKUP(MID(IF(""""&amp;IF(H86&lt;&gt;"",H86,"")&amp;""""="""+++""","""+++""",IF(""""&amp;IF(H86&lt;&gt;"",H86,"")&amp;""""="""a""","""a""",IF(""""&amp;IF(H86&lt;&gt;"",H86,"")&amp;""""="""""","""""",""""&amp;IF(H86&lt;&gt;"",H86,"")&amp;""""))),2,LEN(IF(""""&amp;IF(H86&lt;&gt;"",H86,"")&amp;""""="""+++""","""+++""",IF(""""&amp;IF(H86&lt;&gt;"",H86,"")&amp;""""="""a""","""a""",IF(""""&amp;IF(H86&lt;&gt;"",H86,"")&amp;""""="""""","""""",""""&amp;IF(H86&lt;&gt;"",H86,"")&amp;""""))))-2),A:G,7,0)</f>
        <v>#N/A</v>
      </c>
    </row>
    <row r="87" spans="1:9" x14ac:dyDescent="0.2">
      <c r="A87" s="12" t="s">
        <v>125</v>
      </c>
      <c r="B87" s="2" t="s">
        <v>57</v>
      </c>
      <c r="C87" s="7" t="s">
        <v>56</v>
      </c>
      <c r="D87" s="4" t="s">
        <v>124</v>
      </c>
      <c r="E87" s="4" t="s">
        <v>54</v>
      </c>
      <c r="F87" s="4">
        <v>1</v>
      </c>
      <c r="G87" s="2" t="s">
        <v>123</v>
      </c>
      <c r="H87" s="10"/>
      <c r="I87" s="2" t="e">
        <f>VLOOKUP(MID(IF(""""&amp;IF(H87&lt;&gt;"",H87,"")&amp;""""="""+++""","""+++""",IF(""""&amp;IF(H87&lt;&gt;"",H87,"")&amp;""""="""a""","""a""",IF(""""&amp;IF(H87&lt;&gt;"",H87,"")&amp;""""="""""","""""",""""&amp;IF(H87&lt;&gt;"",H87,"")&amp;""""))),2,LEN(IF(""""&amp;IF(H87&lt;&gt;"",H87,"")&amp;""""="""+++""","""+++""",IF(""""&amp;IF(H87&lt;&gt;"",H87,"")&amp;""""="""a""","""a""",IF(""""&amp;IF(H87&lt;&gt;"",H87,"")&amp;""""="""""","""""",""""&amp;IF(H87&lt;&gt;"",H87,"")&amp;""""))))-2),A:G,7,0)</f>
        <v>#N/A</v>
      </c>
    </row>
    <row r="88" spans="1:9" x14ac:dyDescent="0.2">
      <c r="A88" s="2" t="s">
        <v>122</v>
      </c>
      <c r="B88" s="2" t="s">
        <v>57</v>
      </c>
      <c r="C88" s="7" t="s">
        <v>56</v>
      </c>
      <c r="D88" s="4" t="s">
        <v>55</v>
      </c>
      <c r="E88" s="4" t="s">
        <v>54</v>
      </c>
      <c r="F88" s="4">
        <v>1</v>
      </c>
      <c r="G88" s="2" t="s">
        <v>121</v>
      </c>
      <c r="H88" s="10"/>
      <c r="I88" s="2" t="e">
        <f>VLOOKUP(MID(IF(""""&amp;IF(H88&lt;&gt;"",H88,"")&amp;""""="""+++""","""+++""",IF(""""&amp;IF(H88&lt;&gt;"",H88,"")&amp;""""="""a""","""a""",IF(""""&amp;IF(H88&lt;&gt;"",H88,"")&amp;""""="""""","""""",""""&amp;IF(H88&lt;&gt;"",H88,"")&amp;""""))),2,LEN(IF(""""&amp;IF(H88&lt;&gt;"",H88,"")&amp;""""="""+++""","""+++""",IF(""""&amp;IF(H88&lt;&gt;"",H88,"")&amp;""""="""a""","""a""",IF(""""&amp;IF(H88&lt;&gt;"",H88,"")&amp;""""="""""","""""",""""&amp;IF(H88&lt;&gt;"",H88,"")&amp;""""))))-2),A:G,7,0)</f>
        <v>#N/A</v>
      </c>
    </row>
    <row r="89" spans="1:9" x14ac:dyDescent="0.2">
      <c r="A89" s="2" t="s">
        <v>120</v>
      </c>
      <c r="B89" s="2" t="s">
        <v>57</v>
      </c>
      <c r="C89" s="7" t="s">
        <v>56</v>
      </c>
      <c r="D89" s="4" t="s">
        <v>55</v>
      </c>
      <c r="E89" s="4" t="s">
        <v>54</v>
      </c>
      <c r="F89" s="4">
        <v>1</v>
      </c>
      <c r="G89" s="2" t="s">
        <v>119</v>
      </c>
      <c r="H89" s="10"/>
      <c r="I89" s="2" t="e">
        <f>VLOOKUP(MID(IF(""""&amp;IF(H89&lt;&gt;"",H89,"")&amp;""""="""+++""","""+++""",IF(""""&amp;IF(H89&lt;&gt;"",H89,"")&amp;""""="""a""","""a""",IF(""""&amp;IF(H89&lt;&gt;"",H89,"")&amp;""""="""""","""""",""""&amp;IF(H89&lt;&gt;"",H89,"")&amp;""""))),2,LEN(IF(""""&amp;IF(H89&lt;&gt;"",H89,"")&amp;""""="""+++""","""+++""",IF(""""&amp;IF(H89&lt;&gt;"",H89,"")&amp;""""="""a""","""a""",IF(""""&amp;IF(H89&lt;&gt;"",H89,"")&amp;""""="""""","""""",""""&amp;IF(H89&lt;&gt;"",H89,"")&amp;""""))))-2),A:G,7,0)</f>
        <v>#N/A</v>
      </c>
    </row>
    <row r="90" spans="1:9" x14ac:dyDescent="0.2">
      <c r="A90" s="2" t="s">
        <v>118</v>
      </c>
      <c r="B90" s="2" t="s">
        <v>57</v>
      </c>
      <c r="C90" s="7" t="s">
        <v>56</v>
      </c>
      <c r="D90" s="4" t="s">
        <v>55</v>
      </c>
      <c r="E90" s="4" t="s">
        <v>54</v>
      </c>
      <c r="F90" s="4">
        <v>1</v>
      </c>
      <c r="G90" s="2" t="s">
        <v>117</v>
      </c>
      <c r="H90" s="10"/>
      <c r="I90" s="2" t="e">
        <f>VLOOKUP(MID(IF(""""&amp;IF(H90&lt;&gt;"",H90,"")&amp;""""="""+++""","""+++""",IF(""""&amp;IF(H90&lt;&gt;"",H90,"")&amp;""""="""a""","""a""",IF(""""&amp;IF(H90&lt;&gt;"",H90,"")&amp;""""="""""","""""",""""&amp;IF(H90&lt;&gt;"",H90,"")&amp;""""))),2,LEN(IF(""""&amp;IF(H90&lt;&gt;"",H90,"")&amp;""""="""+++""","""+++""",IF(""""&amp;IF(H90&lt;&gt;"",H90,"")&amp;""""="""a""","""a""",IF(""""&amp;IF(H90&lt;&gt;"",H90,"")&amp;""""="""""","""""",""""&amp;IF(H90&lt;&gt;"",H90,"")&amp;""""))))-2),A:G,7,0)</f>
        <v>#N/A</v>
      </c>
    </row>
    <row r="91" spans="1:9" x14ac:dyDescent="0.2">
      <c r="A91" s="2" t="s">
        <v>116</v>
      </c>
      <c r="B91" s="2" t="s">
        <v>57</v>
      </c>
      <c r="C91" s="7" t="s">
        <v>56</v>
      </c>
      <c r="D91" s="4" t="s">
        <v>55</v>
      </c>
      <c r="E91" s="4" t="s">
        <v>54</v>
      </c>
      <c r="F91" s="4">
        <v>1</v>
      </c>
      <c r="G91" s="2" t="s">
        <v>115</v>
      </c>
      <c r="H91" s="10"/>
      <c r="I91" s="2" t="e">
        <f>VLOOKUP(MID(IF(""""&amp;IF(H91&lt;&gt;"",H91,"")&amp;""""="""+++""","""+++""",IF(""""&amp;IF(H91&lt;&gt;"",H91,"")&amp;""""="""a""","""a""",IF(""""&amp;IF(H91&lt;&gt;"",H91,"")&amp;""""="""""","""""",""""&amp;IF(H91&lt;&gt;"",H91,"")&amp;""""))),2,LEN(IF(""""&amp;IF(H91&lt;&gt;"",H91,"")&amp;""""="""+++""","""+++""",IF(""""&amp;IF(H91&lt;&gt;"",H91,"")&amp;""""="""a""","""a""",IF(""""&amp;IF(H91&lt;&gt;"",H91,"")&amp;""""="""""","""""",""""&amp;IF(H91&lt;&gt;"",H91,"")&amp;""""))))-2),A:G,7,0)</f>
        <v>#N/A</v>
      </c>
    </row>
    <row r="92" spans="1:9" x14ac:dyDescent="0.2">
      <c r="A92" s="2" t="s">
        <v>114</v>
      </c>
      <c r="B92" s="2" t="s">
        <v>57</v>
      </c>
      <c r="C92" s="7" t="s">
        <v>56</v>
      </c>
      <c r="D92" s="4" t="s">
        <v>55</v>
      </c>
      <c r="E92" s="4" t="s">
        <v>54</v>
      </c>
      <c r="F92" s="4">
        <v>1</v>
      </c>
      <c r="G92" s="2" t="s">
        <v>113</v>
      </c>
      <c r="H92" s="10"/>
      <c r="I92" s="2" t="e">
        <f>VLOOKUP(MID(IF(""""&amp;IF(H92&lt;&gt;"",H92,"")&amp;""""="""+++""","""+++""",IF(""""&amp;IF(H92&lt;&gt;"",H92,"")&amp;""""="""a""","""a""",IF(""""&amp;IF(H92&lt;&gt;"",H92,"")&amp;""""="""""","""""",""""&amp;IF(H92&lt;&gt;"",H92,"")&amp;""""))),2,LEN(IF(""""&amp;IF(H92&lt;&gt;"",H92,"")&amp;""""="""+++""","""+++""",IF(""""&amp;IF(H92&lt;&gt;"",H92,"")&amp;""""="""a""","""a""",IF(""""&amp;IF(H92&lt;&gt;"",H92,"")&amp;""""="""""","""""",""""&amp;IF(H92&lt;&gt;"",H92,"")&amp;""""))))-2),A:G,7,0)</f>
        <v>#N/A</v>
      </c>
    </row>
    <row r="93" spans="1:9" x14ac:dyDescent="0.2">
      <c r="A93" s="2" t="s">
        <v>112</v>
      </c>
      <c r="B93" s="2" t="s">
        <v>57</v>
      </c>
      <c r="C93" s="7" t="s">
        <v>56</v>
      </c>
      <c r="D93" s="4" t="s">
        <v>55</v>
      </c>
      <c r="E93" s="4" t="s">
        <v>54</v>
      </c>
      <c r="F93" s="4">
        <v>1</v>
      </c>
      <c r="G93" s="2" t="s">
        <v>111</v>
      </c>
      <c r="H93" s="10"/>
      <c r="I93" s="2" t="e">
        <f>VLOOKUP(MID(IF(""""&amp;IF(H93&lt;&gt;"",H93,"")&amp;""""="""+++""","""+++""",IF(""""&amp;IF(H93&lt;&gt;"",H93,"")&amp;""""="""a""","""a""",IF(""""&amp;IF(H93&lt;&gt;"",H93,"")&amp;""""="""""","""""",""""&amp;IF(H93&lt;&gt;"",H93,"")&amp;""""))),2,LEN(IF(""""&amp;IF(H93&lt;&gt;"",H93,"")&amp;""""="""+++""","""+++""",IF(""""&amp;IF(H93&lt;&gt;"",H93,"")&amp;""""="""a""","""a""",IF(""""&amp;IF(H93&lt;&gt;"",H93,"")&amp;""""="""""","""""",""""&amp;IF(H93&lt;&gt;"",H93,"")&amp;""""))))-2),A:G,7,0)</f>
        <v>#N/A</v>
      </c>
    </row>
    <row r="94" spans="1:9" x14ac:dyDescent="0.2">
      <c r="A94" s="12" t="s">
        <v>110</v>
      </c>
      <c r="B94" s="2" t="s">
        <v>57</v>
      </c>
      <c r="C94" s="7" t="s">
        <v>56</v>
      </c>
      <c r="D94" s="4" t="s">
        <v>55</v>
      </c>
      <c r="E94" s="4" t="s">
        <v>54</v>
      </c>
      <c r="F94" s="4">
        <v>1</v>
      </c>
      <c r="G94" s="2" t="s">
        <v>109</v>
      </c>
      <c r="H94" s="10"/>
      <c r="I94" s="2" t="e">
        <f>VLOOKUP(MID(IF(""""&amp;IF(H94&lt;&gt;"",H94,"")&amp;""""="""+++""","""+++""",IF(""""&amp;IF(H94&lt;&gt;"",H94,"")&amp;""""="""a""","""a""",IF(""""&amp;IF(H94&lt;&gt;"",H94,"")&amp;""""="""""","""""",""""&amp;IF(H94&lt;&gt;"",H94,"")&amp;""""))),2,LEN(IF(""""&amp;IF(H94&lt;&gt;"",H94,"")&amp;""""="""+++""","""+++""",IF(""""&amp;IF(H94&lt;&gt;"",H94,"")&amp;""""="""a""","""a""",IF(""""&amp;IF(H94&lt;&gt;"",H94,"")&amp;""""="""""","""""",""""&amp;IF(H94&lt;&gt;"",H94,"")&amp;""""))))-2),A:G,7,0)</f>
        <v>#N/A</v>
      </c>
    </row>
    <row r="95" spans="1:9" x14ac:dyDescent="0.2">
      <c r="A95" s="2" t="s">
        <v>108</v>
      </c>
      <c r="B95" s="2" t="s">
        <v>57</v>
      </c>
      <c r="C95" s="7" t="s">
        <v>56</v>
      </c>
      <c r="D95" s="4" t="s">
        <v>55</v>
      </c>
      <c r="E95" s="4" t="s">
        <v>54</v>
      </c>
      <c r="F95" s="4">
        <v>1</v>
      </c>
      <c r="G95" s="2" t="s">
        <v>107</v>
      </c>
      <c r="H95" s="10"/>
      <c r="I95" s="2" t="e">
        <f>VLOOKUP(MID(IF(""""&amp;IF(H95&lt;&gt;"",H95,"")&amp;""""="""+++""","""+++""",IF(""""&amp;IF(H95&lt;&gt;"",H95,"")&amp;""""="""a""","""a""",IF(""""&amp;IF(H95&lt;&gt;"",H95,"")&amp;""""="""""","""""",""""&amp;IF(H95&lt;&gt;"",H95,"")&amp;""""))),2,LEN(IF(""""&amp;IF(H95&lt;&gt;"",H95,"")&amp;""""="""+++""","""+++""",IF(""""&amp;IF(H95&lt;&gt;"",H95,"")&amp;""""="""a""","""a""",IF(""""&amp;IF(H95&lt;&gt;"",H95,"")&amp;""""="""""","""""",""""&amp;IF(H95&lt;&gt;"",H95,"")&amp;""""))))-2),A:G,7,0)</f>
        <v>#N/A</v>
      </c>
    </row>
    <row r="96" spans="1:9" x14ac:dyDescent="0.2">
      <c r="A96" s="2" t="s">
        <v>106</v>
      </c>
      <c r="B96" s="2" t="s">
        <v>57</v>
      </c>
      <c r="C96" s="7" t="s">
        <v>56</v>
      </c>
      <c r="D96" s="4" t="s">
        <v>55</v>
      </c>
      <c r="E96" s="4" t="s">
        <v>54</v>
      </c>
      <c r="F96" s="4">
        <v>1</v>
      </c>
      <c r="G96" s="11" t="s">
        <v>105</v>
      </c>
      <c r="H96" s="10"/>
      <c r="I96" s="2" t="e">
        <f>VLOOKUP(MID(IF(""""&amp;IF(H96&lt;&gt;"",H96,"")&amp;""""="""+++""","""+++""",IF(""""&amp;IF(H96&lt;&gt;"",H96,"")&amp;""""="""a""","""a""",IF(""""&amp;IF(H96&lt;&gt;"",H96,"")&amp;""""="""""","""""",""""&amp;IF(H96&lt;&gt;"",H96,"")&amp;""""))),2,LEN(IF(""""&amp;IF(H96&lt;&gt;"",H96,"")&amp;""""="""+++""","""+++""",IF(""""&amp;IF(H96&lt;&gt;"",H96,"")&amp;""""="""a""","""a""",IF(""""&amp;IF(H96&lt;&gt;"",H96,"")&amp;""""="""""","""""",""""&amp;IF(H96&lt;&gt;"",H96,"")&amp;""""))))-2),A:G,7,0)</f>
        <v>#N/A</v>
      </c>
    </row>
    <row r="97" spans="1:9" x14ac:dyDescent="0.2">
      <c r="A97" s="2" t="s">
        <v>104</v>
      </c>
      <c r="B97" s="2" t="s">
        <v>57</v>
      </c>
      <c r="C97" s="7" t="s">
        <v>56</v>
      </c>
      <c r="D97" s="4" t="s">
        <v>55</v>
      </c>
      <c r="E97" s="4" t="s">
        <v>54</v>
      </c>
      <c r="F97" s="4">
        <v>1</v>
      </c>
      <c r="G97" s="11" t="s">
        <v>103</v>
      </c>
      <c r="H97" s="10"/>
      <c r="I97" s="2" t="e">
        <f>VLOOKUP(MID(IF(""""&amp;IF(H97&lt;&gt;"",H97,"")&amp;""""="""+++""","""+++""",IF(""""&amp;IF(H97&lt;&gt;"",H97,"")&amp;""""="""a""","""a""",IF(""""&amp;IF(H97&lt;&gt;"",H97,"")&amp;""""="""""","""""",""""&amp;IF(H97&lt;&gt;"",H97,"")&amp;""""))),2,LEN(IF(""""&amp;IF(H97&lt;&gt;"",H97,"")&amp;""""="""+++""","""+++""",IF(""""&amp;IF(H97&lt;&gt;"",H97,"")&amp;""""="""a""","""a""",IF(""""&amp;IF(H97&lt;&gt;"",H97,"")&amp;""""="""""","""""",""""&amp;IF(H97&lt;&gt;"",H97,"")&amp;""""))))-2),A:G,7,0)</f>
        <v>#N/A</v>
      </c>
    </row>
    <row r="98" spans="1:9" x14ac:dyDescent="0.2">
      <c r="A98" s="2" t="s">
        <v>102</v>
      </c>
      <c r="B98" s="2" t="s">
        <v>57</v>
      </c>
      <c r="C98" s="7" t="s">
        <v>56</v>
      </c>
      <c r="D98" s="4" t="s">
        <v>55</v>
      </c>
      <c r="E98" s="4" t="s">
        <v>54</v>
      </c>
      <c r="F98" s="4">
        <v>1</v>
      </c>
      <c r="G98" s="11" t="s">
        <v>101</v>
      </c>
      <c r="H98" s="10"/>
      <c r="I98" s="2" t="e">
        <f>VLOOKUP(MID(IF(""""&amp;IF(H98&lt;&gt;"",H98,"")&amp;""""="""+++""","""+++""",IF(""""&amp;IF(H98&lt;&gt;"",H98,"")&amp;""""="""a""","""a""",IF(""""&amp;IF(H98&lt;&gt;"",H98,"")&amp;""""="""""","""""",""""&amp;IF(H98&lt;&gt;"",H98,"")&amp;""""))),2,LEN(IF(""""&amp;IF(H98&lt;&gt;"",H98,"")&amp;""""="""+++""","""+++""",IF(""""&amp;IF(H98&lt;&gt;"",H98,"")&amp;""""="""a""","""a""",IF(""""&amp;IF(H98&lt;&gt;"",H98,"")&amp;""""="""""","""""",""""&amp;IF(H98&lt;&gt;"",H98,"")&amp;""""))))-2),A:G,7,0)</f>
        <v>#N/A</v>
      </c>
    </row>
    <row r="99" spans="1:9" x14ac:dyDescent="0.2">
      <c r="A99" s="2" t="s">
        <v>100</v>
      </c>
      <c r="B99" s="2" t="s">
        <v>57</v>
      </c>
      <c r="C99" s="7" t="s">
        <v>56</v>
      </c>
      <c r="D99" s="4" t="s">
        <v>55</v>
      </c>
      <c r="E99" s="4" t="s">
        <v>54</v>
      </c>
      <c r="F99" s="4">
        <v>1</v>
      </c>
      <c r="G99" s="2" t="s">
        <v>99</v>
      </c>
      <c r="H99" s="10"/>
      <c r="I99" s="2" t="e">
        <f>VLOOKUP(MID(IF(""""&amp;IF(H99&lt;&gt;"",H99,"")&amp;""""="""+++""","""+++""",IF(""""&amp;IF(H99&lt;&gt;"",H99,"")&amp;""""="""a""","""a""",IF(""""&amp;IF(H99&lt;&gt;"",H99,"")&amp;""""="""""","""""",""""&amp;IF(H99&lt;&gt;"",H99,"")&amp;""""))),2,LEN(IF(""""&amp;IF(H99&lt;&gt;"",H99,"")&amp;""""="""+++""","""+++""",IF(""""&amp;IF(H99&lt;&gt;"",H99,"")&amp;""""="""a""","""a""",IF(""""&amp;IF(H99&lt;&gt;"",H99,"")&amp;""""="""""","""""",""""&amp;IF(H99&lt;&gt;"",H99,"")&amp;""""))))-2),A:G,7,0)</f>
        <v>#N/A</v>
      </c>
    </row>
    <row r="100" spans="1:9" x14ac:dyDescent="0.2">
      <c r="A100" s="2" t="s">
        <v>98</v>
      </c>
      <c r="B100" s="2" t="s">
        <v>57</v>
      </c>
      <c r="C100" s="7" t="s">
        <v>56</v>
      </c>
      <c r="D100" s="4" t="s">
        <v>55</v>
      </c>
      <c r="E100" s="4" t="s">
        <v>54</v>
      </c>
      <c r="F100" s="4">
        <v>1</v>
      </c>
      <c r="G100" s="2" t="s">
        <v>97</v>
      </c>
      <c r="H100" s="10"/>
      <c r="I100" s="2" t="e">
        <f>VLOOKUP(MID(IF(""""&amp;IF(H100&lt;&gt;"",H100,"")&amp;""""="""+++""","""+++""",IF(""""&amp;IF(H100&lt;&gt;"",H100,"")&amp;""""="""a""","""a""",IF(""""&amp;IF(H100&lt;&gt;"",H100,"")&amp;""""="""""","""""",""""&amp;IF(H100&lt;&gt;"",H100,"")&amp;""""))),2,LEN(IF(""""&amp;IF(H100&lt;&gt;"",H100,"")&amp;""""="""+++""","""+++""",IF(""""&amp;IF(H100&lt;&gt;"",H100,"")&amp;""""="""a""","""a""",IF(""""&amp;IF(H100&lt;&gt;"",H100,"")&amp;""""="""""","""""",""""&amp;IF(H100&lt;&gt;"",H100,"")&amp;""""))))-2),A:G,7,0)</f>
        <v>#N/A</v>
      </c>
    </row>
  </sheetData>
  <phoneticPr fontId="1" type="noConversion"/>
  <conditionalFormatting sqref="A69 A71:A90 A93:A100">
    <cfRule type="duplicateValues" dxfId="7" priority="10"/>
  </conditionalFormatting>
  <conditionalFormatting sqref="H69 H71:H90 H93:H100">
    <cfRule type="duplicateValues" dxfId="6" priority="9"/>
  </conditionalFormatting>
  <conditionalFormatting sqref="A5">
    <cfRule type="duplicateValues" dxfId="5" priority="4"/>
  </conditionalFormatting>
  <conditionalFormatting sqref="G5">
    <cfRule type="duplicateValues" dxfId="4" priority="3"/>
  </conditionalFormatting>
  <conditionalFormatting sqref="H2 H4">
    <cfRule type="duplicateValues" dxfId="3" priority="2"/>
  </conditionalFormatting>
  <conditionalFormatting sqref="H5">
    <cfRule type="duplicateValues" dxfId="2" priority="1"/>
  </conditionalFormatting>
  <conditionalFormatting sqref="A2 A4 A6:A25 A28:A41">
    <cfRule type="duplicateValues" dxfId="1" priority="17"/>
  </conditionalFormatting>
  <conditionalFormatting sqref="H21:H41 H6:H18">
    <cfRule type="duplicateValues" dxfId="0" priority="22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DAA3F-DC5B-48DF-9231-637AC61D798F}">
  <dimension ref="A1:K45"/>
  <sheetViews>
    <sheetView workbookViewId="0">
      <selection activeCell="C37" sqref="C37"/>
    </sheetView>
  </sheetViews>
  <sheetFormatPr defaultRowHeight="14.25" x14ac:dyDescent="0.2"/>
  <cols>
    <col min="1" max="1" width="3.875" style="3" bestFit="1" customWidth="1"/>
    <col min="2" max="2" width="7.375" style="6" bestFit="1" customWidth="1"/>
    <col min="3" max="3" width="57.375" style="3" bestFit="1" customWidth="1"/>
    <col min="4" max="4" width="16" style="3" bestFit="1" customWidth="1"/>
    <col min="5" max="5" width="8" style="6" bestFit="1" customWidth="1"/>
    <col min="6" max="6" width="8.5" style="6" bestFit="1" customWidth="1"/>
    <col min="7" max="7" width="9.75" style="6" bestFit="1" customWidth="1"/>
    <col min="8" max="8" width="11.625" style="6" bestFit="1" customWidth="1"/>
    <col min="9" max="9" width="24" style="6" bestFit="1" customWidth="1"/>
    <col min="10" max="10" width="25.125" style="6" bestFit="1" customWidth="1"/>
    <col min="11" max="11" width="54.5" style="15" bestFit="1" customWidth="1"/>
  </cols>
  <sheetData>
    <row r="1" spans="1:11" ht="28.5" x14ac:dyDescent="0.2">
      <c r="A1" s="2" t="s">
        <v>237</v>
      </c>
      <c r="B1" s="9" t="s">
        <v>236</v>
      </c>
      <c r="C1" s="2" t="s">
        <v>235</v>
      </c>
      <c r="D1" s="2" t="s">
        <v>234</v>
      </c>
      <c r="E1" s="4" t="s">
        <v>233</v>
      </c>
      <c r="F1" s="9" t="s">
        <v>232</v>
      </c>
      <c r="G1" s="9" t="s">
        <v>231</v>
      </c>
      <c r="H1" s="9" t="s">
        <v>94</v>
      </c>
      <c r="I1" s="4" t="s">
        <v>93</v>
      </c>
      <c r="J1" s="4" t="s">
        <v>92</v>
      </c>
    </row>
    <row r="2" spans="1:11" x14ac:dyDescent="0.2">
      <c r="A2" s="2">
        <f t="shared" ref="A2:A45" si="0">ROW(A1)-1</f>
        <v>0</v>
      </c>
      <c r="B2" s="4">
        <f t="shared" ref="B2:B45" si="1">IF(B1="","",IF(B1=-1,-1,IF(C3="""""",-1,IF(C3="",-1,A2+1))))</f>
        <v>1</v>
      </c>
      <c r="C2" s="2" t="str">
        <f>IF(C1="""""","""""",IF(""""&amp;IF(AT指令表!H2&lt;&gt;"",AT指令表!H2,"")&amp;""""="""+++""","""+++""",IF(""""&amp;IF(AT指令表!H2&lt;&gt;"",AT指令表!H2,"")&amp;""""="""a""","""a""",IF(""""&amp;IF(AT指令表!H2&lt;&gt;"",AT指令表!H2,"")&amp;""""="""""","""""",""""&amp;IF(AT指令表!H2&lt;&gt;"",AT指令表!H2,"")&amp;"\r\n"""))))</f>
        <v>"AT+CFUN=0\r\n"</v>
      </c>
      <c r="D2" s="2" t="str">
        <f>IFERROR(VLOOKUP(MID(C2,2,LEN(C2)-IF(C2="""+++""",2,IF(C2="""a""",2,6))),AT指令表!A:B,2,0),"""""")</f>
        <v>"OK"</v>
      </c>
      <c r="E2" s="4" t="str">
        <f>IFERROR(IF(VLOOKUP(MID(C2,2,LEN(C2)-IF(C2="""+++""",2,IF(C2="""a""",2,6))),AT指令表!A:F,6,0)=1,"true","false"),"error")</f>
        <v>true</v>
      </c>
      <c r="F2" s="4">
        <v>3</v>
      </c>
      <c r="G2" s="4">
        <v>3</v>
      </c>
      <c r="H2" s="4" t="str">
        <f>IFERROR(IF(VLOOKUP(MID(C2,2,LEN(C2)-IF(C2="""+++""",2,IF(C2="""a""",2,6))),AT指令表!A:C,3,0)=1,"true","false"),"error")</f>
        <v>false</v>
      </c>
      <c r="I2" s="4" t="str">
        <f>IFERROR(VLOOKUP(MID(C2,2,LEN(C2)-IF(C2="""+++""",2,IF(C2="""a""",2,6))),AT指令表!A:F,4,0),"easyATCmdDataLoadFun")</f>
        <v>easyATCmdDataLoadFun</v>
      </c>
      <c r="J2" s="4" t="str">
        <f>IFERROR(VLOOKUP(MID(C2,2,LEN(C2)-IF(C2="""+++""",2,IF(C2="""a""",2,6))),AT指令表!A:F,5,0),"easyATCmdDataDoingFun")</f>
        <v>easyATCmdDataDoingFun</v>
      </c>
      <c r="K2" s="15" t="str">
        <f>IFERROR(IF(B2=-1,"",AT指令表!I2),"")</f>
        <v>//关闭射频</v>
      </c>
    </row>
    <row r="3" spans="1:11" x14ac:dyDescent="0.2">
      <c r="A3" s="2">
        <f t="shared" si="0"/>
        <v>1</v>
      </c>
      <c r="B3" s="4">
        <f t="shared" si="1"/>
        <v>2</v>
      </c>
      <c r="C3" s="2" t="str">
        <f>IF(C2="""""","""""",IF(""""&amp;IF(AT指令表!H3&lt;&gt;"",AT指令表!H3,"")&amp;""""="""+++""","""+++""",IF(""""&amp;IF(AT指令表!H3&lt;&gt;"",AT指令表!H3,"")&amp;""""="""a""","""a""",IF(""""&amp;IF(AT指令表!H3&lt;&gt;"",AT指令表!H3,"")&amp;""""="""""","""""",""""&amp;IF(AT指令表!H3&lt;&gt;"",AT指令表!H3,"")&amp;"\r\n"""))))</f>
        <v>"ATE1\r\n"</v>
      </c>
      <c r="D3" s="2" t="str">
        <f>IFERROR(VLOOKUP(MID(C3,2,LEN(C3)-IF(C3="""+++""",2,IF(C3="""a""",2,6))),AT指令表!A:B,2,0),"""""")</f>
        <v>"OK"</v>
      </c>
      <c r="E3" s="4" t="str">
        <f>IFERROR(IF(VLOOKUP(MID(C3,2,LEN(C3)-IF(C3="""+++""",2,IF(C3="""a""",2,6))),AT指令表!A:F,6,0)=1,"true","false"),"error")</f>
        <v>true</v>
      </c>
      <c r="F3" s="4">
        <v>3</v>
      </c>
      <c r="G3" s="4">
        <v>3</v>
      </c>
      <c r="H3" s="4" t="str">
        <f>IFERROR(IF(VLOOKUP(MID(C3,2,LEN(C3)-IF(C3="""+++""",2,IF(C3="""a""",2,6))),AT指令表!A:C,3,0)=1,"true","false"),"error")</f>
        <v>false</v>
      </c>
      <c r="I3" s="4" t="str">
        <f>IFERROR(VLOOKUP(MID(C3,2,LEN(C3)-IF(C3="""+++""",2,IF(C3="""a""",2,6))),AT指令表!A:F,4,0),"easyATCmdDataLoadFun")</f>
        <v>easyATCmdDataLoadFun</v>
      </c>
      <c r="J3" s="4" t="str">
        <f>IFERROR(VLOOKUP(MID(C3,2,LEN(C3)-IF(C3="""+++""",2,IF(C3="""a""",2,6))),AT指令表!A:F,5,0),"easyATCmdDataDoingFun")</f>
        <v>easyATCmdDataDoingFun</v>
      </c>
      <c r="K3" s="15" t="str">
        <f>IFERROR(IF(B3=-1,"",AT指令表!I3),"")</f>
        <v>//打开回显</v>
      </c>
    </row>
    <row r="4" spans="1:11" x14ac:dyDescent="0.2">
      <c r="A4" s="2">
        <f t="shared" si="0"/>
        <v>2</v>
      </c>
      <c r="B4" s="4">
        <f t="shared" si="1"/>
        <v>3</v>
      </c>
      <c r="C4" s="2" t="str">
        <f>IF(C3="""""","""""",IF(""""&amp;IF(AT指令表!H4&lt;&gt;"",AT指令表!H4,"")&amp;""""="""+++""","""+++""",IF(""""&amp;IF(AT指令表!H4&lt;&gt;"",AT指令表!H4,"")&amp;""""="""a""","""a""",IF(""""&amp;IF(AT指令表!H4&lt;&gt;"",AT指令表!H4,"")&amp;""""="""""","""""",""""&amp;IF(AT指令表!H4&lt;&gt;"",AT指令表!H4,"")&amp;"\r\n"""))))</f>
        <v>"AT+IPR=9600\r\n"</v>
      </c>
      <c r="D4" s="2" t="str">
        <f>IFERROR(VLOOKUP(MID(C4,2,LEN(C4)-IF(C4="""+++""",2,IF(C4="""a""",2,6))),AT指令表!A:B,2,0),"""""")</f>
        <v>"OK"</v>
      </c>
      <c r="E4" s="4" t="str">
        <f>IFERROR(IF(VLOOKUP(MID(C4,2,LEN(C4)-IF(C4="""+++""",2,IF(C4="""a""",2,6))),AT指令表!A:F,6,0)=1,"true","false"),"error")</f>
        <v>true</v>
      </c>
      <c r="F4" s="4">
        <v>3</v>
      </c>
      <c r="G4" s="4">
        <v>3</v>
      </c>
      <c r="H4" s="4" t="str">
        <f>IFERROR(IF(VLOOKUP(MID(C4,2,LEN(C4)-IF(C4="""+++""",2,IF(C4="""a""",2,6))),AT指令表!A:C,3,0)=1,"true","false"),"error")</f>
        <v>false</v>
      </c>
      <c r="I4" s="4" t="str">
        <f>IFERROR(VLOOKUP(MID(C4,2,LEN(C4)-IF(C4="""+++""",2,IF(C4="""a""",2,6))),AT指令表!A:F,4,0),"easyATCmdDataLoadFun")</f>
        <v>setUartBandDataLoadFun</v>
      </c>
      <c r="J4" s="4" t="str">
        <f>IFERROR(VLOOKUP(MID(C4,2,LEN(C4)-IF(C4="""+++""",2,IF(C4="""a""",2,6))),AT指令表!A:F,5,0),"easyATCmdDataDoingFun")</f>
        <v>easyATCmdDataDoingFun</v>
      </c>
      <c r="K4" s="15" t="str">
        <f>IFERROR(IF(B4=-1,"",AT指令表!I4),"")</f>
        <v>//设置波特率</v>
      </c>
    </row>
    <row r="5" spans="1:11" x14ac:dyDescent="0.2">
      <c r="A5" s="2">
        <f t="shared" si="0"/>
        <v>3</v>
      </c>
      <c r="B5" s="4">
        <f t="shared" si="1"/>
        <v>4</v>
      </c>
      <c r="C5" s="2" t="str">
        <f>IF(C4="""""","""""",IF(""""&amp;IF(AT指令表!H5&lt;&gt;"",AT指令表!H5,"")&amp;""""="""+++""","""+++""",IF(""""&amp;IF(AT指令表!H5&lt;&gt;"",AT指令表!H5,"")&amp;""""="""a""","""a""",IF(""""&amp;IF(AT指令表!H5&lt;&gt;"",AT指令表!H5,"")&amp;""""="""""","""""",""""&amp;IF(AT指令表!H5&lt;&gt;"",AT指令表!H5,"")&amp;"\r\n"""))))</f>
        <v>"AT+ECBAND=0,5\r\n"</v>
      </c>
      <c r="D5" s="2" t="str">
        <f>IFERROR(VLOOKUP(MID(C5,2,LEN(C5)-IF(C5="""+++""",2,IF(C5="""a""",2,6))),AT指令表!A:B,2,0),"""""")</f>
        <v>"OK"</v>
      </c>
      <c r="E5" s="4" t="str">
        <f>IFERROR(IF(VLOOKUP(MID(C5,2,LEN(C5)-IF(C5="""+++""",2,IF(C5="""a""",2,6))),AT指令表!A:F,6,0)=1,"true","false"),"error")</f>
        <v>true</v>
      </c>
      <c r="F5" s="4">
        <v>3</v>
      </c>
      <c r="G5" s="4">
        <v>3</v>
      </c>
      <c r="H5" s="4" t="str">
        <f>IFERROR(IF(VLOOKUP(MID(C5,2,LEN(C5)-IF(C5="""+++""",2,IF(C5="""a""",2,6))),AT指令表!A:C,3,0)=1,"true","false"),"error")</f>
        <v>false</v>
      </c>
      <c r="I5" s="4" t="str">
        <f>IFERROR(VLOOKUP(MID(C5,2,LEN(C5)-IF(C5="""+++""",2,IF(C5="""a""",2,6))),AT指令表!A:F,4,0),"easyATCmdDataLoadFun")</f>
        <v>setSIMBandDataLoadFun</v>
      </c>
      <c r="J5" s="4" t="str">
        <f>IFERROR(VLOOKUP(MID(C5,2,LEN(C5)-IF(C5="""+++""",2,IF(C5="""a""",2,6))),AT指令表!A:F,5,0),"easyATCmdDataDoingFun")</f>
        <v>easyATCmdDataDoingFun</v>
      </c>
      <c r="K5" s="15" t="str">
        <f>IFERROR(IF(B5=-1,"",AT指令表!I5),"")</f>
        <v>//设置 SIM BAND</v>
      </c>
    </row>
    <row r="6" spans="1:11" x14ac:dyDescent="0.2">
      <c r="A6" s="2">
        <f t="shared" si="0"/>
        <v>4</v>
      </c>
      <c r="B6" s="4">
        <f t="shared" si="1"/>
        <v>5</v>
      </c>
      <c r="C6" s="2" t="str">
        <f>IF(C5="""""","""""",IF(""""&amp;IF(AT指令表!H6&lt;&gt;"",AT指令表!H6,"")&amp;""""="""+++""","""+++""",IF(""""&amp;IF(AT指令表!H6&lt;&gt;"",AT指令表!H6,"")&amp;""""="""a""","""a""",IF(""""&amp;IF(AT指令表!H6&lt;&gt;"",AT指令表!H6,"")&amp;""""="""""","""""",""""&amp;IF(AT指令表!H6&lt;&gt;"",AT指令表!H6,"")&amp;"\r\n"""))))</f>
        <v>"AT+SGSW\r\n"</v>
      </c>
      <c r="D6" s="2" t="str">
        <f>IFERROR(VLOOKUP(MID(C6,2,LEN(C6)-IF(C6="""+++""",2,IF(C6="""a""",2,6))),AT指令表!A:B,2,0),"""""")</f>
        <v>"OK"</v>
      </c>
      <c r="E6" s="4" t="str">
        <f>IFERROR(IF(VLOOKUP(MID(C6,2,LEN(C6)-IF(C6="""+++""",2,IF(C6="""a""",2,6))),AT指令表!A:F,6,0)=1,"true","false"),"error")</f>
        <v>true</v>
      </c>
      <c r="F6" s="4">
        <v>3</v>
      </c>
      <c r="G6" s="4">
        <v>3</v>
      </c>
      <c r="H6" s="4" t="str">
        <f>IFERROR(IF(VLOOKUP(MID(C6,2,LEN(C6)-IF(C6="""+++""",2,IF(C6="""a""",2,6))),AT指令表!A:C,3,0)=1,"true","false"),"error")</f>
        <v>false</v>
      </c>
      <c r="I6" s="4" t="str">
        <f>IFERROR(VLOOKUP(MID(C6,2,LEN(C6)-IF(C6="""+++""",2,IF(C6="""a""",2,6))),AT指令表!A:F,4,0),"easyATCmdDataLoadFun")</f>
        <v>easyATCmdDataLoadFun</v>
      </c>
      <c r="J6" s="4" t="str">
        <f>IFERROR(VLOOKUP(MID(C6,2,LEN(C6)-IF(C6="""+++""",2,IF(C6="""a""",2,6))),AT指令表!A:F,5,0),"easyATCmdDataDoingFun")</f>
        <v>easyATCmdDataDoingFun</v>
      </c>
      <c r="K6" s="15" t="str">
        <f>IFERROR(IF(B6=-1,"",AT指令表!I6),"")</f>
        <v>//获取版本信息</v>
      </c>
    </row>
    <row r="7" spans="1:11" x14ac:dyDescent="0.2">
      <c r="A7" s="2">
        <f t="shared" si="0"/>
        <v>5</v>
      </c>
      <c r="B7" s="4">
        <f t="shared" si="1"/>
        <v>6</v>
      </c>
      <c r="C7" s="2" t="str">
        <f>IF(C6="""""","""""",IF(""""&amp;IF(AT指令表!H7&lt;&gt;"",AT指令表!H7,"")&amp;""""="""+++""","""+++""",IF(""""&amp;IF(AT指令表!H7&lt;&gt;"",AT指令表!H7,"")&amp;""""="""a""","""a""",IF(""""&amp;IF(AT指令表!H7&lt;&gt;"",AT指令表!H7,"")&amp;""""="""""","""""",""""&amp;IF(AT指令表!H7&lt;&gt;"",AT指令表!H7,"")&amp;"\r\n"""))))</f>
        <v>"AT+CGSN\r\n"</v>
      </c>
      <c r="D7" s="2" t="str">
        <f>IFERROR(VLOOKUP(MID(C7,2,LEN(C7)-IF(C7="""+++""",2,IF(C7="""a""",2,6))),AT指令表!A:B,2,0),"""""")</f>
        <v>"OK"</v>
      </c>
      <c r="E7" s="4" t="str">
        <f>IFERROR(IF(VLOOKUP(MID(C7,2,LEN(C7)-IF(C7="""+++""",2,IF(C7="""a""",2,6))),AT指令表!A:F,6,0)=1,"true","false"),"error")</f>
        <v>true</v>
      </c>
      <c r="F7" s="4">
        <v>3</v>
      </c>
      <c r="G7" s="4">
        <v>3</v>
      </c>
      <c r="H7" s="4" t="str">
        <f>IFERROR(IF(VLOOKUP(MID(C7,2,LEN(C7)-IF(C7="""+++""",2,IF(C7="""a""",2,6))),AT指令表!A:C,3,0)=1,"true","false"),"error")</f>
        <v>false</v>
      </c>
      <c r="I7" s="4" t="str">
        <f>IFERROR(VLOOKUP(MID(C7,2,LEN(C7)-IF(C7="""+++""",2,IF(C7="""a""",2,6))),AT指令表!A:F,4,0),"easyATCmdDataLoadFun")</f>
        <v>easyATCmdDataLoadFun</v>
      </c>
      <c r="J7" s="4" t="str">
        <f>IFERROR(VLOOKUP(MID(C7,2,LEN(C7)-IF(C7="""+++""",2,IF(C7="""a""",2,6))),AT指令表!A:F,5,0),"easyATCmdDataDoingFun")</f>
        <v>easyATCmdDataDoingFun</v>
      </c>
      <c r="K7" s="15" t="str">
        <f>IFERROR(IF(B7=-1,"",AT指令表!I7),"")</f>
        <v>//请求产品序列号IMEI</v>
      </c>
    </row>
    <row r="8" spans="1:11" x14ac:dyDescent="0.2">
      <c r="A8" s="2">
        <f t="shared" si="0"/>
        <v>6</v>
      </c>
      <c r="B8" s="4">
        <f t="shared" si="1"/>
        <v>7</v>
      </c>
      <c r="C8" s="2" t="str">
        <f>IF(C7="""""","""""",IF(""""&amp;IF(AT指令表!H8&lt;&gt;"",AT指令表!H8,"")&amp;""""="""+++""","""+++""",IF(""""&amp;IF(AT指令表!H8&lt;&gt;"",AT指令表!H8,"")&amp;""""="""a""","""a""",IF(""""&amp;IF(AT指令表!H8&lt;&gt;"",AT指令表!H8,"")&amp;""""="""""","""""",""""&amp;IF(AT指令表!H8&lt;&gt;"",AT指令表!H8,"")&amp;"\r\n"""))))</f>
        <v>"AT+ECMTCFG=\"version\",0,4\r\n"</v>
      </c>
      <c r="D8" s="2" t="str">
        <f>IFERROR(VLOOKUP(MID(C8,2,LEN(C8)-IF(C8="""+++""",2,IF(C8="""a""",2,6))),AT指令表!A:B,2,0),"""""")</f>
        <v>"OK"</v>
      </c>
      <c r="E8" s="4" t="str">
        <f>IFERROR(IF(VLOOKUP(MID(C8,2,LEN(C8)-IF(C8="""+++""",2,IF(C8="""a""",2,6))),AT指令表!A:F,6,0)=1,"true","false"),"error")</f>
        <v>true</v>
      </c>
      <c r="F8" s="4">
        <v>3</v>
      </c>
      <c r="G8" s="4">
        <v>3</v>
      </c>
      <c r="H8" s="4" t="str">
        <f>IFERROR(IF(VLOOKUP(MID(C8,2,LEN(C8)-IF(C8="""+++""",2,IF(C8="""a""",2,6))),AT指令表!A:C,3,0)=1,"true","false"),"error")</f>
        <v>false</v>
      </c>
      <c r="I8" s="4" t="str">
        <f>IFERROR(VLOOKUP(MID(C8,2,LEN(C8)-IF(C8="""+++""",2,IF(C8="""a""",2,6))),AT指令表!A:F,4,0),"easyATCmdDataLoadFun")</f>
        <v>easyATCmdDataLoadFun</v>
      </c>
      <c r="J8" s="4" t="str">
        <f>IFERROR(VLOOKUP(MID(C8,2,LEN(C8)-IF(C8="""+++""",2,IF(C8="""a""",2,6))),AT指令表!A:F,5,0),"easyATCmdDataDoingFun")</f>
        <v>easyATCmdDataDoingFun</v>
      </c>
      <c r="K8" s="15" t="str">
        <f>IFERROR(IF(B8=-1,"",AT指令表!I8),"")</f>
        <v>//设置 MQTT 3.1.1 版本</v>
      </c>
    </row>
    <row r="9" spans="1:11" x14ac:dyDescent="0.2">
      <c r="A9" s="2">
        <f t="shared" si="0"/>
        <v>7</v>
      </c>
      <c r="B9" s="4">
        <f t="shared" si="1"/>
        <v>8</v>
      </c>
      <c r="C9" s="2" t="str">
        <f>IF(C8="""""","""""",IF(""""&amp;IF(AT指令表!H9&lt;&gt;"",AT指令表!H9,"")&amp;""""="""+++""","""+++""",IF(""""&amp;IF(AT指令表!H9&lt;&gt;"",AT指令表!H9,"")&amp;""""="""a""","""a""",IF(""""&amp;IF(AT指令表!H9&lt;&gt;"",AT指令表!H9,"")&amp;""""="""""","""""",""""&amp;IF(AT指令表!H9&lt;&gt;"",AT指令表!H9,"")&amp;"\r\n"""))))</f>
        <v>"AT+ECMTCFG=\"echomode\",0,1\r\n"</v>
      </c>
      <c r="D9" s="2" t="str">
        <f>IFERROR(VLOOKUP(MID(C9,2,LEN(C9)-IF(C9="""+++""",2,IF(C9="""a""",2,6))),AT指令表!A:B,2,0),"""""")</f>
        <v>"OK"</v>
      </c>
      <c r="E9" s="4" t="str">
        <f>IFERROR(IF(VLOOKUP(MID(C9,2,LEN(C9)-IF(C9="""+++""",2,IF(C9="""a""",2,6))),AT指令表!A:F,6,0)=1,"true","false"),"error")</f>
        <v>true</v>
      </c>
      <c r="F9" s="4">
        <v>3</v>
      </c>
      <c r="G9" s="4">
        <v>3</v>
      </c>
      <c r="H9" s="4" t="str">
        <f>IFERROR(IF(VLOOKUP(MID(C9,2,LEN(C9)-IF(C9="""+++""",2,IF(C9="""a""",2,6))),AT指令表!A:C,3,0)=1,"true","false"),"error")</f>
        <v>false</v>
      </c>
      <c r="I9" s="4" t="str">
        <f>IFERROR(VLOOKUP(MID(C9,2,LEN(C9)-IF(C9="""+++""",2,IF(C9="""a""",2,6))),AT指令表!A:F,4,0),"easyATCmdDataLoadFun")</f>
        <v>easyATCmdDataLoadFun</v>
      </c>
      <c r="J9" s="4" t="str">
        <f>IFERROR(VLOOKUP(MID(C9,2,LEN(C9)-IF(C9="""+++""",2,IF(C9="""a""",2,6))),AT指令表!A:F,5,0),"easyATCmdDataDoingFun")</f>
        <v>easyATCmdDataDoingFun</v>
      </c>
      <c r="K9" s="15" t="str">
        <f>IFERROR(IF(B9=-1,"",AT指令表!I9),"")</f>
        <v>//关闭 MQTT 回显</v>
      </c>
    </row>
    <row r="10" spans="1:11" x14ac:dyDescent="0.2">
      <c r="A10" s="2">
        <f t="shared" si="0"/>
        <v>8</v>
      </c>
      <c r="B10" s="4">
        <f t="shared" si="1"/>
        <v>9</v>
      </c>
      <c r="C10" s="2" t="str">
        <f>IF(C9="""""","""""",IF(""""&amp;IF(AT指令表!H10&lt;&gt;"",AT指令表!H10,"")&amp;""""="""+++""","""+++""",IF(""""&amp;IF(AT指令表!H10&lt;&gt;"",AT指令表!H10,"")&amp;""""="""a""","""a""",IF(""""&amp;IF(AT指令表!H10&lt;&gt;"",AT指令表!H10,"")&amp;""""="""""","""""",""""&amp;IF(AT指令表!H10&lt;&gt;"",AT指令表!H10,"")&amp;"\r\n"""))))</f>
        <v>"AT+ECMTCFG=\"dataformat\",0,0,0\r\n"</v>
      </c>
      <c r="D10" s="2" t="str">
        <f>IFERROR(VLOOKUP(MID(C10,2,LEN(C10)-IF(C10="""+++""",2,IF(C10="""a""",2,6))),AT指令表!A:B,2,0),"""""")</f>
        <v>"OK"</v>
      </c>
      <c r="E10" s="4" t="str">
        <f>IFERROR(IF(VLOOKUP(MID(C10,2,LEN(C10)-IF(C10="""+++""",2,IF(C10="""a""",2,6))),AT指令表!A:F,6,0)=1,"true","false"),"error")</f>
        <v>true</v>
      </c>
      <c r="F10" s="4">
        <v>3</v>
      </c>
      <c r="G10" s="4">
        <v>3</v>
      </c>
      <c r="H10" s="4" t="str">
        <f>IFERROR(IF(VLOOKUP(MID(C10,2,LEN(C10)-IF(C10="""+++""",2,IF(C10="""a""",2,6))),AT指令表!A:C,3,0)=1,"true","false"),"error")</f>
        <v>false</v>
      </c>
      <c r="I10" s="4" t="str">
        <f>IFERROR(VLOOKUP(MID(C10,2,LEN(C10)-IF(C10="""+++""",2,IF(C10="""a""",2,6))),AT指令表!A:F,4,0),"easyATCmdDataLoadFun")</f>
        <v>easyATCmdDataLoadFun</v>
      </c>
      <c r="J10" s="4" t="str">
        <f>IFERROR(VLOOKUP(MID(C10,2,LEN(C10)-IF(C10="""+++""",2,IF(C10="""a""",2,6))),AT指令表!A:F,5,0),"easyATCmdDataDoingFun")</f>
        <v>easyATCmdDataDoingFun</v>
      </c>
      <c r="K10" s="15" t="str">
        <f>IFERROR(IF(B10=-1,"",AT指令表!I10),"")</f>
        <v>//设置发送接收的都是文本</v>
      </c>
    </row>
    <row r="11" spans="1:11" x14ac:dyDescent="0.2">
      <c r="A11" s="2">
        <f t="shared" si="0"/>
        <v>9</v>
      </c>
      <c r="B11" s="4">
        <f t="shared" si="1"/>
        <v>10</v>
      </c>
      <c r="C11" s="2" t="str">
        <f>IF(C10="""""","""""",IF(""""&amp;IF(AT指令表!H11&lt;&gt;"",AT指令表!H11,"")&amp;""""="""+++""","""+++""",IF(""""&amp;IF(AT指令表!H11&lt;&gt;"",AT指令表!H11,"")&amp;""""="""a""","""a""",IF(""""&amp;IF(AT指令表!H11&lt;&gt;"",AT指令表!H11,"")&amp;""""="""""","""""",""""&amp;IF(AT指令表!H11&lt;&gt;"",AT指令表!H11,"")&amp;"\r\n"""))))</f>
        <v>"AT+ECMTCFG=\"keepalive\",0,40\r\n"</v>
      </c>
      <c r="D11" s="2" t="str">
        <f>IFERROR(VLOOKUP(MID(C11,2,LEN(C11)-IF(C11="""+++""",2,IF(C11="""a""",2,6))),AT指令表!A:B,2,0),"""""")</f>
        <v>"OK"</v>
      </c>
      <c r="E11" s="4" t="str">
        <f>IFERROR(IF(VLOOKUP(MID(C11,2,LEN(C11)-IF(C11="""+++""",2,IF(C11="""a""",2,6))),AT指令表!A:F,6,0)=1,"true","false"),"error")</f>
        <v>true</v>
      </c>
      <c r="F11" s="4">
        <v>3</v>
      </c>
      <c r="G11" s="4">
        <v>3</v>
      </c>
      <c r="H11" s="4" t="str">
        <f>IFERROR(IF(VLOOKUP(MID(C11,2,LEN(C11)-IF(C11="""+++""",2,IF(C11="""a""",2,6))),AT指令表!A:C,3,0)=1,"true","false"),"error")</f>
        <v>false</v>
      </c>
      <c r="I11" s="4" t="str">
        <f>IFERROR(VLOOKUP(MID(C11,2,LEN(C11)-IF(C11="""+++""",2,IF(C11="""a""",2,6))),AT指令表!A:F,4,0),"easyATCmdDataLoadFun")</f>
        <v>easyATCmdDataLoadFun</v>
      </c>
      <c r="J11" s="4" t="str">
        <f>IFERROR(VLOOKUP(MID(C11,2,LEN(C11)-IF(C11="""+++""",2,IF(C11="""a""",2,6))),AT指令表!A:F,5,0),"easyATCmdDataDoingFun")</f>
        <v>easyATCmdDataDoingFun</v>
      </c>
      <c r="K11" s="15" t="str">
        <f>IFERROR(IF(B11=-1,"",AT指令表!I11),"")</f>
        <v>//设置心跳</v>
      </c>
    </row>
    <row r="12" spans="1:11" x14ac:dyDescent="0.2">
      <c r="A12" s="2">
        <f t="shared" si="0"/>
        <v>10</v>
      </c>
      <c r="B12" s="4">
        <f t="shared" si="1"/>
        <v>11</v>
      </c>
      <c r="C12" s="2" t="str">
        <f>IF(C11="""""","""""",IF(""""&amp;IF(AT指令表!H12&lt;&gt;"",AT指令表!H12,"")&amp;""""="""+++""","""+++""",IF(""""&amp;IF(AT指令表!H12&lt;&gt;"",AT指令表!H12,"")&amp;""""="""a""","""a""",IF(""""&amp;IF(AT指令表!H12&lt;&gt;"",AT指令表!H12,"")&amp;""""="""""","""""",""""&amp;IF(AT指令表!H12&lt;&gt;"",AT指令表!H12,"")&amp;"\r\n"""))))</f>
        <v>"AT+ECMTCFG=\"session\",0,1\r\n"</v>
      </c>
      <c r="D12" s="2" t="str">
        <f>IFERROR(VLOOKUP(MID(C12,2,LEN(C12)-IF(C12="""+++""",2,IF(C12="""a""",2,6))),AT指令表!A:B,2,0),"""""")</f>
        <v>"OK"</v>
      </c>
      <c r="E12" s="4" t="str">
        <f>IFERROR(IF(VLOOKUP(MID(C12,2,LEN(C12)-IF(C12="""+++""",2,IF(C12="""a""",2,6))),AT指令表!A:F,6,0)=1,"true","false"),"error")</f>
        <v>true</v>
      </c>
      <c r="F12" s="4">
        <v>3</v>
      </c>
      <c r="G12" s="4">
        <v>3</v>
      </c>
      <c r="H12" s="4" t="str">
        <f>IFERROR(IF(VLOOKUP(MID(C12,2,LEN(C12)-IF(C12="""+++""",2,IF(C12="""a""",2,6))),AT指令表!A:C,3,0)=1,"true","false"),"error")</f>
        <v>false</v>
      </c>
      <c r="I12" s="4" t="str">
        <f>IFERROR(VLOOKUP(MID(C12,2,LEN(C12)-IF(C12="""+++""",2,IF(C12="""a""",2,6))),AT指令表!A:F,4,0),"easyATCmdDataLoadFun")</f>
        <v>easyATCmdDataLoadFun</v>
      </c>
      <c r="J12" s="4" t="str">
        <f>IFERROR(VLOOKUP(MID(C12,2,LEN(C12)-IF(C12="""+++""",2,IF(C12="""a""",2,6))),AT指令表!A:F,5,0),"easyATCmdDataDoingFun")</f>
        <v>easyATCmdDataDoingFun</v>
      </c>
      <c r="K12" s="15" t="str">
        <f>IFERROR(IF(B12=-1,"",AT指令表!I12),"")</f>
        <v>//设置服务器在断开连接后不保留客户端信息</v>
      </c>
    </row>
    <row r="13" spans="1:11" x14ac:dyDescent="0.2">
      <c r="A13" s="2">
        <f t="shared" si="0"/>
        <v>11</v>
      </c>
      <c r="B13" s="4">
        <f t="shared" si="1"/>
        <v>12</v>
      </c>
      <c r="C13" s="2" t="str">
        <f>IF(C12="""""","""""",IF(""""&amp;IF(AT指令表!H14&lt;&gt;"",AT指令表!H14,"")&amp;""""="""+++""","""+++""",IF(""""&amp;IF(AT指令表!H14&lt;&gt;"",AT指令表!H14,"")&amp;""""="""a""","""a""",IF(""""&amp;IF(AT指令表!H14&lt;&gt;"",AT指令表!H14,"")&amp;""""="""""","""""",""""&amp;IF(AT指令表!H14&lt;&gt;"",AT指令表!H14,"")&amp;"\r\n"""))))</f>
        <v>"AT+CFUN=1\r\n"</v>
      </c>
      <c r="D13" s="2" t="str">
        <f>IFERROR(VLOOKUP(MID(C13,2,LEN(C13)-IF(C13="""+++""",2,IF(C13="""a""",2,6))),AT指令表!A:B,2,0),"""""")</f>
        <v>"OK"</v>
      </c>
      <c r="E13" s="4" t="str">
        <f>IFERROR(IF(VLOOKUP(MID(C13,2,LEN(C13)-IF(C13="""+++""",2,IF(C13="""a""",2,6))),AT指令表!A:F,6,0)=1,"true","false"),"error")</f>
        <v>true</v>
      </c>
      <c r="F13" s="4">
        <v>3</v>
      </c>
      <c r="G13" s="4">
        <v>3</v>
      </c>
      <c r="H13" s="4" t="str">
        <f>IFERROR(IF(VLOOKUP(MID(C13,2,LEN(C13)-IF(C13="""+++""",2,IF(C13="""a""",2,6))),AT指令表!A:C,3,0)=1,"true","false"),"error")</f>
        <v>false</v>
      </c>
      <c r="I13" s="4" t="str">
        <f>IFERROR(VLOOKUP(MID(C13,2,LEN(C13)-IF(C13="""+++""",2,IF(C13="""a""",2,6))),AT指令表!A:F,4,0),"easyATCmdDataLoadFun")</f>
        <v>easyATCmdDataLoadFun</v>
      </c>
      <c r="J13" s="4" t="str">
        <f>IFERROR(VLOOKUP(MID(C13,2,LEN(C13)-IF(C13="""+++""",2,IF(C13="""a""",2,6))),AT指令表!A:F,5,0),"easyATCmdDataDoingFun")</f>
        <v>easyATCmdDataDoingFun</v>
      </c>
      <c r="K13" s="15" t="str">
        <f>IFERROR(IF(B13=-1,"",AT指令表!I14),"")</f>
        <v>//开启射频</v>
      </c>
    </row>
    <row r="14" spans="1:11" x14ac:dyDescent="0.2">
      <c r="A14" s="2">
        <f t="shared" si="0"/>
        <v>12</v>
      </c>
      <c r="B14" s="4">
        <f t="shared" si="1"/>
        <v>13</v>
      </c>
      <c r="C14" s="2" t="str">
        <f>IF(C13="""""","""""",IF(""""&amp;IF(AT指令表!H15&lt;&gt;"",AT指令表!H15,"")&amp;""""="""+++""","""+++""",IF(""""&amp;IF(AT指令表!H15&lt;&gt;"",AT指令表!H15,"")&amp;""""="""a""","""a""",IF(""""&amp;IF(AT指令表!H15&lt;&gt;"",AT指令表!H15,"")&amp;""""="""""","""""",""""&amp;IF(AT指令表!H15&lt;&gt;"",AT指令表!H15,"")&amp;"\r\n"""))))</f>
        <v>"AT+CPIN?\r\n"</v>
      </c>
      <c r="D14" s="2" t="str">
        <f>IFERROR(VLOOKUP(MID(C14,2,LEN(C14)-IF(C14="""+++""",2,IF(C14="""a""",2,6))),AT指令表!A:B,2,0),"""""")</f>
        <v>"OK"</v>
      </c>
      <c r="E14" s="4" t="str">
        <f>IFERROR(IF(VLOOKUP(MID(C14,2,LEN(C14)-IF(C14="""+++""",2,IF(C14="""a""",2,6))),AT指令表!A:F,6,0)=1,"true","false"),"error")</f>
        <v>true</v>
      </c>
      <c r="F14" s="4">
        <v>3</v>
      </c>
      <c r="G14" s="4">
        <v>3</v>
      </c>
      <c r="H14" s="4" t="str">
        <f>IFERROR(IF(VLOOKUP(MID(C14,2,LEN(C14)-IF(C14="""+++""",2,IF(C14="""a""",2,6))),AT指令表!A:C,3,0)=1,"true","false"),"error")</f>
        <v>false</v>
      </c>
      <c r="I14" s="4" t="str">
        <f>IFERROR(VLOOKUP(MID(C14,2,LEN(C14)-IF(C14="""+++""",2,IF(C14="""a""",2,6))),AT指令表!A:F,4,0),"easyATCmdDataLoadFun")</f>
        <v>easyATCmdDataLoadFun</v>
      </c>
      <c r="J14" s="4" t="str">
        <f>IFERROR(VLOOKUP(MID(C14,2,LEN(C14)-IF(C14="""+++""",2,IF(C14="""a""",2,6))),AT指令表!A:F,5,0),"easyATCmdDataDoingFun")</f>
        <v>easyATCmdDataDoingFun</v>
      </c>
      <c r="K14" s="15" t="str">
        <f>IFERROR(IF(B14=-1,"",AT指令表!I15),"")</f>
        <v>//识别sm卡</v>
      </c>
    </row>
    <row r="15" spans="1:11" x14ac:dyDescent="0.2">
      <c r="A15" s="2">
        <f t="shared" si="0"/>
        <v>13</v>
      </c>
      <c r="B15" s="4">
        <f t="shared" si="1"/>
        <v>14</v>
      </c>
      <c r="C15" s="2" t="str">
        <f>IF(C14="""""","""""",IF(""""&amp;IF(AT指令表!H16&lt;&gt;"",AT指令表!H16,"")&amp;""""="""+++""","""+++""",IF(""""&amp;IF(AT指令表!H16&lt;&gt;"",AT指令表!H16,"")&amp;""""="""a""","""a""",IF(""""&amp;IF(AT指令表!H16&lt;&gt;"",AT指令表!H16,"")&amp;""""="""""","""""",""""&amp;IF(AT指令表!H16&lt;&gt;"",AT指令表!H16,"")&amp;"\r\n"""))))</f>
        <v>"AT+SKTDELETE=1\r\n"</v>
      </c>
      <c r="D15" s="2" t="str">
        <f>IFERROR(VLOOKUP(MID(C15,2,LEN(C15)-IF(C15="""+++""",2,IF(C15="""a""",2,6))),AT指令表!A:B,2,0),"""""")</f>
        <v>"OK"</v>
      </c>
      <c r="E15" s="4" t="str">
        <f>IFERROR(IF(VLOOKUP(MID(C15,2,LEN(C15)-IF(C15="""+++""",2,IF(C15="""a""",2,6))),AT指令表!A:F,6,0)=1,"true","false"),"error")</f>
        <v>true</v>
      </c>
      <c r="F15" s="4">
        <v>3</v>
      </c>
      <c r="G15" s="4">
        <v>3</v>
      </c>
      <c r="H15" s="4" t="str">
        <f>IFERROR(IF(VLOOKUP(MID(C15,2,LEN(C15)-IF(C15="""+++""",2,IF(C15="""a""",2,6))),AT指令表!A:C,3,0)=1,"true","false"),"error")</f>
        <v>false</v>
      </c>
      <c r="I15" s="4" t="str">
        <f>IFERROR(VLOOKUP(MID(C15,2,LEN(C15)-IF(C15="""+++""",2,IF(C15="""a""",2,6))),AT指令表!A:F,4,0),"easyATCmdDataLoadFun")</f>
        <v>easyATCmdDataLoadFun</v>
      </c>
      <c r="J15" s="4" t="str">
        <f>IFERROR(VLOOKUP(MID(C15,2,LEN(C15)-IF(C15="""+++""",2,IF(C15="""a""",2,6))),AT指令表!A:F,5,0),"easyATCmdDataDoingFun")</f>
        <v>ResetTrueFlagDoingFun</v>
      </c>
      <c r="K15" s="15" t="str">
        <f>IFERROR(IF(B15=-1,"",AT指令表!I16),"")</f>
        <v>//删除socket</v>
      </c>
    </row>
    <row r="16" spans="1:11" x14ac:dyDescent="0.2">
      <c r="A16" s="2">
        <f t="shared" si="0"/>
        <v>14</v>
      </c>
      <c r="B16" s="4">
        <f t="shared" si="1"/>
        <v>15</v>
      </c>
      <c r="C16" s="2" t="str">
        <f>IF(C15="""""","""""",IF(""""&amp;IF(AT指令表!H17&lt;&gt;"",AT指令表!H17,"")&amp;""""="""+++""","""+++""",IF(""""&amp;IF(AT指令表!H17&lt;&gt;"",AT指令表!H17,"")&amp;""""="""a""","""a""",IF(""""&amp;IF(AT指令表!H17&lt;&gt;"",AT指令表!H17,"")&amp;""""="""""","""""",""""&amp;IF(AT指令表!H17&lt;&gt;"",AT指令表!H17,"")&amp;"\r\n"""))))</f>
        <v>"AT+SKTCREATE=1,1,6\r\n"</v>
      </c>
      <c r="D16" s="2" t="str">
        <f>IFERROR(VLOOKUP(MID(C16,2,LEN(C16)-IF(C16="""+++""",2,IF(C16="""a""",2,6))),AT指令表!A:B,2,0),"""""")</f>
        <v>"+SKTCREATE: 1"</v>
      </c>
      <c r="E16" s="4" t="str">
        <f>IFERROR(IF(VLOOKUP(MID(C16,2,LEN(C16)-IF(C16="""+++""",2,IF(C16="""a""",2,6))),AT指令表!A:F,6,0)=1,"true","false"),"error")</f>
        <v>true</v>
      </c>
      <c r="F16" s="4">
        <v>3</v>
      </c>
      <c r="G16" s="4">
        <v>3</v>
      </c>
      <c r="H16" s="4" t="str">
        <f>IFERROR(IF(VLOOKUP(MID(C16,2,LEN(C16)-IF(C16="""+++""",2,IF(C16="""a""",2,6))),AT指令表!A:C,3,0)=1,"true","false"),"error")</f>
        <v>false</v>
      </c>
      <c r="I16" s="4" t="str">
        <f>IFERROR(VLOOKUP(MID(C16,2,LEN(C16)-IF(C16="""+++""",2,IF(C16="""a""",2,6))),AT指令表!A:F,4,0),"easyATCmdDataLoadFun")</f>
        <v>easyATCmdDataLoadFun</v>
      </c>
      <c r="J16" s="4" t="str">
        <f>IFERROR(VLOOKUP(MID(C16,2,LEN(C16)-IF(C16="""+++""",2,IF(C16="""a""",2,6))),AT指令表!A:F,5,0),"easyATCmdDataDoingFun")</f>
        <v>easyATCmdDataDoingFun</v>
      </c>
      <c r="K16" s="15" t="str">
        <f>IFERROR(IF(B16=-1,"",AT指令表!I17),"")</f>
        <v>//创建socket</v>
      </c>
    </row>
    <row r="17" spans="1:11" x14ac:dyDescent="0.2">
      <c r="A17" s="2">
        <f t="shared" si="0"/>
        <v>15</v>
      </c>
      <c r="B17" s="4">
        <f t="shared" si="1"/>
        <v>16</v>
      </c>
      <c r="C17" s="2" t="str">
        <f>IF(C16="""""","""""",IF(""""&amp;IF(AT指令表!H18&lt;&gt;"",AT指令表!H18,"")&amp;""""="""+++""","""+++""",IF(""""&amp;IF(AT指令表!H18&lt;&gt;"",AT指令表!H18,"")&amp;""""="""a""","""a""",IF(""""&amp;IF(AT指令表!H18&lt;&gt;"",AT指令表!H18,"")&amp;""""="""""","""""",""""&amp;IF(AT指令表!H18&lt;&gt;"",AT指令表!H18,"")&amp;"\r\n"""))))</f>
        <v>"AT+CGDCONT=1,\"IPV4V6\",\"M2M\"\r\n"</v>
      </c>
      <c r="D17" s="2" t="str">
        <f>IFERROR(VLOOKUP(MID(C17,2,LEN(C17)-IF(C17="""+++""",2,IF(C17="""a""",2,6))),AT指令表!A:B,2,0),"""""")</f>
        <v>"OK"</v>
      </c>
      <c r="E17" s="4" t="str">
        <f>IFERROR(IF(VLOOKUP(MID(C17,2,LEN(C17)-IF(C17="""+++""",2,IF(C17="""a""",2,6))),AT指令表!A:F,6,0)=1,"true","false"),"error")</f>
        <v>true</v>
      </c>
      <c r="F17" s="4">
        <v>3</v>
      </c>
      <c r="G17" s="4">
        <v>3</v>
      </c>
      <c r="H17" s="4" t="str">
        <f>IFERROR(IF(VLOOKUP(MID(C17,2,LEN(C17)-IF(C17="""+++""",2,IF(C17="""a""",2,6))),AT指令表!A:C,3,0)=1,"true","false"),"error")</f>
        <v>false</v>
      </c>
      <c r="I17" s="4" t="str">
        <f>IFERROR(VLOOKUP(MID(C17,2,LEN(C17)-IF(C17="""+++""",2,IF(C17="""a""",2,6))),AT指令表!A:F,4,0),"easyATCmdDataLoadFun")</f>
        <v>setAPNForSIMLoadFun</v>
      </c>
      <c r="J17" s="4" t="str">
        <f>IFERROR(VLOOKUP(MID(C17,2,LEN(C17)-IF(C17="""+++""",2,IF(C17="""a""",2,6))),AT指令表!A:F,5,0),"easyATCmdDataDoingFun")</f>
        <v>easyATCmdDataDoingFun</v>
      </c>
      <c r="K17" s="15" t="str">
        <f>IFERROR(IF(B17=-1,"",AT指令表!I18),"")</f>
        <v>//设置APN（PDP）</v>
      </c>
    </row>
    <row r="18" spans="1:11" x14ac:dyDescent="0.2">
      <c r="A18" s="2">
        <f t="shared" si="0"/>
        <v>16</v>
      </c>
      <c r="B18" s="4">
        <f t="shared" si="1"/>
        <v>17</v>
      </c>
      <c r="C18" s="2" t="str">
        <f>IF(C17="""""","""""",IF(""""&amp;IF(AT指令表!H19&lt;&gt;"",AT指令表!H19,"")&amp;""""="""+++""","""+++""",IF(""""&amp;IF(AT指令表!H19&lt;&gt;"",AT指令表!H19,"")&amp;""""="""a""","""a""",IF(""""&amp;IF(AT指令表!H19&lt;&gt;"",AT指令表!H19,"")&amp;""""="""""","""""",""""&amp;IF(AT指令表!H19&lt;&gt;"",AT指令表!H19,"")&amp;"\r\n"""))))</f>
        <v>"AT+CGDCONT?\r\n"</v>
      </c>
      <c r="D18" s="2" t="str">
        <f>IFERROR(VLOOKUP(MID(C18,2,LEN(C18)-IF(C18="""+++""",2,IF(C18="""a""",2,6))),AT指令表!A:B,2,0),"""""")</f>
        <v>"OK"</v>
      </c>
      <c r="E18" s="4" t="str">
        <f>IFERROR(IF(VLOOKUP(MID(C18,2,LEN(C18)-IF(C18="""+++""",2,IF(C18="""a""",2,6))),AT指令表!A:F,6,0)=1,"true","false"),"error")</f>
        <v>true</v>
      </c>
      <c r="F18" s="4">
        <v>3</v>
      </c>
      <c r="G18" s="4">
        <v>3</v>
      </c>
      <c r="H18" s="4" t="str">
        <f>IFERROR(IF(VLOOKUP(MID(C18,2,LEN(C18)-IF(C18="""+++""",2,IF(C18="""a""",2,6))),AT指令表!A:C,3,0)=1,"true","false"),"error")</f>
        <v>false</v>
      </c>
      <c r="I18" s="4" t="str">
        <f>IFERROR(VLOOKUP(MID(C18,2,LEN(C18)-IF(C18="""+++""",2,IF(C18="""a""",2,6))),AT指令表!A:F,4,0),"easyATCmdDataLoadFun")</f>
        <v>easyATCmdDataLoadFun</v>
      </c>
      <c r="J18" s="4" t="str">
        <f>IFERROR(VLOOKUP(MID(C18,2,LEN(C18)-IF(C18="""+++""",2,IF(C18="""a""",2,6))),AT指令表!A:F,5,0),"easyATCmdDataDoingFun")</f>
        <v>easyATCmdDataDoingFun</v>
      </c>
      <c r="K18" s="15" t="str">
        <f>IFERROR(IF(B18=-1,"",AT指令表!I19),"")</f>
        <v>//查询设置APN（PDP）</v>
      </c>
    </row>
    <row r="19" spans="1:11" x14ac:dyDescent="0.2">
      <c r="A19" s="2">
        <f t="shared" si="0"/>
        <v>17</v>
      </c>
      <c r="B19" s="4">
        <f t="shared" si="1"/>
        <v>18</v>
      </c>
      <c r="C19" s="2" t="str">
        <f>IF(C18="""""","""""",IF(""""&amp;IF(AT指令表!H20&lt;&gt;"",AT指令表!H20,"")&amp;""""="""+++""","""+++""",IF(""""&amp;IF(AT指令表!H20&lt;&gt;"",AT指令表!H20,"")&amp;""""="""a""","""a""",IF(""""&amp;IF(AT指令表!H20&lt;&gt;"",AT指令表!H20,"")&amp;""""="""""","""""",""""&amp;IF(AT指令表!H20&lt;&gt;"",AT指令表!H20,"")&amp;"\r\n"""))))</f>
        <v>"AT+CGPADDR\r\n"</v>
      </c>
      <c r="D19" s="2" t="str">
        <f>IFERROR(VLOOKUP(MID(C19,2,LEN(C19)-IF(C19="""+++""",2,IF(C19="""a""",2,6))),AT指令表!A:B,2,0),"""""")</f>
        <v>"OK"</v>
      </c>
      <c r="E19" s="4" t="str">
        <f>IFERROR(IF(VLOOKUP(MID(C19,2,LEN(C19)-IF(C19="""+++""",2,IF(C19="""a""",2,6))),AT指令表!A:F,6,0)=1,"true","false"),"error")</f>
        <v>true</v>
      </c>
      <c r="F19" s="4">
        <v>3</v>
      </c>
      <c r="G19" s="4">
        <v>3</v>
      </c>
      <c r="H19" s="4" t="str">
        <f>IFERROR(IF(VLOOKUP(MID(C19,2,LEN(C19)-IF(C19="""+++""",2,IF(C19="""a""",2,6))),AT指令表!A:C,3,0)=1,"true","false"),"error")</f>
        <v>false</v>
      </c>
      <c r="I19" s="4" t="str">
        <f>IFERROR(VLOOKUP(MID(C19,2,LEN(C19)-IF(C19="""+++""",2,IF(C19="""a""",2,6))),AT指令表!A:F,4,0),"easyATCmdDataLoadFun")</f>
        <v>easyATCmdDataLoadFun</v>
      </c>
      <c r="J19" s="4" t="str">
        <f>IFERROR(VLOOKUP(MID(C19,2,LEN(C19)-IF(C19="""+++""",2,IF(C19="""a""",2,6))),AT指令表!A:F,5,0),"easyATCmdDataDoingFun")</f>
        <v>easyATCmdDataDoingFun</v>
      </c>
      <c r="K19" s="15" t="str">
        <f>IFERROR(IF(B19=-1,"",AT指令表!I20),"")</f>
        <v>//显示PDP地址</v>
      </c>
    </row>
    <row r="20" spans="1:11" x14ac:dyDescent="0.2">
      <c r="A20" s="2">
        <f t="shared" si="0"/>
        <v>18</v>
      </c>
      <c r="B20" s="4">
        <f t="shared" si="1"/>
        <v>19</v>
      </c>
      <c r="C20" s="2" t="str">
        <f>IF(C19="""""","""""",IF(""""&amp;IF(AT指令表!H21&lt;&gt;"",AT指令表!H21,"")&amp;""""="""+++""","""+++""",IF(""""&amp;IF(AT指令表!H21&lt;&gt;"",AT指令表!H21,"")&amp;""""="""a""","""a""",IF(""""&amp;IF(AT指令表!H21&lt;&gt;"",AT指令表!H21,"")&amp;""""="""""","""""",""""&amp;IF(AT指令表!H21&lt;&gt;"",AT指令表!H21,"")&amp;"\r\n"""))))</f>
        <v>"AT+CGATT=1\r\n"</v>
      </c>
      <c r="D20" s="2" t="str">
        <f>IFERROR(VLOOKUP(MID(C20,2,LEN(C20)-IF(C20="""+++""",2,IF(C20="""a""",2,6))),AT指令表!A:B,2,0),"""""")</f>
        <v>"OK"</v>
      </c>
      <c r="E20" s="4" t="str">
        <f>IFERROR(IF(VLOOKUP(MID(C20,2,LEN(C20)-IF(C20="""+++""",2,IF(C20="""a""",2,6))),AT指令表!A:F,6,0)=1,"true","false"),"error")</f>
        <v>true</v>
      </c>
      <c r="F20" s="4">
        <v>3</v>
      </c>
      <c r="G20" s="4">
        <v>3</v>
      </c>
      <c r="H20" s="4" t="str">
        <f>IFERROR(IF(VLOOKUP(MID(C20,2,LEN(C20)-IF(C20="""+++""",2,IF(C20="""a""",2,6))),AT指令表!A:C,3,0)=1,"true","false"),"error")</f>
        <v>false</v>
      </c>
      <c r="I20" s="4" t="str">
        <f>IFERROR(VLOOKUP(MID(C20,2,LEN(C20)-IF(C20="""+++""",2,IF(C20="""a""",2,6))),AT指令表!A:F,4,0),"easyATCmdDataLoadFun")</f>
        <v>easyATCmdDataLoadFun</v>
      </c>
      <c r="J20" s="4" t="str">
        <f>IFERROR(VLOOKUP(MID(C20,2,LEN(C20)-IF(C20="""+++""",2,IF(C20="""a""",2,6))),AT指令表!A:F,5,0),"easyATCmdDataDoingFun")</f>
        <v>easyATCmdDataDoingFun</v>
      </c>
      <c r="K20" s="15" t="str">
        <f>IFERROR(IF(B20=-1,"",AT指令表!I21),"")</f>
        <v>//设置附着网络</v>
      </c>
    </row>
    <row r="21" spans="1:11" x14ac:dyDescent="0.2">
      <c r="A21" s="2">
        <f t="shared" si="0"/>
        <v>19</v>
      </c>
      <c r="B21" s="4">
        <f t="shared" si="1"/>
        <v>20</v>
      </c>
      <c r="C21" s="2" t="str">
        <f>IF(C20="""""","""""",IF(""""&amp;IF(AT指令表!H22&lt;&gt;"",AT指令表!H22,"")&amp;""""="""+++""","""+++""",IF(""""&amp;IF(AT指令表!H22&lt;&gt;"",AT指令表!H22,"")&amp;""""="""a""","""a""",IF(""""&amp;IF(AT指令表!H22&lt;&gt;"",AT指令表!H22,"")&amp;""""="""""","""""",""""&amp;IF(AT指令表!H22&lt;&gt;"",AT指令表!H22,"")&amp;"\r\n"""))))</f>
        <v>"AT+CGATT?\r\n"</v>
      </c>
      <c r="D21" s="2" t="str">
        <f>IFERROR(VLOOKUP(MID(C21,2,LEN(C21)-IF(C21="""+++""",2,IF(C21="""a""",2,6))),AT指令表!A:B,2,0),"""""")</f>
        <v>"+CGATT: 1"</v>
      </c>
      <c r="E21" s="4" t="str">
        <f>IFERROR(IF(VLOOKUP(MID(C21,2,LEN(C21)-IF(C21="""+++""",2,IF(C21="""a""",2,6))),AT指令表!A:F,6,0)=1,"true","false"),"error")</f>
        <v>true</v>
      </c>
      <c r="F21" s="4">
        <v>3</v>
      </c>
      <c r="G21" s="4">
        <v>3</v>
      </c>
      <c r="H21" s="4" t="str">
        <f>IFERROR(IF(VLOOKUP(MID(C21,2,LEN(C21)-IF(C21="""+++""",2,IF(C21="""a""",2,6))),AT指令表!A:C,3,0)=1,"true","false"),"error")</f>
        <v>false</v>
      </c>
      <c r="I21" s="4" t="str">
        <f>IFERROR(VLOOKUP(MID(C21,2,LEN(C21)-IF(C21="""+++""",2,IF(C21="""a""",2,6))),AT指令表!A:F,4,0),"easyATCmdDataLoadFun")</f>
        <v>easyATCmdDataLoadFun</v>
      </c>
      <c r="J21" s="4" t="str">
        <f>IFERROR(VLOOKUP(MID(C21,2,LEN(C21)-IF(C21="""+++""",2,IF(C21="""a""",2,6))),AT指令表!A:F,5,0),"easyATCmdDataDoingFun")</f>
        <v>easyATCmdDataDoingFun</v>
      </c>
      <c r="K21" s="15" t="str">
        <f>IFERROR(IF(B21=-1,"",AT指令表!I22),"")</f>
        <v>//查询附着网络（查70s）</v>
      </c>
    </row>
    <row r="22" spans="1:11" x14ac:dyDescent="0.2">
      <c r="A22" s="2">
        <f t="shared" si="0"/>
        <v>20</v>
      </c>
      <c r="B22" s="4">
        <f t="shared" si="1"/>
        <v>21</v>
      </c>
      <c r="C22" s="2" t="str">
        <f>IF(C21="""""","""""",IF(""""&amp;IF(AT指令表!H23&lt;&gt;"",AT指令表!H23,"")&amp;""""="""+++""","""+++""",IF(""""&amp;IF(AT指令表!H23&lt;&gt;"",AT指令表!H23,"")&amp;""""="""a""","""a""",IF(""""&amp;IF(AT指令表!H23&lt;&gt;"",AT指令表!H23,"")&amp;""""="""""","""""",""""&amp;IF(AT指令表!H23&lt;&gt;"",AT指令表!H23,"")&amp;"\r\n"""))))</f>
        <v>"AT+CSCON?\r\n"</v>
      </c>
      <c r="D22" s="2" t="str">
        <f>IFERROR(VLOOKUP(MID(C22,2,LEN(C22)-IF(C22="""+++""",2,IF(C22="""a""",2,6))),AT指令表!A:B,2,0),"""""")</f>
        <v>"OK"</v>
      </c>
      <c r="E22" s="4" t="str">
        <f>IFERROR(IF(VLOOKUP(MID(C22,2,LEN(C22)-IF(C22="""+++""",2,IF(C22="""a""",2,6))),AT指令表!A:F,6,0)=1,"true","false"),"error")</f>
        <v>true</v>
      </c>
      <c r="F22" s="4">
        <v>3</v>
      </c>
      <c r="G22" s="4">
        <v>3</v>
      </c>
      <c r="H22" s="4" t="str">
        <f>IFERROR(IF(VLOOKUP(MID(C22,2,LEN(C22)-IF(C22="""+++""",2,IF(C22="""a""",2,6))),AT指令表!A:C,3,0)=1,"true","false"),"error")</f>
        <v>false</v>
      </c>
      <c r="I22" s="4" t="str">
        <f>IFERROR(VLOOKUP(MID(C22,2,LEN(C22)-IF(C22="""+++""",2,IF(C22="""a""",2,6))),AT指令表!A:F,4,0),"easyATCmdDataLoadFun")</f>
        <v>easyATCmdDataLoadFun</v>
      </c>
      <c r="J22" s="4" t="str">
        <f>IFERROR(VLOOKUP(MID(C22,2,LEN(C22)-IF(C22="""+++""",2,IF(C22="""a""",2,6))),AT指令表!A:F,5,0),"easyATCmdDataDoingFun")</f>
        <v>easyATCmdDataDoingFun</v>
      </c>
      <c r="K22" s="15" t="str">
        <f>IFERROR(IF(B22=-1,"",AT指令表!I23),"")</f>
        <v>//信令连接状态</v>
      </c>
    </row>
    <row r="23" spans="1:11" x14ac:dyDescent="0.2">
      <c r="A23" s="2">
        <f t="shared" si="0"/>
        <v>21</v>
      </c>
      <c r="B23" s="4">
        <f t="shared" si="1"/>
        <v>22</v>
      </c>
      <c r="C23" s="2" t="str">
        <f>IF(C22="""""","""""",IF(""""&amp;IF(AT指令表!H24&lt;&gt;"",AT指令表!H24,"")&amp;""""="""+++""","""+++""",IF(""""&amp;IF(AT指令表!H24&lt;&gt;"",AT指令表!H24,"")&amp;""""="""a""","""a""",IF(""""&amp;IF(AT指令表!H24&lt;&gt;"",AT指令表!H24,"")&amp;""""="""""","""""",""""&amp;IF(AT指令表!H24&lt;&gt;"",AT指令表!H24,"")&amp;"\r\n"""))))</f>
        <v>"AT+CSQ\r\n"</v>
      </c>
      <c r="D23" s="2" t="str">
        <f>IFERROR(VLOOKUP(MID(C23,2,LEN(C23)-IF(C23="""+++""",2,IF(C23="""a""",2,6))),AT指令表!A:B,2,0),"""""")</f>
        <v>"OK"</v>
      </c>
      <c r="E23" s="4" t="str">
        <f>IFERROR(IF(VLOOKUP(MID(C23,2,LEN(C23)-IF(C23="""+++""",2,IF(C23="""a""",2,6))),AT指令表!A:F,6,0)=1,"true","false"),"error")</f>
        <v>true</v>
      </c>
      <c r="F23" s="4">
        <v>3</v>
      </c>
      <c r="G23" s="4">
        <v>3</v>
      </c>
      <c r="H23" s="4" t="str">
        <f>IFERROR(IF(VLOOKUP(MID(C23,2,LEN(C23)-IF(C23="""+++""",2,IF(C23="""a""",2,6))),AT指令表!A:C,3,0)=1,"true","false"),"error")</f>
        <v>false</v>
      </c>
      <c r="I23" s="4" t="str">
        <f>IFERROR(VLOOKUP(MID(C23,2,LEN(C23)-IF(C23="""+++""",2,IF(C23="""a""",2,6))),AT指令表!A:F,4,0),"easyATCmdDataLoadFun")</f>
        <v>easyATCmdDataLoadFun</v>
      </c>
      <c r="J23" s="4" t="str">
        <f>IFERROR(VLOOKUP(MID(C23,2,LEN(C23)-IF(C23="""+++""",2,IF(C23="""a""",2,6))),AT指令表!A:F,5,0),"easyATCmdDataDoingFun")</f>
        <v>easyATCmdDataDoingFun</v>
      </c>
      <c r="K23" s="15" t="str">
        <f>IFERROR(IF(B23=-1,"",AT指令表!I24),"")</f>
        <v>//获取信号质量</v>
      </c>
    </row>
    <row r="24" spans="1:11" x14ac:dyDescent="0.2">
      <c r="A24" s="2">
        <f t="shared" si="0"/>
        <v>22</v>
      </c>
      <c r="B24" s="4">
        <f t="shared" si="1"/>
        <v>23</v>
      </c>
      <c r="C24" s="2" t="str">
        <f>IF(C23="""""","""""",IF(""""&amp;IF(AT指令表!H25&lt;&gt;"",AT指令表!H25,"")&amp;""""="""+++""","""+++""",IF(""""&amp;IF(AT指令表!H25&lt;&gt;"",AT指令表!H25,"")&amp;""""="""a""","""a""",IF(""""&amp;IF(AT指令表!H25&lt;&gt;"",AT指令表!H25,"")&amp;""""="""""","""""",""""&amp;IF(AT指令表!H25&lt;&gt;"",AT指令表!H25,"")&amp;"\r\n"""))))</f>
        <v>"AT+CESQ\r\n"</v>
      </c>
      <c r="D24" s="2" t="str">
        <f>IFERROR(VLOOKUP(MID(C24,2,LEN(C24)-IF(C24="""+++""",2,IF(C24="""a""",2,6))),AT指令表!A:B,2,0),"""""")</f>
        <v>"OK"</v>
      </c>
      <c r="E24" s="4" t="str">
        <f>IFERROR(IF(VLOOKUP(MID(C24,2,LEN(C24)-IF(C24="""+++""",2,IF(C24="""a""",2,6))),AT指令表!A:F,6,0)=1,"true","false"),"error")</f>
        <v>true</v>
      </c>
      <c r="F24" s="4">
        <v>3</v>
      </c>
      <c r="G24" s="4">
        <v>3</v>
      </c>
      <c r="H24" s="4" t="str">
        <f>IFERROR(IF(VLOOKUP(MID(C24,2,LEN(C24)-IF(C24="""+++""",2,IF(C24="""a""",2,6))),AT指令表!A:C,3,0)=1,"true","false"),"error")</f>
        <v>false</v>
      </c>
      <c r="I24" s="4" t="str">
        <f>IFERROR(VLOOKUP(MID(C24,2,LEN(C24)-IF(C24="""+++""",2,IF(C24="""a""",2,6))),AT指令表!A:F,4,0),"easyATCmdDataLoadFun")</f>
        <v>easyATCmdDataLoadFun</v>
      </c>
      <c r="J24" s="4" t="str">
        <f>IFERROR(VLOOKUP(MID(C24,2,LEN(C24)-IF(C24="""+++""",2,IF(C24="""a""",2,6))),AT指令表!A:F,5,0),"easyATCmdDataDoingFun")</f>
        <v>easyATCmdDataDoingFun</v>
      </c>
      <c r="K24" s="15" t="str">
        <f>IFERROR(IF(B24=-1,"",AT指令表!I25),"")</f>
        <v>//获得扩展的信号质量</v>
      </c>
    </row>
    <row r="25" spans="1:11" x14ac:dyDescent="0.2">
      <c r="A25" s="2">
        <f t="shared" si="0"/>
        <v>23</v>
      </c>
      <c r="B25" s="4">
        <f t="shared" si="1"/>
        <v>24</v>
      </c>
      <c r="C25" s="2" t="str">
        <f>IF(C24="""""","""""",IF(""""&amp;IF(AT指令表!H26&lt;&gt;"",AT指令表!H26,"")&amp;""""="""+++""","""+++""",IF(""""&amp;IF(AT指令表!H26&lt;&gt;"",AT指令表!H26,"")&amp;""""="""a""","""a""",IF(""""&amp;IF(AT指令表!H26&lt;&gt;"",AT指令表!H26,"")&amp;""""="""""","""""",""""&amp;IF(AT指令表!H26&lt;&gt;"",AT指令表!H26,"")&amp;"\r\n"""))))</f>
        <v>"AT+CIMI\r\n"</v>
      </c>
      <c r="D25" s="2" t="str">
        <f>IFERROR(VLOOKUP(MID(C25,2,LEN(C25)-IF(C25="""+++""",2,IF(C25="""a""",2,6))),AT指令表!A:B,2,0),"""""")</f>
        <v>"OK"</v>
      </c>
      <c r="E25" s="4" t="str">
        <f>IFERROR(IF(VLOOKUP(MID(C25,2,LEN(C25)-IF(C25="""+++""",2,IF(C25="""a""",2,6))),AT指令表!A:F,6,0)=1,"true","false"),"error")</f>
        <v>true</v>
      </c>
      <c r="F25" s="4">
        <v>3</v>
      </c>
      <c r="G25" s="4">
        <v>3</v>
      </c>
      <c r="H25" s="4" t="str">
        <f>IFERROR(IF(VLOOKUP(MID(C25,2,LEN(C25)-IF(C25="""+++""",2,IF(C25="""a""",2,6))),AT指令表!A:C,3,0)=1,"true","false"),"error")</f>
        <v>false</v>
      </c>
      <c r="I25" s="4" t="str">
        <f>IFERROR(VLOOKUP(MID(C25,2,LEN(C25)-IF(C25="""+++""",2,IF(C25="""a""",2,6))),AT指令表!A:F,4,0),"easyATCmdDataLoadFun")</f>
        <v>easyATCmdDataLoadFun</v>
      </c>
      <c r="J25" s="4" t="str">
        <f>IFERROR(VLOOKUP(MID(C25,2,LEN(C25)-IF(C25="""+++""",2,IF(C25="""a""",2,6))),AT指令表!A:F,5,0),"easyATCmdDataDoingFun")</f>
        <v>easyATCmdDataDoingFun</v>
      </c>
      <c r="K25" s="15" t="str">
        <f>IFERROR(IF(B25=-1,"",AT指令表!I26),"")</f>
        <v>//获得SIM卡的IMSI</v>
      </c>
    </row>
    <row r="26" spans="1:11" x14ac:dyDescent="0.2">
      <c r="A26" s="2">
        <f t="shared" si="0"/>
        <v>24</v>
      </c>
      <c r="B26" s="4">
        <f t="shared" si="1"/>
        <v>25</v>
      </c>
      <c r="C26" s="2" t="str">
        <f>IF(C25="""""","""""",IF(""""&amp;IF(AT指令表!H27&lt;&gt;"",AT指令表!H27,"")&amp;""""="""+++""","""+++""",IF(""""&amp;IF(AT指令表!H27&lt;&gt;"",AT指令表!H27,"")&amp;""""="""a""","""a""",IF(""""&amp;IF(AT指令表!H27&lt;&gt;"",AT指令表!H27,"")&amp;""""="""""","""""",""""&amp;IF(AT指令表!H27&lt;&gt;"",AT指令表!H27,"")&amp;"\r\n"""))))</f>
        <v>"AT+ECICCID\r\n"</v>
      </c>
      <c r="D26" s="2" t="str">
        <f>IFERROR(VLOOKUP(MID(C26,2,LEN(C26)-IF(C26="""+++""",2,IF(C26="""a""",2,6))),AT指令表!A:B,2,0),"""""")</f>
        <v>"OK"</v>
      </c>
      <c r="E26" s="4" t="str">
        <f>IFERROR(IF(VLOOKUP(MID(C26,2,LEN(C26)-IF(C26="""+++""",2,IF(C26="""a""",2,6))),AT指令表!A:F,6,0)=1,"true","false"),"error")</f>
        <v>true</v>
      </c>
      <c r="F26" s="4">
        <v>3</v>
      </c>
      <c r="G26" s="4">
        <v>3</v>
      </c>
      <c r="H26" s="4" t="str">
        <f>IFERROR(IF(VLOOKUP(MID(C26,2,LEN(C26)-IF(C26="""+++""",2,IF(C26="""a""",2,6))),AT指令表!A:C,3,0)=1,"true","false"),"error")</f>
        <v>false</v>
      </c>
      <c r="I26" s="4" t="str">
        <f>IFERROR(VLOOKUP(MID(C26,2,LEN(C26)-IF(C26="""+++""",2,IF(C26="""a""",2,6))),AT指令表!A:F,4,0),"easyATCmdDataLoadFun")</f>
        <v>easyATCmdDataLoadFun</v>
      </c>
      <c r="J26" s="4" t="str">
        <f>IFERROR(VLOOKUP(MID(C26,2,LEN(C26)-IF(C26="""+++""",2,IF(C26="""a""",2,6))),AT指令表!A:F,5,0),"easyATCmdDataDoingFun")</f>
        <v>easyATCmdDataDoingFun</v>
      </c>
      <c r="K26" s="15" t="str">
        <f>IFERROR(IF(B26=-1,"",AT指令表!I27),"")</f>
        <v>//获取CCID</v>
      </c>
    </row>
    <row r="27" spans="1:11" x14ac:dyDescent="0.2">
      <c r="A27" s="2">
        <f t="shared" si="0"/>
        <v>25</v>
      </c>
      <c r="B27" s="4">
        <f t="shared" si="1"/>
        <v>26</v>
      </c>
      <c r="C27" s="2" t="str">
        <f>IF(C26="""""","""""",IF(""""&amp;IF(AT指令表!H28&lt;&gt;"",AT指令表!H28,"")&amp;""""="""+++""","""+++""",IF(""""&amp;IF(AT指令表!H28&lt;&gt;"",AT指令表!H28,"")&amp;""""="""a""","""a""",IF(""""&amp;IF(AT指令表!H28&lt;&gt;"",AT指令表!H28,"")&amp;""""="""""","""""",""""&amp;IF(AT指令表!H28&lt;&gt;"",AT指令表!H28,"")&amp;"\r\n"""))))</f>
        <v>"AT+CCLK?\r\n"</v>
      </c>
      <c r="D27" s="2" t="str">
        <f>IFERROR(VLOOKUP(MID(C27,2,LEN(C27)-IF(C27="""+++""",2,IF(C27="""a""",2,6))),AT指令表!A:B,2,0),"""""")</f>
        <v>"OK"</v>
      </c>
      <c r="E27" s="4" t="str">
        <f>IFERROR(IF(VLOOKUP(MID(C27,2,LEN(C27)-IF(C27="""+++""",2,IF(C27="""a""",2,6))),AT指令表!A:F,6,0)=1,"true","false"),"error")</f>
        <v>true</v>
      </c>
      <c r="F27" s="4">
        <v>3</v>
      </c>
      <c r="G27" s="4">
        <v>3</v>
      </c>
      <c r="H27" s="4" t="str">
        <f>IFERROR(IF(VLOOKUP(MID(C27,2,LEN(C27)-IF(C27="""+++""",2,IF(C27="""a""",2,6))),AT指令表!A:C,3,0)=1,"true","false"),"error")</f>
        <v>false</v>
      </c>
      <c r="I27" s="4" t="str">
        <f>IFERROR(VLOOKUP(MID(C27,2,LEN(C27)-IF(C27="""+++""",2,IF(C27="""a""",2,6))),AT指令表!A:F,4,0),"easyATCmdDataLoadFun")</f>
        <v>easyATCmdDataLoadFun</v>
      </c>
      <c r="J27" s="4" t="str">
        <f>IFERROR(VLOOKUP(MID(C27,2,LEN(C27)-IF(C27="""+++""",2,IF(C27="""a""",2,6))),AT指令表!A:F,5,0),"easyATCmdDataDoingFun")</f>
        <v>easyATCmdDataDoingFun</v>
      </c>
      <c r="K27" s="15" t="str">
        <f>IFERROR(IF(B27=-1,"",AT指令表!I28),"")</f>
        <v>//返回当前日期和时间</v>
      </c>
    </row>
    <row r="28" spans="1:11" x14ac:dyDescent="0.2">
      <c r="A28" s="2">
        <f t="shared" si="0"/>
        <v>26</v>
      </c>
      <c r="B28" s="4">
        <f t="shared" si="1"/>
        <v>27</v>
      </c>
      <c r="C28" s="2" t="str">
        <f>IF(C27="""""","""""",IF(""""&amp;IF(AT指令表!H29&lt;&gt;"",AT指令表!H29,"")&amp;""""="""+++""","""+++""",IF(""""&amp;IF(AT指令表!H29&lt;&gt;"",AT指令表!H29,"")&amp;""""="""a""","""a""",IF(""""&amp;IF(AT指令表!H29&lt;&gt;"",AT指令表!H29,"")&amp;""""="""""","""""",""""&amp;IF(AT指令表!H29&lt;&gt;"",AT指令表!H29,"")&amp;"\r\n"""))))</f>
        <v>"AT+ECMTOPEN=0,\"mqtt.ctwing.cn\",1883\r\n"</v>
      </c>
      <c r="D28" s="2" t="str">
        <f>IFERROR(VLOOKUP(MID(C28,2,LEN(C28)-IF(C28="""+++""",2,IF(C28="""a""",2,6))),AT指令表!A:B,2,0),"""""")</f>
        <v>"OK"</v>
      </c>
      <c r="E28" s="4" t="str">
        <f>IFERROR(IF(VLOOKUP(MID(C28,2,LEN(C28)-IF(C28="""+++""",2,IF(C28="""a""",2,6))),AT指令表!A:F,6,0)=1,"true","false"),"error")</f>
        <v>true</v>
      </c>
      <c r="F28" s="4">
        <v>3</v>
      </c>
      <c r="G28" s="4">
        <v>3</v>
      </c>
      <c r="H28" s="4" t="str">
        <f>IFERROR(IF(VLOOKUP(MID(C28,2,LEN(C28)-IF(C28="""+++""",2,IF(C28="""a""",2,6))),AT指令表!A:C,3,0)=1,"true","false"),"error")</f>
        <v>false</v>
      </c>
      <c r="I28" s="4" t="str">
        <f>IFERROR(VLOOKUP(MID(C28,2,LEN(C28)-IF(C28="""+++""",2,IF(C28="""a""",2,6))),AT指令表!A:F,4,0),"easyATCmdDataLoadFun")</f>
        <v>setRemoteIPDataLoadFun</v>
      </c>
      <c r="J28" s="4" t="str">
        <f>IFERROR(VLOOKUP(MID(C28,2,LEN(C28)-IF(C28="""+++""",2,IF(C28="""a""",2,6))),AT指令表!A:F,5,0),"easyATCmdDataDoingFun")</f>
        <v>easyATCmdDataDoingFun</v>
      </c>
      <c r="K28" s="15" t="str">
        <f>IFERROR(IF(B28=-1,"",AT指令表!I29),"")</f>
        <v>//打开客户端连接</v>
      </c>
    </row>
    <row r="29" spans="1:11" x14ac:dyDescent="0.2">
      <c r="A29" s="2">
        <f t="shared" si="0"/>
        <v>27</v>
      </c>
      <c r="B29" s="4">
        <f t="shared" si="1"/>
        <v>28</v>
      </c>
      <c r="C29" s="2" t="str">
        <f>IF(C28="""""","""""",IF(""""&amp;IF(AT指令表!H30&lt;&gt;"",AT指令表!H30,"")&amp;""""="""+++""","""+++""",IF(""""&amp;IF(AT指令表!H30&lt;&gt;"",AT指令表!H30,"")&amp;""""="""a""","""a""",IF(""""&amp;IF(AT指令表!H30&lt;&gt;"",AT指令表!H30,"")&amp;""""="""""","""""",""""&amp;IF(AT指令表!H30&lt;&gt;"",AT指令表!H30,"")&amp;"\r\n"""))))</f>
        <v>"AT+ECMTCONN=0,\"DevID\",\"UserName\",\"Characteristic String\"\r\n"</v>
      </c>
      <c r="D29" s="2" t="str">
        <f>IFERROR(VLOOKUP(MID(C29,2,LEN(C29)-IF(C29="""+++""",2,IF(C29="""a""",2,6))),AT指令表!A:B,2,0),"""""")</f>
        <v>"OK"</v>
      </c>
      <c r="E29" s="4" t="str">
        <f>IFERROR(IF(VLOOKUP(MID(C29,2,LEN(C29)-IF(C29="""+++""",2,IF(C29="""a""",2,6))),AT指令表!A:F,6,0)=1,"true","false"),"error")</f>
        <v>true</v>
      </c>
      <c r="F29" s="4">
        <v>3</v>
      </c>
      <c r="G29" s="4">
        <v>3</v>
      </c>
      <c r="H29" s="4" t="str">
        <f>IFERROR(IF(VLOOKUP(MID(C29,2,LEN(C29)-IF(C29="""+++""",2,IF(C29="""a""",2,6))),AT指令表!A:C,3,0)=1,"true","false"),"error")</f>
        <v>false</v>
      </c>
      <c r="I29" s="4" t="str">
        <f>IFERROR(VLOOKUP(MID(C29,2,LEN(C29)-IF(C29="""+++""",2,IF(C29="""a""",2,6))),AT指令表!A:F,4,0),"easyATCmdDataLoadFun")</f>
        <v>setUserNameAndPassWordLoadFun</v>
      </c>
      <c r="J29" s="4" t="str">
        <f>IFERROR(VLOOKUP(MID(C29,2,LEN(C29)-IF(C29="""+++""",2,IF(C29="""a""",2,6))),AT指令表!A:F,5,0),"easyATCmdDataDoingFun")</f>
        <v>easyATCmdDataDoingFun</v>
      </c>
      <c r="K29" s="15" t="str">
        <f>IFERROR(IF(B29=-1,"",AT指令表!I30),"")</f>
        <v>//登录连接服务器</v>
      </c>
    </row>
    <row r="30" spans="1:11" x14ac:dyDescent="0.2">
      <c r="A30" s="2">
        <f t="shared" si="0"/>
        <v>28</v>
      </c>
      <c r="B30" s="4">
        <f t="shared" si="1"/>
        <v>29</v>
      </c>
      <c r="C30" s="2" t="str">
        <f>IF(C29="""""","""""",IF(""""&amp;IF(AT指令表!H31&lt;&gt;"",AT指令表!H31,"")&amp;""""="""+++""","""+++""",IF(""""&amp;IF(AT指令表!H31&lt;&gt;"",AT指令表!H31,"")&amp;""""="""a""","""a""",IF(""""&amp;IF(AT指令表!H31&lt;&gt;"",AT指令表!H31,"")&amp;""""="""""","""""",""""&amp;IF(AT指令表!H31&lt;&gt;"",AT指令表!H31,"")&amp;"\r\n"""))))</f>
        <v>"AT+ECMTSUB=0,1,\"hy/gw/get/02345678903\",0\r\n"</v>
      </c>
      <c r="D30" s="2" t="str">
        <f>IFERROR(VLOOKUP(MID(C30,2,LEN(C30)-IF(C30="""+++""",2,IF(C30="""a""",2,6))),AT指令表!A:B,2,0),"""""")</f>
        <v>"OK"</v>
      </c>
      <c r="E30" s="4" t="str">
        <f>IFERROR(IF(VLOOKUP(MID(C30,2,LEN(C30)-IF(C30="""+++""",2,IF(C30="""a""",2,6))),AT指令表!A:F,6,0)=1,"true","false"),"error")</f>
        <v>true</v>
      </c>
      <c r="F30" s="4">
        <v>3</v>
      </c>
      <c r="G30" s="4">
        <v>3</v>
      </c>
      <c r="H30" s="4" t="str">
        <f>IFERROR(IF(VLOOKUP(MID(C30,2,LEN(C30)-IF(C30="""+++""",2,IF(C30="""a""",2,6))),AT指令表!A:C,3,0)=1,"true","false"),"error")</f>
        <v>false</v>
      </c>
      <c r="I30" s="4" t="str">
        <f>IFERROR(VLOOKUP(MID(C30,2,LEN(C30)-IF(C30="""+++""",2,IF(C30="""a""",2,6))),AT指令表!A:F,4,0),"easyATCmdDataLoadFun")</f>
        <v>easyATCmdDataLoadFun</v>
      </c>
      <c r="J30" s="4" t="str">
        <f>IFERROR(VLOOKUP(MID(C30,2,LEN(C30)-IF(C30="""+++""",2,IF(C30="""a""",2,6))),AT指令表!A:F,5,0),"easyATCmdDataDoingFun")</f>
        <v>easyATCmdDataDoingFun</v>
      </c>
      <c r="K30" s="15" t="str">
        <f>IFERROR(IF(B30=-1,"",AT指令表!I31),"")</f>
        <v>//订阅Topic</v>
      </c>
    </row>
    <row r="31" spans="1:11" x14ac:dyDescent="0.2">
      <c r="A31" s="2">
        <f t="shared" si="0"/>
        <v>29</v>
      </c>
      <c r="B31" s="4">
        <f t="shared" si="1"/>
        <v>30</v>
      </c>
      <c r="C31" s="2" t="str">
        <f>IF(C30="""""","""""",IF(""""&amp;IF(AT指令表!H32&lt;&gt;"",AT指令表!H32,"")&amp;""""="""+++""","""+++""",IF(""""&amp;IF(AT指令表!H32&lt;&gt;"",AT指令表!H32,"")&amp;""""="""a""","""a""",IF(""""&amp;IF(AT指令表!H32&lt;&gt;"",AT指令表!H32,"")&amp;""""="""""","""""",""""&amp;IF(AT指令表!H32&lt;&gt;"",AT指令表!H32,"")&amp;"\r\n"""))))</f>
        <v>"AT+ECMTPUB=0,0,0,0,\"hy/gw/set/02345678903\",\"{\"A\":\"SSS\"}\"\r\n"</v>
      </c>
      <c r="D31" s="2" t="str">
        <f>IFERROR(VLOOKUP(MID(C31,2,LEN(C31)-IF(C31="""+++""",2,IF(C31="""a""",2,6))),AT指令表!A:B,2,0),"""""")</f>
        <v>"OK"</v>
      </c>
      <c r="E31" s="4" t="str">
        <f>IFERROR(IF(VLOOKUP(MID(C31,2,LEN(C31)-IF(C31="""+++""",2,IF(C31="""a""",2,6))),AT指令表!A:F,6,0)=1,"true","false"),"error")</f>
        <v>true</v>
      </c>
      <c r="F31" s="4">
        <v>3</v>
      </c>
      <c r="G31" s="4">
        <v>3</v>
      </c>
      <c r="H31" s="4" t="str">
        <f>IFERROR(IF(VLOOKUP(MID(C31,2,LEN(C31)-IF(C31="""+++""",2,IF(C31="""a""",2,6))),AT指令表!A:C,3,0)=1,"true","false"),"error")</f>
        <v>false</v>
      </c>
      <c r="I31" s="4" t="str">
        <f>IFERROR(VLOOKUP(MID(C31,2,LEN(C31)-IF(C31="""+++""",2,IF(C31="""a""",2,6))),AT指令表!A:F,4,0),"easyATCmdDataLoadFun")</f>
        <v>easyATCmdDataLoadFun</v>
      </c>
      <c r="J31" s="4" t="str">
        <f>IFERROR(VLOOKUP(MID(C31,2,LEN(C31)-IF(C31="""+++""",2,IF(C31="""a""",2,6))),AT指令表!A:F,5,0),"easyATCmdDataDoingFun")</f>
        <v>easyATCmdDataDoingFun</v>
      </c>
      <c r="K31" s="15" t="str">
        <f>IFERROR(IF(B31=-1,"",AT指令表!I32),"")</f>
        <v>//发布消息</v>
      </c>
    </row>
    <row r="32" spans="1:11" x14ac:dyDescent="0.2">
      <c r="A32" s="2">
        <f t="shared" si="0"/>
        <v>30</v>
      </c>
      <c r="B32" s="4">
        <f t="shared" si="1"/>
        <v>31</v>
      </c>
      <c r="C32" s="2" t="str">
        <f>IF(C31="""""","""""",IF(""""&amp;IF(AT指令表!H33&lt;&gt;"",AT指令表!H33,"")&amp;""""="""+++""","""+++""",IF(""""&amp;IF(AT指令表!H33&lt;&gt;"",AT指令表!H33,"")&amp;""""="""a""","""a""",IF(""""&amp;IF(AT指令表!H33&lt;&gt;"",AT指令表!H33,"")&amp;""""="""""","""""",""""&amp;IF(AT指令表!H33&lt;&gt;"",AT指令表!H33,"")&amp;"\r\n"""))))</f>
        <v>"AT+ECMTUNS=0,1,\"hy/gw/get/02345678903\"\r\n"</v>
      </c>
      <c r="D32" s="2" t="str">
        <f>IFERROR(VLOOKUP(MID(C32,2,LEN(C32)-IF(C32="""+++""",2,IF(C32="""a""",2,6))),AT指令表!A:B,2,0),"""""")</f>
        <v>"OK"</v>
      </c>
      <c r="E32" s="4" t="str">
        <f>IFERROR(IF(VLOOKUP(MID(C32,2,LEN(C32)-IF(C32="""+++""",2,IF(C32="""a""",2,6))),AT指令表!A:F,6,0)=1,"true","false"),"error")</f>
        <v>true</v>
      </c>
      <c r="F32" s="4">
        <v>3</v>
      </c>
      <c r="G32" s="4">
        <v>3</v>
      </c>
      <c r="H32" s="4" t="str">
        <f>IFERROR(IF(VLOOKUP(MID(C32,2,LEN(C32)-IF(C32="""+++""",2,IF(C32="""a""",2,6))),AT指令表!A:C,3,0)=1,"true","false"),"error")</f>
        <v>false</v>
      </c>
      <c r="I32" s="4" t="str">
        <f>IFERROR(VLOOKUP(MID(C32,2,LEN(C32)-IF(C32="""+++""",2,IF(C32="""a""",2,6))),AT指令表!A:F,4,0),"easyATCmdDataLoadFun")</f>
        <v>easyATCmdDataLoadFun</v>
      </c>
      <c r="J32" s="4" t="str">
        <f>IFERROR(VLOOKUP(MID(C32,2,LEN(C32)-IF(C32="""+++""",2,IF(C32="""a""",2,6))),AT指令表!A:F,5,0),"easyATCmdDataDoingFun")</f>
        <v>easyATCmdDataDoingFun</v>
      </c>
      <c r="K32" s="15" t="str">
        <f>IFERROR(IF(B32=-1,"",AT指令表!I33),"")</f>
        <v>//取消订阅</v>
      </c>
    </row>
    <row r="33" spans="1:11" x14ac:dyDescent="0.2">
      <c r="A33" s="2">
        <f t="shared" si="0"/>
        <v>31</v>
      </c>
      <c r="B33" s="4">
        <f t="shared" si="1"/>
        <v>32</v>
      </c>
      <c r="C33" s="2" t="str">
        <f>IF(C32="""""","""""",IF(""""&amp;IF(AT指令表!H34&lt;&gt;"",AT指令表!H34,"")&amp;""""="""+++""","""+++""",IF(""""&amp;IF(AT指令表!H34&lt;&gt;"",AT指令表!H34,"")&amp;""""="""a""","""a""",IF(""""&amp;IF(AT指令表!H34&lt;&gt;"",AT指令表!H34,"")&amp;""""="""""","""""",""""&amp;IF(AT指令表!H34&lt;&gt;"",AT指令表!H34,"")&amp;"\r\n"""))))</f>
        <v>"AT+ECMTCLOSE=0\r\n"</v>
      </c>
      <c r="D33" s="2" t="str">
        <f>IFERROR(VLOOKUP(MID(C33,2,LEN(C33)-IF(C33="""+++""",2,IF(C33="""a""",2,6))),AT指令表!A:B,2,0),"""""")</f>
        <v>"OK"</v>
      </c>
      <c r="E33" s="4" t="str">
        <f>IFERROR(IF(VLOOKUP(MID(C33,2,LEN(C33)-IF(C33="""+++""",2,IF(C33="""a""",2,6))),AT指令表!A:F,6,0)=1,"true","false"),"error")</f>
        <v>false</v>
      </c>
      <c r="F33" s="4">
        <v>3</v>
      </c>
      <c r="G33" s="4">
        <v>3</v>
      </c>
      <c r="H33" s="4" t="str">
        <f>IFERROR(IF(VLOOKUP(MID(C33,2,LEN(C33)-IF(C33="""+++""",2,IF(C33="""a""",2,6))),AT指令表!A:C,3,0)=1,"true","false"),"error")</f>
        <v>false</v>
      </c>
      <c r="I33" s="4" t="str">
        <f>IFERROR(VLOOKUP(MID(C33,2,LEN(C33)-IF(C33="""+++""",2,IF(C33="""a""",2,6))),AT指令表!A:F,4,0),"easyATCmdDataLoadFun")</f>
        <v>easyATCmdDataLoadFun</v>
      </c>
      <c r="J33" s="4" t="str">
        <f>IFERROR(VLOOKUP(MID(C33,2,LEN(C33)-IF(C33="""+++""",2,IF(C33="""a""",2,6))),AT指令表!A:F,5,0),"easyATCmdDataDoingFun")</f>
        <v>easyATCmdDataDoingFun</v>
      </c>
      <c r="K33" s="15" t="str">
        <f>IFERROR(IF(B33=-1,"",AT指令表!I34),"")</f>
        <v>//关闭 MQTT 客户端</v>
      </c>
    </row>
    <row r="34" spans="1:11" x14ac:dyDescent="0.2">
      <c r="A34" s="2">
        <f t="shared" si="0"/>
        <v>32</v>
      </c>
      <c r="B34" s="4">
        <f t="shared" si="1"/>
        <v>-1</v>
      </c>
      <c r="C34" s="2" t="str">
        <f>IF(C33="""""","""""",IF(""""&amp;IF(AT指令表!H35&lt;&gt;"",AT指令表!H35,"")&amp;""""="""+++""","""+++""",IF(""""&amp;IF(AT指令表!H35&lt;&gt;"",AT指令表!H35,"")&amp;""""="""a""","""a""",IF(""""&amp;IF(AT指令表!H35&lt;&gt;"",AT指令表!H35,"")&amp;""""="""""","""""",""""&amp;IF(AT指令表!H35&lt;&gt;"",AT指令表!H35,"")&amp;"\r\n"""))))</f>
        <v>"AT+NMGR\r\n"</v>
      </c>
      <c r="D34" s="2" t="str">
        <f>IFERROR(VLOOKUP(MID(C34,2,LEN(C34)-IF(C34="""+++""",2,IF(C34="""a""",2,6))),AT指令表!A:B,2,0),"""""")</f>
        <v>"OK"</v>
      </c>
      <c r="E34" s="4" t="str">
        <f>IFERROR(IF(VLOOKUP(MID(C34,2,LEN(C34)-IF(C34="""+++""",2,IF(C34="""a""",2,6))),AT指令表!A:F,6,0)=1,"true","false"),"error")</f>
        <v>false</v>
      </c>
      <c r="F34" s="4">
        <v>3</v>
      </c>
      <c r="G34" s="4">
        <v>3</v>
      </c>
      <c r="H34" s="4" t="str">
        <f>IFERROR(IF(VLOOKUP(MID(C34,2,LEN(C34)-IF(C34="""+++""",2,IF(C34="""a""",2,6))),AT指令表!A:C,3,0)=1,"true","false"),"error")</f>
        <v>false</v>
      </c>
      <c r="I34" s="4" t="str">
        <f>IFERROR(VLOOKUP(MID(C34,2,LEN(C34)-IF(C34="""+++""",2,IF(C34="""a""",2,6))),AT指令表!A:F,4,0),"easyATCmdDataLoadFun")</f>
        <v>easyATCmdDataLoadFun</v>
      </c>
      <c r="J34" s="4" t="str">
        <f>IFERROR(VLOOKUP(MID(C34,2,LEN(C34)-IF(C34="""+++""",2,IF(C34="""a""",2,6))),AT指令表!A:F,5,0),"easyATCmdDataDoingFun")</f>
        <v>easyATCmdDataDoingFun</v>
      </c>
      <c r="K34" s="15" t="str">
        <f>IFERROR(IF(B34=-1,"",AT指令表!I35),"")</f>
        <v/>
      </c>
    </row>
    <row r="35" spans="1:11" x14ac:dyDescent="0.2">
      <c r="A35" s="2">
        <f t="shared" si="0"/>
        <v>33</v>
      </c>
      <c r="B35" s="4">
        <f t="shared" si="1"/>
        <v>-1</v>
      </c>
      <c r="C35" s="2" t="str">
        <f>IF(C34="""""","""""",IF(""""&amp;IF(AT指令表!H42&lt;&gt;"",AT指令表!H42,"")&amp;""""="""+++""","""+++""",IF(""""&amp;IF(AT指令表!H42&lt;&gt;"",AT指令表!H42,"")&amp;""""="""a""","""a""",IF(""""&amp;IF(AT指令表!H42&lt;&gt;"",AT指令表!H42,"")&amp;""""="""""","""""",""""&amp;IF(AT指令表!H42&lt;&gt;"",AT指令表!H42,"")&amp;"\r\n"""))))</f>
        <v>""</v>
      </c>
      <c r="D35" s="2" t="str">
        <f>IFERROR(VLOOKUP(MID(C35,2,LEN(C35)-IF(C35="""+++""",2,IF(C35="""a""",2,6))),AT指令表!A:B,2,0),"""""")</f>
        <v>""</v>
      </c>
      <c r="E35" s="4" t="str">
        <f>IFERROR(IF(VLOOKUP(MID(C35,2,LEN(C35)-IF(C35="""+++""",2,IF(C35="""a""",2,6))),AT指令表!A:F,6,0)=1,"true","false"),"error")</f>
        <v>error</v>
      </c>
      <c r="F35" s="4">
        <v>3</v>
      </c>
      <c r="G35" s="4">
        <v>3</v>
      </c>
      <c r="H35" s="4" t="str">
        <f>IFERROR(IF(VLOOKUP(MID(C35,2,LEN(C35)-IF(C35="""+++""",2,IF(C35="""a""",2,6))),AT指令表!A:C,3,0)=1,"true","false"),"error")</f>
        <v>error</v>
      </c>
      <c r="I35" s="4" t="str">
        <f>IFERROR(VLOOKUP(MID(C35,2,LEN(C35)-IF(C35="""+++""",2,IF(C35="""a""",2,6))),AT指令表!A:F,4,0),"easyATCmdDataLoadFun")</f>
        <v>easyATCmdDataLoadFun</v>
      </c>
      <c r="J35" s="4" t="str">
        <f>IFERROR(VLOOKUP(MID(C35,2,LEN(C35)-IF(C35="""+++""",2,IF(C35="""a""",2,6))),AT指令表!A:F,5,0),"easyATCmdDataDoingFun")</f>
        <v>easyATCmdDataDoingFun</v>
      </c>
      <c r="K35" s="15" t="str">
        <f>IFERROR(IF(B35=-1,"",AT指令表!I42),"")</f>
        <v/>
      </c>
    </row>
    <row r="36" spans="1:11" x14ac:dyDescent="0.2">
      <c r="A36" s="2">
        <f t="shared" si="0"/>
        <v>34</v>
      </c>
      <c r="B36" s="4">
        <f t="shared" si="1"/>
        <v>-1</v>
      </c>
      <c r="C36" s="2" t="str">
        <f>IF(C35="""""","""""",IF(""""&amp;IF(AT指令表!H43&lt;&gt;"",AT指令表!H43,"")&amp;""""="""+++""","""+++""",IF(""""&amp;IF(AT指令表!H43&lt;&gt;"",AT指令表!H43,"")&amp;""""="""a""","""a""",IF(""""&amp;IF(AT指令表!H43&lt;&gt;"",AT指令表!H43,"")&amp;""""="""""","""""",""""&amp;IF(AT指令表!H43&lt;&gt;"",AT指令表!H43,"")&amp;"\r\n"""))))</f>
        <v>""</v>
      </c>
      <c r="D36" s="2" t="str">
        <f>IFERROR(VLOOKUP(MID(C36,2,LEN(C36)-IF(C36="""+++""",2,IF(C36="""a""",2,6))),AT指令表!A:B,2,0),"""""")</f>
        <v>""</v>
      </c>
      <c r="E36" s="4" t="str">
        <f>IFERROR(IF(VLOOKUP(MID(C36,2,LEN(C36)-IF(C36="""+++""",2,IF(C36="""a""",2,6))),AT指令表!A:F,6,0)=1,"true","false"),"error")</f>
        <v>error</v>
      </c>
      <c r="F36" s="4">
        <v>3</v>
      </c>
      <c r="G36" s="4">
        <v>3</v>
      </c>
      <c r="H36" s="4" t="str">
        <f>IFERROR(IF(VLOOKUP(MID(C36,2,LEN(C36)-IF(C36="""+++""",2,IF(C36="""a""",2,6))),AT指令表!A:C,3,0)=1,"true","false"),"error")</f>
        <v>error</v>
      </c>
      <c r="I36" s="4" t="str">
        <f>IFERROR(VLOOKUP(MID(C36,2,LEN(C36)-IF(C36="""+++""",2,IF(C36="""a""",2,6))),AT指令表!A:F,4,0),"easyATCmdDataLoadFun")</f>
        <v>easyATCmdDataLoadFun</v>
      </c>
      <c r="J36" s="4" t="str">
        <f>IFERROR(VLOOKUP(MID(C36,2,LEN(C36)-IF(C36="""+++""",2,IF(C36="""a""",2,6))),AT指令表!A:F,5,0),"easyATCmdDataDoingFun")</f>
        <v>easyATCmdDataDoingFun</v>
      </c>
      <c r="K36" s="15" t="str">
        <f>IFERROR(IF(B36=-1,"",AT指令表!I43),"")</f>
        <v/>
      </c>
    </row>
    <row r="37" spans="1:11" x14ac:dyDescent="0.2">
      <c r="A37" s="2">
        <f t="shared" si="0"/>
        <v>35</v>
      </c>
      <c r="B37" s="4">
        <f t="shared" si="1"/>
        <v>-1</v>
      </c>
      <c r="C37" s="2" t="str">
        <f>IF(C36="""""","""""",IF(""""&amp;IF(AT指令表!H44&lt;&gt;"",AT指令表!H44,"")&amp;""""="""+++""","""+++""",IF(""""&amp;IF(AT指令表!H44&lt;&gt;"",AT指令表!H44,"")&amp;""""="""a""","""a""",IF(""""&amp;IF(AT指令表!H44&lt;&gt;"",AT指令表!H44,"")&amp;""""="""""","""""",""""&amp;IF(AT指令表!H44&lt;&gt;"",AT指令表!H44,"")&amp;"\r\n"""))))</f>
        <v>""</v>
      </c>
      <c r="D37" s="2" t="str">
        <f>IFERROR(VLOOKUP(MID(C37,2,LEN(C37)-IF(C37="""+++""",2,IF(C37="""a""",2,6))),AT指令表!A:B,2,0),"""""")</f>
        <v>""</v>
      </c>
      <c r="E37" s="4" t="str">
        <f>IFERROR(IF(VLOOKUP(MID(C37,2,LEN(C37)-IF(C37="""+++""",2,IF(C37="""a""",2,6))),AT指令表!A:F,6,0)=1,"true","false"),"error")</f>
        <v>error</v>
      </c>
      <c r="F37" s="4">
        <v>3</v>
      </c>
      <c r="G37" s="4">
        <v>3</v>
      </c>
      <c r="H37" s="4" t="str">
        <f>IFERROR(IF(VLOOKUP(MID(C37,2,LEN(C37)-IF(C37="""+++""",2,IF(C37="""a""",2,6))),AT指令表!A:C,3,0)=1,"true","false"),"error")</f>
        <v>error</v>
      </c>
      <c r="I37" s="4" t="str">
        <f>IFERROR(VLOOKUP(MID(C37,2,LEN(C37)-IF(C37="""+++""",2,IF(C37="""a""",2,6))),AT指令表!A:F,4,0),"easyATCmdDataLoadFun")</f>
        <v>easyATCmdDataLoadFun</v>
      </c>
      <c r="J37" s="4" t="str">
        <f>IFERROR(VLOOKUP(MID(C37,2,LEN(C37)-IF(C37="""+++""",2,IF(C37="""a""",2,6))),AT指令表!A:F,5,0),"easyATCmdDataDoingFun")</f>
        <v>easyATCmdDataDoingFun</v>
      </c>
      <c r="K37" s="15" t="str">
        <f>IFERROR(IF(B37=-1,"",AT指令表!I44),"")</f>
        <v/>
      </c>
    </row>
    <row r="38" spans="1:11" x14ac:dyDescent="0.2">
      <c r="A38" s="2">
        <f t="shared" si="0"/>
        <v>36</v>
      </c>
      <c r="B38" s="4">
        <f t="shared" si="1"/>
        <v>-1</v>
      </c>
      <c r="C38" s="2" t="str">
        <f>IF(C37="""""","""""",IF(""""&amp;IF(AT指令表!H45&lt;&gt;"",AT指令表!H45,"")&amp;""""="""+++""","""+++""",IF(""""&amp;IF(AT指令表!H45&lt;&gt;"",AT指令表!H45,"")&amp;""""="""a""","""a""",IF(""""&amp;IF(AT指令表!H45&lt;&gt;"",AT指令表!H45,"")&amp;""""="""""","""""",""""&amp;IF(AT指令表!H45&lt;&gt;"",AT指令表!H45,"")&amp;"\r\n"""))))</f>
        <v>""</v>
      </c>
      <c r="D38" s="2" t="str">
        <f>IFERROR(VLOOKUP(MID(C38,2,LEN(C38)-IF(C38="""+++""",2,IF(C38="""a""",2,6))),AT指令表!A:B,2,0),"""""")</f>
        <v>""</v>
      </c>
      <c r="E38" s="4" t="str">
        <f>IFERROR(IF(VLOOKUP(MID(C38,2,LEN(C38)-IF(C38="""+++""",2,IF(C38="""a""",2,6))),AT指令表!A:F,6,0)=1,"true","false"),"error")</f>
        <v>error</v>
      </c>
      <c r="F38" s="4">
        <v>3</v>
      </c>
      <c r="G38" s="4">
        <v>3</v>
      </c>
      <c r="H38" s="4" t="str">
        <f>IFERROR(IF(VLOOKUP(MID(C38,2,LEN(C38)-IF(C38="""+++""",2,IF(C38="""a""",2,6))),AT指令表!A:C,3,0)=1,"true","false"),"error")</f>
        <v>error</v>
      </c>
      <c r="I38" s="4" t="str">
        <f>IFERROR(VLOOKUP(MID(C38,2,LEN(C38)-IF(C38="""+++""",2,IF(C38="""a""",2,6))),AT指令表!A:F,4,0),"easyATCmdDataLoadFun")</f>
        <v>easyATCmdDataLoadFun</v>
      </c>
      <c r="J38" s="4" t="str">
        <f>IFERROR(VLOOKUP(MID(C38,2,LEN(C38)-IF(C38="""+++""",2,IF(C38="""a""",2,6))),AT指令表!A:F,5,0),"easyATCmdDataDoingFun")</f>
        <v>easyATCmdDataDoingFun</v>
      </c>
      <c r="K38" s="15" t="str">
        <f>IFERROR(IF(B38=-1,"",AT指令表!I45),"")</f>
        <v/>
      </c>
    </row>
    <row r="39" spans="1:11" x14ac:dyDescent="0.2">
      <c r="A39" s="2">
        <f t="shared" si="0"/>
        <v>37</v>
      </c>
      <c r="B39" s="4">
        <f t="shared" si="1"/>
        <v>-1</v>
      </c>
      <c r="C39" s="2" t="str">
        <f>IF(C38="""""","""""",IF(""""&amp;IF(AT指令表!H46&lt;&gt;"",AT指令表!H46,"")&amp;""""="""+++""","""+++""",IF(""""&amp;IF(AT指令表!H46&lt;&gt;"",AT指令表!H46,"")&amp;""""="""a""","""a""",IF(""""&amp;IF(AT指令表!H46&lt;&gt;"",AT指令表!H46,"")&amp;""""="""""","""""",""""&amp;IF(AT指令表!H46&lt;&gt;"",AT指令表!H46,"")&amp;"\r\n"""))))</f>
        <v>""</v>
      </c>
      <c r="D39" s="2" t="str">
        <f>IFERROR(VLOOKUP(MID(C39,2,LEN(C39)-IF(C39="""+++""",2,IF(C39="""a""",2,6))),AT指令表!A:B,2,0),"""""")</f>
        <v>""</v>
      </c>
      <c r="E39" s="4" t="str">
        <f>IFERROR(IF(VLOOKUP(MID(C39,2,LEN(C39)-IF(C39="""+++""",2,IF(C39="""a""",2,6))),AT指令表!A:F,6,0)=1,"true","false"),"error")</f>
        <v>error</v>
      </c>
      <c r="F39" s="4">
        <v>3</v>
      </c>
      <c r="G39" s="4">
        <v>3</v>
      </c>
      <c r="H39" s="4" t="str">
        <f>IFERROR(IF(VLOOKUP(MID(C39,2,LEN(C39)-IF(C39="""+++""",2,IF(C39="""a""",2,6))),AT指令表!A:C,3,0)=1,"true","false"),"error")</f>
        <v>error</v>
      </c>
      <c r="I39" s="4" t="str">
        <f>IFERROR(VLOOKUP(MID(C39,2,LEN(C39)-IF(C39="""+++""",2,IF(C39="""a""",2,6))),AT指令表!A:F,4,0),"easyATCmdDataLoadFun")</f>
        <v>easyATCmdDataLoadFun</v>
      </c>
      <c r="J39" s="4" t="str">
        <f>IFERROR(VLOOKUP(MID(C39,2,LEN(C39)-IF(C39="""+++""",2,IF(C39="""a""",2,6))),AT指令表!A:F,5,0),"easyATCmdDataDoingFun")</f>
        <v>easyATCmdDataDoingFun</v>
      </c>
      <c r="K39" s="15" t="str">
        <f>IFERROR(IF(B39=-1,"",AT指令表!I46),"")</f>
        <v/>
      </c>
    </row>
    <row r="40" spans="1:11" x14ac:dyDescent="0.2">
      <c r="A40" s="2">
        <f t="shared" si="0"/>
        <v>38</v>
      </c>
      <c r="B40" s="4">
        <f t="shared" si="1"/>
        <v>-1</v>
      </c>
      <c r="C40" s="2" t="str">
        <f>IF(C39="""""","""""",IF(""""&amp;IF(AT指令表!H47&lt;&gt;"",AT指令表!H47,"")&amp;""""="""+++""","""+++""",IF(""""&amp;IF(AT指令表!H47&lt;&gt;"",AT指令表!H47,"")&amp;""""="""a""","""a""",IF(""""&amp;IF(AT指令表!H47&lt;&gt;"",AT指令表!H47,"")&amp;""""="""""","""""",""""&amp;IF(AT指令表!H47&lt;&gt;"",AT指令表!H47,"")&amp;"\r\n"""))))</f>
        <v>""</v>
      </c>
      <c r="D40" s="2" t="str">
        <f>IFERROR(VLOOKUP(MID(C40,2,LEN(C40)-IF(C40="""+++""",2,IF(C40="""a""",2,6))),AT指令表!A:B,2,0),"""""")</f>
        <v>""</v>
      </c>
      <c r="E40" s="4" t="str">
        <f>IFERROR(IF(VLOOKUP(MID(C40,2,LEN(C40)-IF(C40="""+++""",2,IF(C40="""a""",2,6))),AT指令表!A:F,6,0)=1,"true","false"),"error")</f>
        <v>error</v>
      </c>
      <c r="F40" s="4">
        <v>3</v>
      </c>
      <c r="G40" s="4">
        <v>3</v>
      </c>
      <c r="H40" s="4" t="str">
        <f>IFERROR(IF(VLOOKUP(MID(C40,2,LEN(C40)-IF(C40="""+++""",2,IF(C40="""a""",2,6))),AT指令表!A:C,3,0)=1,"true","false"),"error")</f>
        <v>error</v>
      </c>
      <c r="I40" s="4" t="str">
        <f>IFERROR(VLOOKUP(MID(C40,2,LEN(C40)-IF(C40="""+++""",2,IF(C40="""a""",2,6))),AT指令表!A:F,4,0),"easyATCmdDataLoadFun")</f>
        <v>easyATCmdDataLoadFun</v>
      </c>
      <c r="J40" s="4" t="str">
        <f>IFERROR(VLOOKUP(MID(C40,2,LEN(C40)-IF(C40="""+++""",2,IF(C40="""a""",2,6))),AT指令表!A:F,5,0),"easyATCmdDataDoingFun")</f>
        <v>easyATCmdDataDoingFun</v>
      </c>
      <c r="K40" s="15" t="str">
        <f>IFERROR(IF(B40=-1,"",AT指令表!I47),"")</f>
        <v/>
      </c>
    </row>
    <row r="41" spans="1:11" x14ac:dyDescent="0.2">
      <c r="A41" s="2">
        <f t="shared" si="0"/>
        <v>39</v>
      </c>
      <c r="B41" s="4">
        <f t="shared" si="1"/>
        <v>-1</v>
      </c>
      <c r="C41" s="2" t="str">
        <f>IF(C40="""""","""""",IF(""""&amp;IF(AT指令表!H48&lt;&gt;"",AT指令表!H48,"")&amp;""""="""+++""","""+++""",IF(""""&amp;IF(AT指令表!H48&lt;&gt;"",AT指令表!H48,"")&amp;""""="""a""","""a""",IF(""""&amp;IF(AT指令表!H48&lt;&gt;"",AT指令表!H48,"")&amp;""""="""""","""""",""""&amp;IF(AT指令表!H48&lt;&gt;"",AT指令表!H48,"")&amp;"\r\n"""))))</f>
        <v>""</v>
      </c>
      <c r="D41" s="2" t="str">
        <f>IFERROR(VLOOKUP(MID(C41,2,LEN(C41)-IF(C41="""+++""",2,IF(C41="""a""",2,6))),AT指令表!A:B,2,0),"""""")</f>
        <v>""</v>
      </c>
      <c r="E41" s="4" t="str">
        <f>IFERROR(IF(VLOOKUP(MID(C41,2,LEN(C41)-IF(C41="""+++""",2,IF(C41="""a""",2,6))),AT指令表!A:F,6,0)=1,"true","false"),"error")</f>
        <v>error</v>
      </c>
      <c r="F41" s="4">
        <v>3</v>
      </c>
      <c r="G41" s="4">
        <v>3</v>
      </c>
      <c r="H41" s="4" t="str">
        <f>IFERROR(IF(VLOOKUP(MID(C41,2,LEN(C41)-IF(C41="""+++""",2,IF(C41="""a""",2,6))),AT指令表!A:C,3,0)=1,"true","false"),"error")</f>
        <v>error</v>
      </c>
      <c r="I41" s="4" t="str">
        <f>IFERROR(VLOOKUP(MID(C41,2,LEN(C41)-IF(C41="""+++""",2,IF(C41="""a""",2,6))),AT指令表!A:F,4,0),"easyATCmdDataLoadFun")</f>
        <v>easyATCmdDataLoadFun</v>
      </c>
      <c r="J41" s="4" t="str">
        <f>IFERROR(VLOOKUP(MID(C41,2,LEN(C41)-IF(C41="""+++""",2,IF(C41="""a""",2,6))),AT指令表!A:F,5,0),"easyATCmdDataDoingFun")</f>
        <v>easyATCmdDataDoingFun</v>
      </c>
      <c r="K41" s="15" t="str">
        <f>IFERROR(IF(B41=-1,"",AT指令表!I48),"")</f>
        <v/>
      </c>
    </row>
    <row r="42" spans="1:11" x14ac:dyDescent="0.2">
      <c r="A42" s="2">
        <f t="shared" si="0"/>
        <v>40</v>
      </c>
      <c r="B42" s="4">
        <f t="shared" si="1"/>
        <v>-1</v>
      </c>
      <c r="C42" s="2" t="str">
        <f>IF(C41="""""","""""",IF(""""&amp;IF(AT指令表!H49&lt;&gt;"",AT指令表!H49,"")&amp;""""="""+++""","""+++""",IF(""""&amp;IF(AT指令表!H49&lt;&gt;"",AT指令表!H49,"")&amp;""""="""a""","""a""",IF(""""&amp;IF(AT指令表!H49&lt;&gt;"",AT指令表!H49,"")&amp;""""="""""","""""",""""&amp;IF(AT指令表!H49&lt;&gt;"",AT指令表!H49,"")&amp;"\r\n"""))))</f>
        <v>""</v>
      </c>
      <c r="D42" s="2" t="str">
        <f>IFERROR(VLOOKUP(MID(C42,2,LEN(C42)-IF(C42="""+++""",2,IF(C42="""a""",2,6))),AT指令表!A:B,2,0),"""""")</f>
        <v>""</v>
      </c>
      <c r="E42" s="4" t="str">
        <f>IFERROR(IF(VLOOKUP(MID(C42,2,LEN(C42)-IF(C42="""+++""",2,IF(C42="""a""",2,6))),AT指令表!A:F,6,0)=1,"true","false"),"error")</f>
        <v>error</v>
      </c>
      <c r="F42" s="4">
        <v>3</v>
      </c>
      <c r="G42" s="4">
        <v>3</v>
      </c>
      <c r="H42" s="4" t="str">
        <f>IFERROR(IF(VLOOKUP(MID(C42,2,LEN(C42)-IF(C42="""+++""",2,IF(C42="""a""",2,6))),AT指令表!A:C,3,0)=1,"true","false"),"error")</f>
        <v>error</v>
      </c>
      <c r="I42" s="4" t="str">
        <f>IFERROR(VLOOKUP(MID(C42,2,LEN(C42)-IF(C42="""+++""",2,IF(C42="""a""",2,6))),AT指令表!A:F,4,0),"easyATCmdDataLoadFun")</f>
        <v>easyATCmdDataLoadFun</v>
      </c>
      <c r="J42" s="4" t="str">
        <f>IFERROR(VLOOKUP(MID(C42,2,LEN(C42)-IF(C42="""+++""",2,IF(C42="""a""",2,6))),AT指令表!A:F,5,0),"easyATCmdDataDoingFun")</f>
        <v>easyATCmdDataDoingFun</v>
      </c>
      <c r="K42" s="15" t="str">
        <f>IFERROR(IF(B42=-1,"",AT指令表!I49),"")</f>
        <v/>
      </c>
    </row>
    <row r="43" spans="1:11" x14ac:dyDescent="0.2">
      <c r="A43" s="2">
        <f t="shared" si="0"/>
        <v>41</v>
      </c>
      <c r="B43" s="4">
        <f t="shared" si="1"/>
        <v>-1</v>
      </c>
      <c r="C43" s="2" t="str">
        <f>IF(C42="""""","""""",IF(""""&amp;IF(AT指令表!H50&lt;&gt;"",AT指令表!H50,"")&amp;""""="""+++""","""+++""",IF(""""&amp;IF(AT指令表!H50&lt;&gt;"",AT指令表!H50,"")&amp;""""="""a""","""a""",IF(""""&amp;IF(AT指令表!H50&lt;&gt;"",AT指令表!H50,"")&amp;""""="""""","""""",""""&amp;IF(AT指令表!H50&lt;&gt;"",AT指令表!H50,"")&amp;"\r\n"""))))</f>
        <v>""</v>
      </c>
      <c r="D43" s="2" t="str">
        <f>IFERROR(VLOOKUP(MID(C43,2,LEN(C43)-IF(C43="""+++""",2,IF(C43="""a""",2,6))),AT指令表!A:B,2,0),"""""")</f>
        <v>""</v>
      </c>
      <c r="E43" s="4" t="str">
        <f>IFERROR(IF(VLOOKUP(MID(C43,2,LEN(C43)-IF(C43="""+++""",2,IF(C43="""a""",2,6))),AT指令表!A:F,6,0)=1,"true","false"),"error")</f>
        <v>error</v>
      </c>
      <c r="F43" s="4">
        <v>3</v>
      </c>
      <c r="G43" s="4">
        <v>3</v>
      </c>
      <c r="H43" s="4" t="str">
        <f>IFERROR(IF(VLOOKUP(MID(C43,2,LEN(C43)-IF(C43="""+++""",2,IF(C43="""a""",2,6))),AT指令表!A:C,3,0)=1,"true","false"),"error")</f>
        <v>error</v>
      </c>
      <c r="I43" s="4" t="str">
        <f>IFERROR(VLOOKUP(MID(C43,2,LEN(C43)-IF(C43="""+++""",2,IF(C43="""a""",2,6))),AT指令表!A:F,4,0),"easyATCmdDataLoadFun")</f>
        <v>easyATCmdDataLoadFun</v>
      </c>
      <c r="J43" s="4" t="str">
        <f>IFERROR(VLOOKUP(MID(C43,2,LEN(C43)-IF(C43="""+++""",2,IF(C43="""a""",2,6))),AT指令表!A:F,5,0),"easyATCmdDataDoingFun")</f>
        <v>easyATCmdDataDoingFun</v>
      </c>
      <c r="K43" s="15" t="str">
        <f>IFERROR(IF(B43=-1,"",AT指令表!I50),"")</f>
        <v/>
      </c>
    </row>
    <row r="44" spans="1:11" x14ac:dyDescent="0.2">
      <c r="A44" s="2">
        <f t="shared" si="0"/>
        <v>42</v>
      </c>
      <c r="B44" s="4">
        <f t="shared" si="1"/>
        <v>-1</v>
      </c>
      <c r="C44" s="2" t="str">
        <f>IF(C43="""""","""""",IF(""""&amp;IF(AT指令表!H51&lt;&gt;"",AT指令表!H51,"")&amp;""""="""+++""","""+++""",IF(""""&amp;IF(AT指令表!H51&lt;&gt;"",AT指令表!H51,"")&amp;""""="""a""","""a""",IF(""""&amp;IF(AT指令表!H51&lt;&gt;"",AT指令表!H51,"")&amp;""""="""""","""""",""""&amp;IF(AT指令表!H51&lt;&gt;"",AT指令表!H51,"")&amp;"\r\n"""))))</f>
        <v>""</v>
      </c>
      <c r="D44" s="2" t="str">
        <f>IFERROR(VLOOKUP(MID(C44,2,LEN(C44)-IF(C44="""+++""",2,IF(C44="""a""",2,6))),AT指令表!A:B,2,0),"""""")</f>
        <v>""</v>
      </c>
      <c r="E44" s="4" t="str">
        <f>IFERROR(IF(VLOOKUP(MID(C44,2,LEN(C44)-IF(C44="""+++""",2,IF(C44="""a""",2,6))),AT指令表!A:F,6,0)=1,"true","false"),"error")</f>
        <v>error</v>
      </c>
      <c r="F44" s="4">
        <v>3</v>
      </c>
      <c r="G44" s="4">
        <v>3</v>
      </c>
      <c r="H44" s="4" t="str">
        <f>IFERROR(IF(VLOOKUP(MID(C44,2,LEN(C44)-IF(C44="""+++""",2,IF(C44="""a""",2,6))),AT指令表!A:C,3,0)=1,"true","false"),"error")</f>
        <v>error</v>
      </c>
      <c r="I44" s="4" t="str">
        <f>IFERROR(VLOOKUP(MID(C44,2,LEN(C44)-IF(C44="""+++""",2,IF(C44="""a""",2,6))),AT指令表!A:F,4,0),"easyATCmdDataLoadFun")</f>
        <v>easyATCmdDataLoadFun</v>
      </c>
      <c r="J44" s="4" t="str">
        <f>IFERROR(VLOOKUP(MID(C44,2,LEN(C44)-IF(C44="""+++""",2,IF(C44="""a""",2,6))),AT指令表!A:F,5,0),"easyATCmdDataDoingFun")</f>
        <v>easyATCmdDataDoingFun</v>
      </c>
      <c r="K44" s="15" t="str">
        <f>IFERROR(IF(B44=-1,"",AT指令表!I51),"")</f>
        <v/>
      </c>
    </row>
    <row r="45" spans="1:11" x14ac:dyDescent="0.2">
      <c r="A45" s="2">
        <f t="shared" si="0"/>
        <v>43</v>
      </c>
      <c r="B45" s="4">
        <f t="shared" si="1"/>
        <v>-1</v>
      </c>
      <c r="C45" s="2" t="str">
        <f>IF(C44="""""","""""",IF(""""&amp;IF(AT指令表!H52&lt;&gt;"",AT指令表!H52,"")&amp;""""="""+++""","""+++""",IF(""""&amp;IF(AT指令表!H52&lt;&gt;"",AT指令表!H52,"")&amp;""""="""a""","""a""",IF(""""&amp;IF(AT指令表!H52&lt;&gt;"",AT指令表!H52,"")&amp;""""="""""","""""",""""&amp;IF(AT指令表!H52&lt;&gt;"",AT指令表!H52,"")&amp;"\r\n"""))))</f>
        <v>""</v>
      </c>
      <c r="D45" s="2" t="str">
        <f>IFERROR(VLOOKUP(MID(C45,2,LEN(C45)-IF(C45="""+++""",2,IF(C45="""a""",2,6))),AT指令表!A:B,2,0),"""""")</f>
        <v>""</v>
      </c>
      <c r="E45" s="4" t="str">
        <f>IFERROR(IF(VLOOKUP(MID(C45,2,LEN(C45)-IF(C45="""+++""",2,IF(C45="""a""",2,6))),AT指令表!A:F,6,0)=1,"true","false"),"error")</f>
        <v>error</v>
      </c>
      <c r="F45" s="4">
        <v>3</v>
      </c>
      <c r="G45" s="4">
        <v>3</v>
      </c>
      <c r="H45" s="4" t="str">
        <f>IFERROR(IF(VLOOKUP(MID(C45,2,LEN(C45)-IF(C45="""+++""",2,IF(C45="""a""",2,6))),AT指令表!A:C,3,0)=1,"true","false"),"error")</f>
        <v>error</v>
      </c>
      <c r="I45" s="4" t="str">
        <f>IFERROR(VLOOKUP(MID(C45,2,LEN(C45)-IF(C45="""+++""",2,IF(C45="""a""",2,6))),AT指令表!A:F,4,0),"easyATCmdDataLoadFun")</f>
        <v>easyATCmdDataLoadFun</v>
      </c>
      <c r="J45" s="4" t="str">
        <f>IFERROR(VLOOKUP(MID(C45,2,LEN(C45)-IF(C45="""+++""",2,IF(C45="""a""",2,6))),AT指令表!A:F,5,0),"easyATCmdDataDoingFun")</f>
        <v>easyATCmdDataDoingFun</v>
      </c>
      <c r="K45" s="15" t="str">
        <f>IFERROR(IF(B45=-1,"",AT指令表!I52),"")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EB441-F9FA-401E-93BB-7B44AEF5F2C9}">
  <dimension ref="A1:B45"/>
  <sheetViews>
    <sheetView zoomScale="70" zoomScaleNormal="70" workbookViewId="0">
      <selection activeCell="A2" sqref="A2:B45"/>
    </sheetView>
  </sheetViews>
  <sheetFormatPr defaultRowHeight="14.25" x14ac:dyDescent="0.2"/>
  <cols>
    <col min="1" max="1" width="148.875" bestFit="1" customWidth="1"/>
    <col min="2" max="2" width="54.5" bestFit="1" customWidth="1"/>
  </cols>
  <sheetData>
    <row r="1" spans="1:2" x14ac:dyDescent="0.2">
      <c r="A1" s="1" t="s">
        <v>238</v>
      </c>
      <c r="B1" s="1"/>
    </row>
    <row r="2" spans="1:2" x14ac:dyDescent="0.2">
      <c r="A2" s="1" t="str">
        <f>"{"&amp;AT指令代码格式!A2&amp;","&amp;AT指令代码格式!B2&amp;","&amp;AT指令代码格式!C2&amp;","&amp;AT指令代码格式!D2&amp;","&amp;IF(AT指令代码格式!E2="error","false",AT指令代码格式!E2)&amp;","&amp;AT指令代码格式!F2&amp;","&amp;AT指令代码格式!G2&amp;","&amp;IF(AT指令代码格式!H2="error","false",AT指令代码格式!H2)&amp;","&amp;AT指令代码格式!I2&amp;","&amp;AT指令代码格式!J2&amp;", NULL, NULL},"</f>
        <v>{0,1,"AT+CFUN=0\r\n","OK",true,3,3,false,easyATCmdDataLoadFun,easyATCmdDataDoingFun, NULL, NULL},</v>
      </c>
      <c r="B2" s="16" t="str">
        <f>AT指令代码格式!K2</f>
        <v>//关闭射频</v>
      </c>
    </row>
    <row r="3" spans="1:2" x14ac:dyDescent="0.2">
      <c r="A3" s="1" t="str">
        <f>"{"&amp;AT指令代码格式!A3&amp;","&amp;AT指令代码格式!B3&amp;","&amp;AT指令代码格式!C3&amp;","&amp;AT指令代码格式!D3&amp;","&amp;IF(AT指令代码格式!E3="error","false",AT指令代码格式!E3)&amp;","&amp;AT指令代码格式!F3&amp;","&amp;AT指令代码格式!G3&amp;","&amp;IF(AT指令代码格式!H3="error","false",AT指令代码格式!H3)&amp;","&amp;AT指令代码格式!I3&amp;","&amp;AT指令代码格式!J3&amp;", NULL, NULL},"</f>
        <v>{1,2,"ATE1\r\n","OK",true,3,3,false,easyATCmdDataLoadFun,easyATCmdDataDoingFun, NULL, NULL},</v>
      </c>
      <c r="B3" s="16" t="str">
        <f>AT指令代码格式!K3</f>
        <v>//打开回显</v>
      </c>
    </row>
    <row r="4" spans="1:2" x14ac:dyDescent="0.2">
      <c r="A4" s="1" t="str">
        <f>"{"&amp;AT指令代码格式!A4&amp;","&amp;AT指令代码格式!B4&amp;","&amp;AT指令代码格式!C4&amp;","&amp;AT指令代码格式!D4&amp;","&amp;IF(AT指令代码格式!E4="error","false",AT指令代码格式!E4)&amp;","&amp;AT指令代码格式!F4&amp;","&amp;AT指令代码格式!G4&amp;","&amp;IF(AT指令代码格式!H4="error","false",AT指令代码格式!H4)&amp;","&amp;AT指令代码格式!I4&amp;","&amp;AT指令代码格式!J4&amp;", NULL, NULL},"</f>
        <v>{2,3,"AT+IPR=9600\r\n","OK",true,3,3,false,setUartBandDataLoadFun,easyATCmdDataDoingFun, NULL, NULL},</v>
      </c>
      <c r="B4" s="16" t="str">
        <f>AT指令代码格式!K4</f>
        <v>//设置波特率</v>
      </c>
    </row>
    <row r="5" spans="1:2" x14ac:dyDescent="0.2">
      <c r="A5" s="1" t="str">
        <f>"{"&amp;AT指令代码格式!A5&amp;","&amp;AT指令代码格式!B5&amp;","&amp;AT指令代码格式!C5&amp;","&amp;AT指令代码格式!D5&amp;","&amp;IF(AT指令代码格式!E5="error","false",AT指令代码格式!E5)&amp;","&amp;AT指令代码格式!F5&amp;","&amp;AT指令代码格式!G5&amp;","&amp;IF(AT指令代码格式!H5="error","false",AT指令代码格式!H5)&amp;","&amp;AT指令代码格式!I5&amp;","&amp;AT指令代码格式!J5&amp;", NULL, NULL},"</f>
        <v>{3,4,"AT+ECBAND=0,5\r\n","OK",true,3,3,false,setSIMBandDataLoadFun,easyATCmdDataDoingFun, NULL, NULL},</v>
      </c>
      <c r="B5" s="16" t="str">
        <f>AT指令代码格式!K5</f>
        <v>//设置 SIM BAND</v>
      </c>
    </row>
    <row r="6" spans="1:2" x14ac:dyDescent="0.2">
      <c r="A6" s="1" t="str">
        <f>"{"&amp;AT指令代码格式!A6&amp;","&amp;AT指令代码格式!B6&amp;","&amp;AT指令代码格式!C6&amp;","&amp;AT指令代码格式!D6&amp;","&amp;IF(AT指令代码格式!E6="error","false",AT指令代码格式!E6)&amp;","&amp;AT指令代码格式!F6&amp;","&amp;AT指令代码格式!G6&amp;","&amp;IF(AT指令代码格式!H6="error","false",AT指令代码格式!H6)&amp;","&amp;AT指令代码格式!I6&amp;","&amp;AT指令代码格式!J6&amp;", NULL, NULL},"</f>
        <v>{4,5,"AT+SGSW\r\n","OK",true,3,3,false,easyATCmdDataLoadFun,easyATCmdDataDoingFun, NULL, NULL},</v>
      </c>
      <c r="B6" s="16" t="str">
        <f>AT指令代码格式!K6</f>
        <v>//获取版本信息</v>
      </c>
    </row>
    <row r="7" spans="1:2" x14ac:dyDescent="0.2">
      <c r="A7" s="1" t="str">
        <f>"{"&amp;AT指令代码格式!A7&amp;","&amp;AT指令代码格式!B7&amp;","&amp;AT指令代码格式!C7&amp;","&amp;AT指令代码格式!D7&amp;","&amp;IF(AT指令代码格式!E7="error","false",AT指令代码格式!E7)&amp;","&amp;AT指令代码格式!F7&amp;","&amp;AT指令代码格式!G7&amp;","&amp;IF(AT指令代码格式!H7="error","false",AT指令代码格式!H7)&amp;","&amp;AT指令代码格式!I7&amp;","&amp;AT指令代码格式!J7&amp;", NULL, NULL},"</f>
        <v>{5,6,"AT+CGSN\r\n","OK",true,3,3,false,easyATCmdDataLoadFun,easyATCmdDataDoingFun, NULL, NULL},</v>
      </c>
      <c r="B7" s="16" t="str">
        <f>AT指令代码格式!K7</f>
        <v>//请求产品序列号IMEI</v>
      </c>
    </row>
    <row r="8" spans="1:2" x14ac:dyDescent="0.2">
      <c r="A8" s="1" t="str">
        <f>"{"&amp;AT指令代码格式!A8&amp;","&amp;AT指令代码格式!B8&amp;","&amp;AT指令代码格式!C8&amp;","&amp;AT指令代码格式!D8&amp;","&amp;IF(AT指令代码格式!E8="error","false",AT指令代码格式!E8)&amp;","&amp;AT指令代码格式!F8&amp;","&amp;AT指令代码格式!G8&amp;","&amp;IF(AT指令代码格式!H8="error","false",AT指令代码格式!H8)&amp;","&amp;AT指令代码格式!I8&amp;","&amp;AT指令代码格式!J8&amp;", NULL, NULL},"</f>
        <v>{6,7,"AT+ECMTCFG=\"version\",0,4\r\n","OK",true,3,3,false,easyATCmdDataLoadFun,easyATCmdDataDoingFun, NULL, NULL},</v>
      </c>
      <c r="B8" s="16" t="str">
        <f>AT指令代码格式!K8</f>
        <v>//设置 MQTT 3.1.1 版本</v>
      </c>
    </row>
    <row r="9" spans="1:2" x14ac:dyDescent="0.2">
      <c r="A9" s="1" t="str">
        <f>"{"&amp;AT指令代码格式!A9&amp;","&amp;AT指令代码格式!B9&amp;","&amp;AT指令代码格式!C9&amp;","&amp;AT指令代码格式!D9&amp;","&amp;IF(AT指令代码格式!E9="error","false",AT指令代码格式!E9)&amp;","&amp;AT指令代码格式!F9&amp;","&amp;AT指令代码格式!G9&amp;","&amp;IF(AT指令代码格式!H9="error","false",AT指令代码格式!H9)&amp;","&amp;AT指令代码格式!I9&amp;","&amp;AT指令代码格式!J9&amp;", NULL, NULL},"</f>
        <v>{7,8,"AT+ECMTCFG=\"echomode\",0,1\r\n","OK",true,3,3,false,easyATCmdDataLoadFun,easyATCmdDataDoingFun, NULL, NULL},</v>
      </c>
      <c r="B9" s="16" t="str">
        <f>AT指令代码格式!K9</f>
        <v>//关闭 MQTT 回显</v>
      </c>
    </row>
    <row r="10" spans="1:2" x14ac:dyDescent="0.2">
      <c r="A10" s="1" t="str">
        <f>"{"&amp;AT指令代码格式!A10&amp;","&amp;AT指令代码格式!B10&amp;","&amp;AT指令代码格式!C10&amp;","&amp;AT指令代码格式!D10&amp;","&amp;IF(AT指令代码格式!E10="error","false",AT指令代码格式!E10)&amp;","&amp;AT指令代码格式!F10&amp;","&amp;AT指令代码格式!G10&amp;","&amp;IF(AT指令代码格式!H10="error","false",AT指令代码格式!H10)&amp;","&amp;AT指令代码格式!I10&amp;","&amp;AT指令代码格式!J10&amp;", NULL, NULL},"</f>
        <v>{8,9,"AT+ECMTCFG=\"dataformat\",0,0,0\r\n","OK",true,3,3,false,easyATCmdDataLoadFun,easyATCmdDataDoingFun, NULL, NULL},</v>
      </c>
      <c r="B10" s="16" t="str">
        <f>AT指令代码格式!K10</f>
        <v>//设置发送接收的都是文本</v>
      </c>
    </row>
    <row r="11" spans="1:2" x14ac:dyDescent="0.2">
      <c r="A11" s="1" t="str">
        <f>"{"&amp;AT指令代码格式!A11&amp;","&amp;AT指令代码格式!B11&amp;","&amp;AT指令代码格式!C11&amp;","&amp;AT指令代码格式!D11&amp;","&amp;IF(AT指令代码格式!E11="error","false",AT指令代码格式!E11)&amp;","&amp;AT指令代码格式!F11&amp;","&amp;AT指令代码格式!G11&amp;","&amp;IF(AT指令代码格式!H11="error","false",AT指令代码格式!H11)&amp;","&amp;AT指令代码格式!I11&amp;","&amp;AT指令代码格式!J11&amp;", NULL, NULL},"</f>
        <v>{9,10,"AT+ECMTCFG=\"keepalive\",0,40\r\n","OK",true,3,3,false,easyATCmdDataLoadFun,easyATCmdDataDoingFun, NULL, NULL},</v>
      </c>
      <c r="B11" s="16" t="str">
        <f>AT指令代码格式!K11</f>
        <v>//设置心跳</v>
      </c>
    </row>
    <row r="12" spans="1:2" x14ac:dyDescent="0.2">
      <c r="A12" s="1" t="str">
        <f>"{"&amp;AT指令代码格式!A12&amp;","&amp;AT指令代码格式!B12&amp;","&amp;AT指令代码格式!C12&amp;","&amp;AT指令代码格式!D12&amp;","&amp;IF(AT指令代码格式!E12="error","false",AT指令代码格式!E12)&amp;","&amp;AT指令代码格式!F12&amp;","&amp;AT指令代码格式!G12&amp;","&amp;IF(AT指令代码格式!H12="error","false",AT指令代码格式!H12)&amp;","&amp;AT指令代码格式!I12&amp;","&amp;AT指令代码格式!J12&amp;", NULL, NULL},"</f>
        <v>{10,11,"AT+ECMTCFG=\"session\",0,1\r\n","OK",true,3,3,false,easyATCmdDataLoadFun,easyATCmdDataDoingFun, NULL, NULL},</v>
      </c>
      <c r="B12" s="16" t="str">
        <f>AT指令代码格式!K12</f>
        <v>//设置服务器在断开连接后不保留客户端信息</v>
      </c>
    </row>
    <row r="13" spans="1:2" x14ac:dyDescent="0.2">
      <c r="A13" s="1" t="str">
        <f>"{"&amp;AT指令代码格式!A13&amp;","&amp;AT指令代码格式!B13&amp;","&amp;AT指令代码格式!C13&amp;","&amp;AT指令代码格式!D13&amp;","&amp;IF(AT指令代码格式!E13="error","false",AT指令代码格式!E13)&amp;","&amp;AT指令代码格式!F13&amp;","&amp;AT指令代码格式!G13&amp;","&amp;IF(AT指令代码格式!H13="error","false",AT指令代码格式!H13)&amp;","&amp;AT指令代码格式!I13&amp;","&amp;AT指令代码格式!J13&amp;", NULL, NULL},"</f>
        <v>{11,12,"AT+CFUN=1\r\n","OK",true,3,3,false,easyATCmdDataLoadFun,easyATCmdDataDoingFun, NULL, NULL},</v>
      </c>
      <c r="B13" s="16" t="str">
        <f>AT指令代码格式!K13</f>
        <v>//开启射频</v>
      </c>
    </row>
    <row r="14" spans="1:2" x14ac:dyDescent="0.2">
      <c r="A14" s="1" t="str">
        <f>"{"&amp;AT指令代码格式!A14&amp;","&amp;AT指令代码格式!B14&amp;","&amp;AT指令代码格式!C14&amp;","&amp;AT指令代码格式!D14&amp;","&amp;IF(AT指令代码格式!E14="error","false",AT指令代码格式!E14)&amp;","&amp;AT指令代码格式!F14&amp;","&amp;AT指令代码格式!G14&amp;","&amp;IF(AT指令代码格式!H14="error","false",AT指令代码格式!H14)&amp;","&amp;AT指令代码格式!I14&amp;","&amp;AT指令代码格式!J14&amp;", NULL, NULL},"</f>
        <v>{12,13,"AT+CPIN?\r\n","OK",true,3,3,false,easyATCmdDataLoadFun,easyATCmdDataDoingFun, NULL, NULL},</v>
      </c>
      <c r="B14" s="16" t="str">
        <f>AT指令代码格式!K14</f>
        <v>//识别sm卡</v>
      </c>
    </row>
    <row r="15" spans="1:2" x14ac:dyDescent="0.2">
      <c r="A15" s="1" t="str">
        <f>"{"&amp;AT指令代码格式!A15&amp;","&amp;AT指令代码格式!B15&amp;","&amp;AT指令代码格式!C15&amp;","&amp;AT指令代码格式!D15&amp;","&amp;IF(AT指令代码格式!E15="error","false",AT指令代码格式!E15)&amp;","&amp;AT指令代码格式!F15&amp;","&amp;AT指令代码格式!G15&amp;","&amp;IF(AT指令代码格式!H15="error","false",AT指令代码格式!H15)&amp;","&amp;AT指令代码格式!I15&amp;","&amp;AT指令代码格式!J15&amp;", NULL, NULL},"</f>
        <v>{13,14,"AT+SKTDELETE=1\r\n","OK",true,3,3,false,easyATCmdDataLoadFun,ResetTrueFlagDoingFun, NULL, NULL},</v>
      </c>
      <c r="B15" s="16" t="str">
        <f>AT指令代码格式!K15</f>
        <v>//删除socket</v>
      </c>
    </row>
    <row r="16" spans="1:2" x14ac:dyDescent="0.2">
      <c r="A16" s="1" t="str">
        <f>"{"&amp;AT指令代码格式!A16&amp;","&amp;AT指令代码格式!B16&amp;","&amp;AT指令代码格式!C16&amp;","&amp;AT指令代码格式!D16&amp;","&amp;IF(AT指令代码格式!E16="error","false",AT指令代码格式!E16)&amp;","&amp;AT指令代码格式!F16&amp;","&amp;AT指令代码格式!G16&amp;","&amp;IF(AT指令代码格式!H16="error","false",AT指令代码格式!H16)&amp;","&amp;AT指令代码格式!I16&amp;","&amp;AT指令代码格式!J16&amp;", NULL, NULL},"</f>
        <v>{14,15,"AT+SKTCREATE=1,1,6\r\n","+SKTCREATE: 1",true,3,3,false,easyATCmdDataLoadFun,easyATCmdDataDoingFun, NULL, NULL},</v>
      </c>
      <c r="B16" s="16" t="str">
        <f>AT指令代码格式!K16</f>
        <v>//创建socket</v>
      </c>
    </row>
    <row r="17" spans="1:2" x14ac:dyDescent="0.2">
      <c r="A17" s="1" t="str">
        <f>"{"&amp;AT指令代码格式!A17&amp;","&amp;AT指令代码格式!B17&amp;","&amp;AT指令代码格式!C17&amp;","&amp;AT指令代码格式!D17&amp;","&amp;IF(AT指令代码格式!E17="error","false",AT指令代码格式!E17)&amp;","&amp;AT指令代码格式!F17&amp;","&amp;AT指令代码格式!G17&amp;","&amp;IF(AT指令代码格式!H17="error","false",AT指令代码格式!H17)&amp;","&amp;AT指令代码格式!I17&amp;","&amp;AT指令代码格式!J17&amp;", NULL, NULL},"</f>
        <v>{15,16,"AT+CGDCONT=1,\"IPV4V6\",\"M2M\"\r\n","OK",true,3,3,false,setAPNForSIMLoadFun,easyATCmdDataDoingFun, NULL, NULL},</v>
      </c>
      <c r="B17" s="16" t="str">
        <f>AT指令代码格式!K17</f>
        <v>//设置APN（PDP）</v>
      </c>
    </row>
    <row r="18" spans="1:2" x14ac:dyDescent="0.2">
      <c r="A18" s="1" t="str">
        <f>"{"&amp;AT指令代码格式!A18&amp;","&amp;AT指令代码格式!B18&amp;","&amp;AT指令代码格式!C18&amp;","&amp;AT指令代码格式!D18&amp;","&amp;IF(AT指令代码格式!E18="error","false",AT指令代码格式!E18)&amp;","&amp;AT指令代码格式!F18&amp;","&amp;AT指令代码格式!G18&amp;","&amp;IF(AT指令代码格式!H18="error","false",AT指令代码格式!H18)&amp;","&amp;AT指令代码格式!I18&amp;","&amp;AT指令代码格式!J18&amp;", NULL, NULL},"</f>
        <v>{16,17,"AT+CGDCONT?\r\n","OK",true,3,3,false,easyATCmdDataLoadFun,easyATCmdDataDoingFun, NULL, NULL},</v>
      </c>
      <c r="B18" s="16" t="str">
        <f>AT指令代码格式!K18</f>
        <v>//查询设置APN（PDP）</v>
      </c>
    </row>
    <row r="19" spans="1:2" x14ac:dyDescent="0.2">
      <c r="A19" s="1" t="str">
        <f>"{"&amp;AT指令代码格式!A19&amp;","&amp;AT指令代码格式!B19&amp;","&amp;AT指令代码格式!C19&amp;","&amp;AT指令代码格式!D19&amp;","&amp;IF(AT指令代码格式!E19="error","false",AT指令代码格式!E19)&amp;","&amp;AT指令代码格式!F19&amp;","&amp;AT指令代码格式!G19&amp;","&amp;IF(AT指令代码格式!H19="error","false",AT指令代码格式!H19)&amp;","&amp;AT指令代码格式!I19&amp;","&amp;AT指令代码格式!J19&amp;", NULL, NULL},"</f>
        <v>{17,18,"AT+CGPADDR\r\n","OK",true,3,3,false,easyATCmdDataLoadFun,easyATCmdDataDoingFun, NULL, NULL},</v>
      </c>
      <c r="B19" s="16" t="str">
        <f>AT指令代码格式!K19</f>
        <v>//显示PDP地址</v>
      </c>
    </row>
    <row r="20" spans="1:2" x14ac:dyDescent="0.2">
      <c r="A20" s="1" t="str">
        <f>"{"&amp;AT指令代码格式!A20&amp;","&amp;AT指令代码格式!B20&amp;","&amp;AT指令代码格式!C20&amp;","&amp;AT指令代码格式!D20&amp;","&amp;IF(AT指令代码格式!E20="error","false",AT指令代码格式!E20)&amp;","&amp;AT指令代码格式!F20&amp;","&amp;AT指令代码格式!G20&amp;","&amp;IF(AT指令代码格式!H20="error","false",AT指令代码格式!H20)&amp;","&amp;AT指令代码格式!I20&amp;","&amp;AT指令代码格式!J20&amp;", NULL, NULL},"</f>
        <v>{18,19,"AT+CGATT=1\r\n","OK",true,3,3,false,easyATCmdDataLoadFun,easyATCmdDataDoingFun, NULL, NULL},</v>
      </c>
      <c r="B20" s="16" t="str">
        <f>AT指令代码格式!K20</f>
        <v>//设置附着网络</v>
      </c>
    </row>
    <row r="21" spans="1:2" x14ac:dyDescent="0.2">
      <c r="A21" s="1" t="str">
        <f>"{"&amp;AT指令代码格式!A21&amp;","&amp;AT指令代码格式!B21&amp;","&amp;AT指令代码格式!C21&amp;","&amp;AT指令代码格式!D21&amp;","&amp;IF(AT指令代码格式!E21="error","false",AT指令代码格式!E21)&amp;","&amp;AT指令代码格式!F21&amp;","&amp;AT指令代码格式!G21&amp;","&amp;IF(AT指令代码格式!H21="error","false",AT指令代码格式!H21)&amp;","&amp;AT指令代码格式!I21&amp;","&amp;AT指令代码格式!J21&amp;", NULL, NULL},"</f>
        <v>{19,20,"AT+CGATT?\r\n","+CGATT: 1",true,3,3,false,easyATCmdDataLoadFun,easyATCmdDataDoingFun, NULL, NULL},</v>
      </c>
      <c r="B21" s="16" t="str">
        <f>AT指令代码格式!K21</f>
        <v>//查询附着网络（查70s）</v>
      </c>
    </row>
    <row r="22" spans="1:2" x14ac:dyDescent="0.2">
      <c r="A22" s="1" t="str">
        <f>"{"&amp;AT指令代码格式!A22&amp;","&amp;AT指令代码格式!B22&amp;","&amp;AT指令代码格式!C22&amp;","&amp;AT指令代码格式!D22&amp;","&amp;IF(AT指令代码格式!E22="error","false",AT指令代码格式!E22)&amp;","&amp;AT指令代码格式!F22&amp;","&amp;AT指令代码格式!G22&amp;","&amp;IF(AT指令代码格式!H22="error","false",AT指令代码格式!H22)&amp;","&amp;AT指令代码格式!I22&amp;","&amp;AT指令代码格式!J22&amp;", NULL, NULL},"</f>
        <v>{20,21,"AT+CSCON?\r\n","OK",true,3,3,false,easyATCmdDataLoadFun,easyATCmdDataDoingFun, NULL, NULL},</v>
      </c>
      <c r="B22" s="16" t="str">
        <f>AT指令代码格式!K22</f>
        <v>//信令连接状态</v>
      </c>
    </row>
    <row r="23" spans="1:2" x14ac:dyDescent="0.2">
      <c r="A23" s="1" t="str">
        <f>"{"&amp;AT指令代码格式!A23&amp;","&amp;AT指令代码格式!B23&amp;","&amp;AT指令代码格式!C23&amp;","&amp;AT指令代码格式!D23&amp;","&amp;IF(AT指令代码格式!E23="error","false",AT指令代码格式!E23)&amp;","&amp;AT指令代码格式!F23&amp;","&amp;AT指令代码格式!G23&amp;","&amp;IF(AT指令代码格式!H23="error","false",AT指令代码格式!H23)&amp;","&amp;AT指令代码格式!I23&amp;","&amp;AT指令代码格式!J23&amp;", NULL, NULL},"</f>
        <v>{21,22,"AT+CSQ\r\n","OK",true,3,3,false,easyATCmdDataLoadFun,easyATCmdDataDoingFun, NULL, NULL},</v>
      </c>
      <c r="B23" s="16" t="str">
        <f>AT指令代码格式!K23</f>
        <v>//获取信号质量</v>
      </c>
    </row>
    <row r="24" spans="1:2" x14ac:dyDescent="0.2">
      <c r="A24" s="1" t="str">
        <f>"{"&amp;AT指令代码格式!A24&amp;","&amp;AT指令代码格式!B24&amp;","&amp;AT指令代码格式!C24&amp;","&amp;AT指令代码格式!D24&amp;","&amp;IF(AT指令代码格式!E24="error","false",AT指令代码格式!E24)&amp;","&amp;AT指令代码格式!F24&amp;","&amp;AT指令代码格式!G24&amp;","&amp;IF(AT指令代码格式!H24="error","false",AT指令代码格式!H24)&amp;","&amp;AT指令代码格式!I24&amp;","&amp;AT指令代码格式!J24&amp;", NULL, NULL},"</f>
        <v>{22,23,"AT+CESQ\r\n","OK",true,3,3,false,easyATCmdDataLoadFun,easyATCmdDataDoingFun, NULL, NULL},</v>
      </c>
      <c r="B24" s="16" t="str">
        <f>AT指令代码格式!K24</f>
        <v>//获得扩展的信号质量</v>
      </c>
    </row>
    <row r="25" spans="1:2" x14ac:dyDescent="0.2">
      <c r="A25" s="1" t="str">
        <f>"{"&amp;AT指令代码格式!A25&amp;","&amp;AT指令代码格式!B25&amp;","&amp;AT指令代码格式!C25&amp;","&amp;AT指令代码格式!D25&amp;","&amp;IF(AT指令代码格式!E25="error","false",AT指令代码格式!E25)&amp;","&amp;AT指令代码格式!F25&amp;","&amp;AT指令代码格式!G25&amp;","&amp;IF(AT指令代码格式!H25="error","false",AT指令代码格式!H25)&amp;","&amp;AT指令代码格式!I25&amp;","&amp;AT指令代码格式!J25&amp;", NULL, NULL},"</f>
        <v>{23,24,"AT+CIMI\r\n","OK",true,3,3,false,easyATCmdDataLoadFun,easyATCmdDataDoingFun, NULL, NULL},</v>
      </c>
      <c r="B25" s="16" t="str">
        <f>AT指令代码格式!K25</f>
        <v>//获得SIM卡的IMSI</v>
      </c>
    </row>
    <row r="26" spans="1:2" x14ac:dyDescent="0.2">
      <c r="A26" s="1" t="str">
        <f>"{"&amp;AT指令代码格式!A26&amp;","&amp;AT指令代码格式!B26&amp;","&amp;AT指令代码格式!C26&amp;","&amp;AT指令代码格式!D26&amp;","&amp;IF(AT指令代码格式!E26="error","false",AT指令代码格式!E26)&amp;","&amp;AT指令代码格式!F26&amp;","&amp;AT指令代码格式!G26&amp;","&amp;IF(AT指令代码格式!H26="error","false",AT指令代码格式!H26)&amp;","&amp;AT指令代码格式!I26&amp;","&amp;AT指令代码格式!J26&amp;", NULL, NULL},"</f>
        <v>{24,25,"AT+ECICCID\r\n","OK",true,3,3,false,easyATCmdDataLoadFun,easyATCmdDataDoingFun, NULL, NULL},</v>
      </c>
      <c r="B26" s="16" t="str">
        <f>AT指令代码格式!K26</f>
        <v>//获取CCID</v>
      </c>
    </row>
    <row r="27" spans="1:2" x14ac:dyDescent="0.2">
      <c r="A27" s="1" t="str">
        <f>"{"&amp;AT指令代码格式!A27&amp;","&amp;AT指令代码格式!B27&amp;","&amp;AT指令代码格式!C27&amp;","&amp;AT指令代码格式!D27&amp;","&amp;IF(AT指令代码格式!E27="error","false",AT指令代码格式!E27)&amp;","&amp;AT指令代码格式!F27&amp;","&amp;AT指令代码格式!G27&amp;","&amp;IF(AT指令代码格式!H27="error","false",AT指令代码格式!H27)&amp;","&amp;AT指令代码格式!I27&amp;","&amp;AT指令代码格式!J27&amp;", NULL, NULL},"</f>
        <v>{25,26,"AT+CCLK?\r\n","OK",true,3,3,false,easyATCmdDataLoadFun,easyATCmdDataDoingFun, NULL, NULL},</v>
      </c>
      <c r="B27" s="16" t="str">
        <f>AT指令代码格式!K27</f>
        <v>//返回当前日期和时间</v>
      </c>
    </row>
    <row r="28" spans="1:2" x14ac:dyDescent="0.2">
      <c r="A28" s="1" t="str">
        <f>"{"&amp;AT指令代码格式!A28&amp;","&amp;AT指令代码格式!B28&amp;","&amp;AT指令代码格式!C28&amp;","&amp;AT指令代码格式!D28&amp;","&amp;IF(AT指令代码格式!E28="error","false",AT指令代码格式!E28)&amp;","&amp;AT指令代码格式!F28&amp;","&amp;AT指令代码格式!G28&amp;","&amp;IF(AT指令代码格式!H28="error","false",AT指令代码格式!H28)&amp;","&amp;AT指令代码格式!I28&amp;","&amp;AT指令代码格式!J28&amp;", NULL, NULL},"</f>
        <v>{26,27,"AT+ECMTOPEN=0,\"mqtt.ctwing.cn\",1883\r\n","OK",true,3,3,false,setRemoteIPDataLoadFun,easyATCmdDataDoingFun, NULL, NULL},</v>
      </c>
      <c r="B28" s="16" t="str">
        <f>AT指令代码格式!K28</f>
        <v>//打开客户端连接</v>
      </c>
    </row>
    <row r="29" spans="1:2" x14ac:dyDescent="0.2">
      <c r="A29" s="1" t="str">
        <f>"{"&amp;AT指令代码格式!A29&amp;","&amp;AT指令代码格式!B29&amp;","&amp;AT指令代码格式!C29&amp;","&amp;AT指令代码格式!D29&amp;","&amp;IF(AT指令代码格式!E29="error","false",AT指令代码格式!E29)&amp;","&amp;AT指令代码格式!F29&amp;","&amp;AT指令代码格式!G29&amp;","&amp;IF(AT指令代码格式!H29="error","false",AT指令代码格式!H29)&amp;","&amp;AT指令代码格式!I29&amp;","&amp;AT指令代码格式!J29&amp;", NULL, NULL},"</f>
        <v>{27,28,"AT+ECMTCONN=0,\"DevID\",\"UserName\",\"Characteristic String\"\r\n","OK",true,3,3,false,setUserNameAndPassWordLoadFun,easyATCmdDataDoingFun, NULL, NULL},</v>
      </c>
      <c r="B29" s="16" t="str">
        <f>AT指令代码格式!K29</f>
        <v>//登录连接服务器</v>
      </c>
    </row>
    <row r="30" spans="1:2" x14ac:dyDescent="0.2">
      <c r="A30" s="1" t="str">
        <f>"{"&amp;AT指令代码格式!A30&amp;","&amp;AT指令代码格式!B30&amp;","&amp;AT指令代码格式!C30&amp;","&amp;AT指令代码格式!D30&amp;","&amp;IF(AT指令代码格式!E30="error","false",AT指令代码格式!E30)&amp;","&amp;AT指令代码格式!F30&amp;","&amp;AT指令代码格式!G30&amp;","&amp;IF(AT指令代码格式!H30="error","false",AT指令代码格式!H30)&amp;","&amp;AT指令代码格式!I30&amp;","&amp;AT指令代码格式!J30&amp;", NULL, NULL},"</f>
        <v>{28,29,"AT+ECMTSUB=0,1,\"hy/gw/get/02345678903\",0\r\n","OK",true,3,3,false,easyATCmdDataLoadFun,easyATCmdDataDoingFun, NULL, NULL},</v>
      </c>
      <c r="B30" s="16" t="str">
        <f>AT指令代码格式!K30</f>
        <v>//订阅Topic</v>
      </c>
    </row>
    <row r="31" spans="1:2" x14ac:dyDescent="0.2">
      <c r="A31" s="1" t="str">
        <f>"{"&amp;AT指令代码格式!A31&amp;","&amp;AT指令代码格式!B31&amp;","&amp;AT指令代码格式!C31&amp;","&amp;AT指令代码格式!D31&amp;","&amp;IF(AT指令代码格式!E31="error","false",AT指令代码格式!E31)&amp;","&amp;AT指令代码格式!F31&amp;","&amp;AT指令代码格式!G31&amp;","&amp;IF(AT指令代码格式!H31="error","false",AT指令代码格式!H31)&amp;","&amp;AT指令代码格式!I31&amp;","&amp;AT指令代码格式!J31&amp;", NULL, NULL},"</f>
        <v>{29,30,"AT+ECMTPUB=0,0,0,0,\"hy/gw/set/02345678903\",\"{\"A\":\"SSS\"}\"\r\n","OK",true,3,3,false,easyATCmdDataLoadFun,easyATCmdDataDoingFun, NULL, NULL},</v>
      </c>
      <c r="B31" s="16" t="str">
        <f>AT指令代码格式!K31</f>
        <v>//发布消息</v>
      </c>
    </row>
    <row r="32" spans="1:2" x14ac:dyDescent="0.2">
      <c r="A32" s="1" t="str">
        <f>"{"&amp;AT指令代码格式!A32&amp;","&amp;AT指令代码格式!B32&amp;","&amp;AT指令代码格式!C32&amp;","&amp;AT指令代码格式!D32&amp;","&amp;IF(AT指令代码格式!E32="error","false",AT指令代码格式!E32)&amp;","&amp;AT指令代码格式!F32&amp;","&amp;AT指令代码格式!G32&amp;","&amp;IF(AT指令代码格式!H32="error","false",AT指令代码格式!H32)&amp;","&amp;AT指令代码格式!I32&amp;","&amp;AT指令代码格式!J32&amp;", NULL, NULL},"</f>
        <v>{30,31,"AT+ECMTUNS=0,1,\"hy/gw/get/02345678903\"\r\n","OK",true,3,3,false,easyATCmdDataLoadFun,easyATCmdDataDoingFun, NULL, NULL},</v>
      </c>
      <c r="B32" s="16" t="str">
        <f>AT指令代码格式!K32</f>
        <v>//取消订阅</v>
      </c>
    </row>
    <row r="33" spans="1:2" x14ac:dyDescent="0.2">
      <c r="A33" s="1" t="str">
        <f>"{"&amp;AT指令代码格式!A33&amp;","&amp;AT指令代码格式!B33&amp;","&amp;AT指令代码格式!C33&amp;","&amp;AT指令代码格式!D33&amp;","&amp;IF(AT指令代码格式!E33="error","false",AT指令代码格式!E33)&amp;","&amp;AT指令代码格式!F33&amp;","&amp;AT指令代码格式!G33&amp;","&amp;IF(AT指令代码格式!H33="error","false",AT指令代码格式!H33)&amp;","&amp;AT指令代码格式!I33&amp;","&amp;AT指令代码格式!J33&amp;", NULL, NULL},"</f>
        <v>{31,32,"AT+ECMTCLOSE=0\r\n","OK",false,3,3,false,easyATCmdDataLoadFun,easyATCmdDataDoingFun, NULL, NULL},</v>
      </c>
      <c r="B33" s="16" t="str">
        <f>AT指令代码格式!K33</f>
        <v>//关闭 MQTT 客户端</v>
      </c>
    </row>
    <row r="34" spans="1:2" x14ac:dyDescent="0.2">
      <c r="A34" s="1" t="str">
        <f>"{"&amp;AT指令代码格式!A34&amp;","&amp;AT指令代码格式!B34&amp;","&amp;AT指令代码格式!C34&amp;","&amp;AT指令代码格式!D34&amp;","&amp;IF(AT指令代码格式!E34="error","false",AT指令代码格式!E34)&amp;","&amp;AT指令代码格式!F34&amp;","&amp;AT指令代码格式!G34&amp;","&amp;IF(AT指令代码格式!H34="error","false",AT指令代码格式!H34)&amp;","&amp;AT指令代码格式!I34&amp;","&amp;AT指令代码格式!J34&amp;", NULL, NULL},"</f>
        <v>{32,-1,"AT+NMGR\r\n","OK",false,3,3,false,easyATCmdDataLoadFun,easyATCmdDataDoingFun, NULL, NULL},</v>
      </c>
      <c r="B34" s="16" t="str">
        <f>AT指令代码格式!K34</f>
        <v/>
      </c>
    </row>
    <row r="35" spans="1:2" x14ac:dyDescent="0.2">
      <c r="A35" s="1" t="str">
        <f>"{"&amp;AT指令代码格式!A35&amp;","&amp;AT指令代码格式!B35&amp;","&amp;AT指令代码格式!C35&amp;","&amp;AT指令代码格式!D35&amp;","&amp;IF(AT指令代码格式!E35="error","false",AT指令代码格式!E35)&amp;","&amp;AT指令代码格式!F35&amp;","&amp;AT指令代码格式!G35&amp;","&amp;IF(AT指令代码格式!H35="error","false",AT指令代码格式!H35)&amp;","&amp;AT指令代码格式!I35&amp;","&amp;AT指令代码格式!J35&amp;", NULL, NULL},"</f>
        <v>{33,-1,"","",false,3,3,false,easyATCmdDataLoadFun,easyATCmdDataDoingFun, NULL, NULL},</v>
      </c>
      <c r="B35" s="16" t="str">
        <f>AT指令代码格式!K35</f>
        <v/>
      </c>
    </row>
    <row r="36" spans="1:2" x14ac:dyDescent="0.2">
      <c r="A36" s="1" t="str">
        <f>"{"&amp;AT指令代码格式!A36&amp;","&amp;AT指令代码格式!B36&amp;","&amp;AT指令代码格式!C36&amp;","&amp;AT指令代码格式!D36&amp;","&amp;IF(AT指令代码格式!E36="error","false",AT指令代码格式!E36)&amp;","&amp;AT指令代码格式!F36&amp;","&amp;AT指令代码格式!G36&amp;","&amp;IF(AT指令代码格式!H36="error","false",AT指令代码格式!H36)&amp;","&amp;AT指令代码格式!I36&amp;","&amp;AT指令代码格式!J36&amp;", NULL, NULL},"</f>
        <v>{34,-1,"","",false,3,3,false,easyATCmdDataLoadFun,easyATCmdDataDoingFun, NULL, NULL},</v>
      </c>
      <c r="B36" s="16" t="str">
        <f>AT指令代码格式!K36</f>
        <v/>
      </c>
    </row>
    <row r="37" spans="1:2" x14ac:dyDescent="0.2">
      <c r="A37" s="1" t="str">
        <f>"{"&amp;AT指令代码格式!A37&amp;","&amp;AT指令代码格式!B37&amp;","&amp;AT指令代码格式!C37&amp;","&amp;AT指令代码格式!D37&amp;","&amp;IF(AT指令代码格式!E37="error","false",AT指令代码格式!E37)&amp;","&amp;AT指令代码格式!F37&amp;","&amp;AT指令代码格式!G37&amp;","&amp;IF(AT指令代码格式!H37="error","false",AT指令代码格式!H37)&amp;","&amp;AT指令代码格式!I37&amp;","&amp;AT指令代码格式!J37&amp;", NULL, NULL},"</f>
        <v>{35,-1,"","",false,3,3,false,easyATCmdDataLoadFun,easyATCmdDataDoingFun, NULL, NULL},</v>
      </c>
      <c r="B37" s="16" t="str">
        <f>AT指令代码格式!K37</f>
        <v/>
      </c>
    </row>
    <row r="38" spans="1:2" x14ac:dyDescent="0.2">
      <c r="A38" s="1" t="str">
        <f>"{"&amp;AT指令代码格式!A38&amp;","&amp;AT指令代码格式!B38&amp;","&amp;AT指令代码格式!C38&amp;","&amp;AT指令代码格式!D38&amp;","&amp;IF(AT指令代码格式!E38="error","false",AT指令代码格式!E38)&amp;","&amp;AT指令代码格式!F38&amp;","&amp;AT指令代码格式!G38&amp;","&amp;IF(AT指令代码格式!H38="error","false",AT指令代码格式!H38)&amp;","&amp;AT指令代码格式!I38&amp;","&amp;AT指令代码格式!J38&amp;", NULL, NULL},"</f>
        <v>{36,-1,"","",false,3,3,false,easyATCmdDataLoadFun,easyATCmdDataDoingFun, NULL, NULL},</v>
      </c>
      <c r="B38" s="16" t="str">
        <f>AT指令代码格式!K38</f>
        <v/>
      </c>
    </row>
    <row r="39" spans="1:2" x14ac:dyDescent="0.2">
      <c r="A39" s="1" t="str">
        <f>"{"&amp;AT指令代码格式!A39&amp;","&amp;AT指令代码格式!B39&amp;","&amp;AT指令代码格式!C39&amp;","&amp;AT指令代码格式!D39&amp;","&amp;IF(AT指令代码格式!E39="error","false",AT指令代码格式!E39)&amp;","&amp;AT指令代码格式!F39&amp;","&amp;AT指令代码格式!G39&amp;","&amp;IF(AT指令代码格式!H39="error","false",AT指令代码格式!H39)&amp;","&amp;AT指令代码格式!I39&amp;","&amp;AT指令代码格式!J39&amp;", NULL, NULL},"</f>
        <v>{37,-1,"","",false,3,3,false,easyATCmdDataLoadFun,easyATCmdDataDoingFun, NULL, NULL},</v>
      </c>
      <c r="B39" s="16" t="str">
        <f>AT指令代码格式!K39</f>
        <v/>
      </c>
    </row>
    <row r="40" spans="1:2" x14ac:dyDescent="0.2">
      <c r="A40" s="1" t="str">
        <f>"{"&amp;AT指令代码格式!A40&amp;","&amp;AT指令代码格式!B40&amp;","&amp;AT指令代码格式!C40&amp;","&amp;AT指令代码格式!D40&amp;","&amp;IF(AT指令代码格式!E40="error","false",AT指令代码格式!E40)&amp;","&amp;AT指令代码格式!F40&amp;","&amp;AT指令代码格式!G40&amp;","&amp;IF(AT指令代码格式!H40="error","false",AT指令代码格式!H40)&amp;","&amp;AT指令代码格式!I40&amp;","&amp;AT指令代码格式!J40&amp;", NULL, NULL},"</f>
        <v>{38,-1,"","",false,3,3,false,easyATCmdDataLoadFun,easyATCmdDataDoingFun, NULL, NULL},</v>
      </c>
      <c r="B40" s="16" t="str">
        <f>AT指令代码格式!K40</f>
        <v/>
      </c>
    </row>
    <row r="41" spans="1:2" x14ac:dyDescent="0.2">
      <c r="A41" s="1" t="str">
        <f>"{"&amp;AT指令代码格式!A41&amp;","&amp;AT指令代码格式!B41&amp;","&amp;AT指令代码格式!C41&amp;","&amp;AT指令代码格式!D41&amp;","&amp;IF(AT指令代码格式!E41="error","false",AT指令代码格式!E41)&amp;","&amp;AT指令代码格式!F41&amp;","&amp;AT指令代码格式!G41&amp;","&amp;IF(AT指令代码格式!H41="error","false",AT指令代码格式!H41)&amp;","&amp;AT指令代码格式!I41&amp;","&amp;AT指令代码格式!J41&amp;", NULL, NULL},"</f>
        <v>{39,-1,"","",false,3,3,false,easyATCmdDataLoadFun,easyATCmdDataDoingFun, NULL, NULL},</v>
      </c>
      <c r="B41" s="16" t="str">
        <f>AT指令代码格式!K41</f>
        <v/>
      </c>
    </row>
    <row r="42" spans="1:2" x14ac:dyDescent="0.2">
      <c r="A42" s="1" t="str">
        <f>"{"&amp;AT指令代码格式!A42&amp;","&amp;AT指令代码格式!B42&amp;","&amp;AT指令代码格式!C42&amp;","&amp;AT指令代码格式!D42&amp;","&amp;IF(AT指令代码格式!E42="error","false",AT指令代码格式!E42)&amp;","&amp;AT指令代码格式!F42&amp;","&amp;AT指令代码格式!G42&amp;","&amp;IF(AT指令代码格式!H42="error","false",AT指令代码格式!H42)&amp;","&amp;AT指令代码格式!I42&amp;","&amp;AT指令代码格式!J42&amp;", NULL, NULL},"</f>
        <v>{40,-1,"","",false,3,3,false,easyATCmdDataLoadFun,easyATCmdDataDoingFun, NULL, NULL},</v>
      </c>
      <c r="B42" s="16" t="str">
        <f>AT指令代码格式!K42</f>
        <v/>
      </c>
    </row>
    <row r="43" spans="1:2" x14ac:dyDescent="0.2">
      <c r="A43" s="1" t="str">
        <f>"{"&amp;AT指令代码格式!A43&amp;","&amp;AT指令代码格式!B43&amp;","&amp;AT指令代码格式!C43&amp;","&amp;AT指令代码格式!D43&amp;","&amp;IF(AT指令代码格式!E43="error","false",AT指令代码格式!E43)&amp;","&amp;AT指令代码格式!F43&amp;","&amp;AT指令代码格式!G43&amp;","&amp;IF(AT指令代码格式!H43="error","false",AT指令代码格式!H43)&amp;","&amp;AT指令代码格式!I43&amp;","&amp;AT指令代码格式!J43&amp;", NULL, NULL},"</f>
        <v>{41,-1,"","",false,3,3,false,easyATCmdDataLoadFun,easyATCmdDataDoingFun, NULL, NULL},</v>
      </c>
      <c r="B43" s="16" t="str">
        <f>AT指令代码格式!K43</f>
        <v/>
      </c>
    </row>
    <row r="44" spans="1:2" x14ac:dyDescent="0.2">
      <c r="A44" s="1" t="str">
        <f>"{"&amp;AT指令代码格式!A44&amp;","&amp;AT指令代码格式!B44&amp;","&amp;AT指令代码格式!C44&amp;","&amp;AT指令代码格式!D44&amp;","&amp;IF(AT指令代码格式!E44="error","false",AT指令代码格式!E44)&amp;","&amp;AT指令代码格式!F44&amp;","&amp;AT指令代码格式!G44&amp;","&amp;IF(AT指令代码格式!H44="error","false",AT指令代码格式!H44)&amp;","&amp;AT指令代码格式!I44&amp;","&amp;AT指令代码格式!J44&amp;", NULL, NULL},"</f>
        <v>{42,-1,"","",false,3,3,false,easyATCmdDataLoadFun,easyATCmdDataDoingFun, NULL, NULL},</v>
      </c>
      <c r="B44" s="16" t="str">
        <f>AT指令代码格式!K44</f>
        <v/>
      </c>
    </row>
    <row r="45" spans="1:2" x14ac:dyDescent="0.2">
      <c r="A45" s="1" t="str">
        <f>"{"&amp;AT指令代码格式!A45&amp;","&amp;AT指令代码格式!B45&amp;","&amp;AT指令代码格式!C45&amp;","&amp;AT指令代码格式!D45&amp;","&amp;IF(AT指令代码格式!E45="error","false",AT指令代码格式!E45)&amp;","&amp;AT指令代码格式!F45&amp;","&amp;AT指令代码格式!G45&amp;","&amp;IF(AT指令代码格式!H45="error","false",AT指令代码格式!H45)&amp;","&amp;AT指令代码格式!I45&amp;","&amp;AT指令代码格式!J45&amp;", NULL, NULL},"</f>
        <v>{43,-1,"","",false,3,3,false,easyATCmdDataLoadFun,easyATCmdDataDoingFun, NULL, NULL},</v>
      </c>
      <c r="B45" s="16" t="str">
        <f>AT指令代码格式!K45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USBconfig</vt:lpstr>
      <vt:lpstr>AT指令表</vt:lpstr>
      <vt:lpstr>AT指令代码格式</vt:lpstr>
      <vt:lpstr>代码输出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Leige</dc:creator>
  <cp:lastModifiedBy>choulei</cp:lastModifiedBy>
  <dcterms:created xsi:type="dcterms:W3CDTF">2015-06-05T18:19:34Z</dcterms:created>
  <dcterms:modified xsi:type="dcterms:W3CDTF">2024-08-13T00:57:39Z</dcterms:modified>
</cp:coreProperties>
</file>